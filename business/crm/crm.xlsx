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설정 Settings" state="visible" r:id="rId4"/>
    <sheet sheetId="2" name="문 두드리기 Doors" state="visible" r:id="rId5"/>
    <sheet sheetId="3" name="견적 Quotes" state="visible" r:id="rId6"/>
    <sheet sheetId="4" name="작업 Jobs" state="visible" r:id="rId7"/>
    <sheet sheetId="5" name="입금 Payments" state="visible" r:id="rId8"/>
    <sheet sheetId="6" name="후속 Follow-ups" state="visible" r:id="rId9"/>
    <sheet sheetId="7" name="지표 Dashboard" state="visible" r:id="rId10"/>
    <sheet sheetId="8" name="EI 주간신고" state="visible" r:id="rId11"/>
    <sheet sheetId="9" name="세금 Tax" state="visible" r:id="rId12"/>
    <sheet sheetId="10" name="손익분기 Break-even" state="visible" r:id="rId13"/>
    <sheet sheetId="11" name="인보이스 Invoice" state="visible" r:id="rId14"/>
    <sheet sheetId="12" name="지출 Expenses" state="visible" r:id="rId15"/>
    <sheet sheetId="13" name="주행 Mileage" state="visible" r:id="rId16"/>
  </sheets>
  <definedNames>
    <definedName name="_xlnm.Print_Area" localSheetId="10">'인보이스 Invoice'!$A1:$F41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D1" authorId="0">
      <text>
        <r>
          <t>같은 집을 몇 번째 두드리는지. 부재(NA) 뒤 다시 가면 2, 3… 재방문도 시도 1회로 셉니다 (memo §7).</t>
        </r>
      </text>
    </comment>
    <comment ref="E1" authorId="0">
      <text>
        <r>
          <t>NA 부재 · NI 관심 없음 · Q 견적 요청 · B 바로 예약 · CB 다시 연락 · NS 방문판매 금지 표시 (시도에서 제외)</t>
        </r>
      </text>
    </comment>
    <comment ref="G1" authorId="0">
      <text>
        <r>
          <t>비워 두면 1로 계산합니다.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예: Q-001, Q-002 … 중복 없이</t>
        </r>
      </text>
    </comment>
    <comment ref="C1" authorId="0">
      <text>
        <r>
          <t>DOOR 문 두드리기 · KIJIJI · FACEBOOK · KOREAN 한인 커뮤니티 · REFERRAL 소개 · B2B 부동산·관리회사 · WEB 웹사이트 · PHONE 전화 문의 · PLATFORM TaskRabbit/Jiffy · REPEAT 기존 고객 · OTHER</t>
        </r>
      </text>
    </comment>
    <comment ref="G1" authorId="0">
      <text>
        <r>
          <t>CL-STD 일반 청소 · CL-DEEP 딥클린(대청소) · CL-MOVE 입주·이사 청소 · CL-RECUR 정기 청소(격주) · GUT 홈통(처마 물받이) 청소 · SNOW 제설 시즌 계약 (할부 1회분) · SNOW-VISIT 제설 1회 방문 (11월) · PLAT 플랫폼 작업 (TaskRabbit·Jiffy) · OTHER 기타</t>
        </r>
      </text>
    </comment>
    <comment ref="H1" authorId="0">
      <text>
        <r>
          <t>가격표(config/prices.ts)와 같은 금액. 제설(SNOW)은 시즌 총액.</t>
        </r>
      </text>
    </comment>
    <comment ref="I1" authorId="0">
      <text>
        <r>
          <t>OPEN 답 기다림 · WON 계약 성사 · LOST 안 됨</t>
        </r>
      </text>
    </comment>
    <comment ref="L1" authorId="0">
      <text>
        <r>
          <t>고객 집에서 서명한 온타리오 계약 = Y. 10일 취소권 + 15일 내 환불 안내 필수 (F32).</t>
        </r>
      </text>
    </comment>
    <comment ref="M1" authorId="0">
      <text>
        <r>
          <t>따로 체크한 경우만 Y (CASL 명시적 동의). 동의 문구와 날짜는 메모에.</t>
        </r>
      </text>
    </comment>
    <comment ref="O1" authorId="0">
      <text>
        <r>
          <t>방문 계약: 서명한 사본을 받은 날부터 10일 (F32). 여기서는 계약일 + 10일로 추정. 기간 중 작업한 경우의 효과는 조사 안 됨.</t>
        </r>
      </text>
    </comment>
    <comment ref="P1" authorId="0">
      <text>
        <r>
          <t>견적 금액 − 추정 직접비 (설정 시트 서비스표, 가정 A2–A6)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예: J-001 … 인보이스 번호는 INV-작업ID</t>
        </r>
      </text>
    </comment>
    <comment ref="C1" authorId="0">
      <text>
        <r>
          <t>작업을 끝낸 날 (EI: 일한 주에 배분, s.36(6)). 제설 시즌 계약은 할부 1회마다 한 줄 (12/1, 1/1, 2/1, 3/1).</t>
        </r>
      </text>
    </comment>
    <comment ref="F1" authorId="0">
      <text>
        <r>
          <t>CL-STD 일반 청소 · CL-DEEP 딥클린(대청소) · CL-MOVE 입주·이사 청소 · CL-RECUR 정기 청소(격주) · GUT 홈통(처마 물받이) 청소 · SNOW 제설 시즌 계약 (할부 1회분) · SNOW-VISIT 제설 1회 방문 (11월) · PLAT 플랫폼 작업 (TaskRabbit·Jiffy) · OTHER 기타</t>
        </r>
      </text>
    </comment>
    <comment ref="G1" authorId="0">
      <text>
        <r>
          <t>DOOR 문 두드리기 · KIJIJI · FACEBOOK · KOREAN 한인 커뮤니티 · REFERRAL 소개 · B2B 부동산·관리회사 · WEB 웹사이트 · PHONE 전화 문의 · PLATFORM TaskRabbit/Jiffy · REPEAT 기존 고객 · OTHER</t>
        </r>
      </text>
    </comment>
    <comment ref="I1" authorId="0">
      <text>
        <r>
          <t>비워 두면 추정 비율을 씁니다 (청소 20%, 홈통 $20, 제설 15%, 플랫폼 10% — 가정 A2–A6). 세금·EI에는 지출 시트의 실제 영수증만 씁니다.</t>
        </r>
      </text>
    </comment>
    <comment ref="J1" authorId="0">
      <text>
        <r>
          <t>Y면 인보이스에 온타리오 10일 취소권 안내가 나옵니다 (F32).</t>
        </r>
      </text>
    </comment>
    <comment ref="M1" authorId="0">
      <text>
        <r>
          <t>금액 − 직접비. run-rate(최근 7일)의 기준 (memo §8).</t>
        </r>
      </text>
    </comment>
    <comment ref="P1" authorId="0">
      <text>
        <r>
          <t>금액 (+ 등록했으면 세금) − 입금 합계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1" authorId="0">
      <text>
        <r>
          <t>ETRANSFER · CASH 현금 · CARD 카드 · CHEQUE 수표 · PLATFORM 플랫폼 정산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1" authorId="0">
      <text>
        <r>
          <t>QUOTE 견적 후속 · CALLBACK 다시 연락(CB) · RECURRING 정기 청소 제안 · REFERRAL 소개 부탁 · REVIEW 후기 부탁 · SNOW 제설 안내 · OTHER</t>
        </r>
      </text>
    </comment>
    <comment ref="H1" authorId="0">
      <text>
        <r>
          <t>문자·이메일일 때 필수 (CASL). EXPRESS 따로 동의함 · INQUIRY 문의 후 6개월 (s.10(10)) · REPLY 문의에 대한 직접 답장 (SOR/2013-221 s.3(b)) · REFERRAL 첫 메시지에 소개자 이름 (s.4(1)) · NONE 없음 → 전화·방문만</t>
        </r>
      </text>
    </comment>
    <comment ref="I1" authorId="0">
      <text>
        <r>
          <t>STOP 등 수신거부를 받으면 Y. 10영업일 안에 처리 (F11).</t>
        </r>
      </text>
    </comment>
    <comment ref="N1" authorId="0">
      <text>
        <r>
          <t>문의 → 6개월 묵시적 동의 (CASL s.10(10), F11). 견적 요청일 기준.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3" authorId="0">
      <text>
        <r>
          <t>일요일 시작 주 (EI Act s.10(1), F2)</t>
        </r>
      </text>
    </comment>
    <comment ref="C3" authorId="0">
      <text>
        <r>
          <t>작업 시트: 완료일이 이 주인 작업 금액 합</t>
        </r>
      </text>
    </comment>
    <comment ref="D3" authorId="0">
      <text>
        <r>
          <t>지출 시트: 날짜가 이 주인 지출 합. 연 보험료 같은 큰 지출을 어느 주에 넣을지는 Service Canada에 확인.</t>
        </r>
      </text>
    </comment>
    <comment ref="E3" authorId="0">
      <text>
        <r>
          <t>EI Regs s.35(10)(c)</t>
        </r>
      </text>
    </comment>
    <comment ref="F3" authorId="0">
      <text>
        <r>
          <t>A = EI + 작은 부업 · B = 사업 전념 (그 주 EI 없음) · - = EI 없음/청구 전. 기본값은 자동, 직접 바꿔도 됩니다.</t>
        </r>
      </text>
    </comment>
    <comment ref="G3" authorId="0">
      <text>
        <r>
          <t>순수입의 50% (주간 보험가능소득의 90%까지) + 초과분 100% (EI Act s.19(2),(3), F4)</t>
        </r>
      </text>
    </comment>
    <comment ref="H3" authorId="0">
      <text>
        <r>
          <t>Path A일 때 B − 공제 (0 미만이면 0)</t>
        </r>
      </text>
    </comment>
    <comment ref="J3" authorId="0">
      <text>
        <r>
          <t>EI + 순수입 × (1 − 11.9%) (memo 5.4)</t>
        </r>
      </text>
    </comment>
    <comment ref="K3" authorId="0">
      <text>
        <r>
          <t>같은 순수입을 EI 없이 받았을 때</t>
        </r>
      </text>
    </comment>
    <comment ref="L3" authorId="0">
      <text>
        <r>
          <t>(B − 0.5×순수입 + 0.881×순수입) ÷ 0.881 — 사업만 해서 이보다 벌어야 이 주의 Path A보다 낫습니다 (memo 5.4). 순수입이 90% 한도를 넘으면 맞지 않습니다.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B6" authorId="0">
      <text>
        <r>
          <t>작업 시트의 작업 ID를 입력하면 나머지가 자동으로 채워집니다.</t>
        </r>
      </text>
    </comment>
    <comment ref="B7" authorId="0">
      <text>
        <r>
          <t>기본값은 오늘. 날짜를 입력하면 고정됩니다.</t>
        </r>
      </text>
    </comment>
    <comment ref="A13" authorId="0">
      <text>
        <r>
          <t>추가 항목 (예: 추가 욕실, 오븐 내부). 가격은 설정 시트 가격표와 같게.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E1" authorId="0">
      <text>
        <r>
          <t>세금 시트의 T2125 목록에서 고르기 (확인 필요 — 모르면 "미분류")</t>
        </r>
      </text>
    </comment>
  </commentList>
</comments>
</file>

<file path=xl/sharedStrings.xml><?xml version="1.0" encoding="utf-8"?>
<sst xmlns="http://schemas.openxmlformats.org/spreadsheetml/2006/main" count="1197" uniqueCount="930">
  <si>
    <t>설정 Settings — 노란 칸만 고치세요 (edit the yellow cells only)</t>
  </si>
  <si>
    <t>노란 칸 = 입력 · 회색 칸 = 자동 계산 또는 config에서 온 값 · "가정"과 "추정"은 근거 자료가 없는 값입니다 (decision memo §5.1). 모든 시장 가격은 검색 요약(snippet)이므로 직접 확인하세요. 세무·법률 자문이 아닙니다.</t>
  </si>
  <si>
    <t>항목</t>
  </si>
  <si>
    <t>Item</t>
  </si>
  <si>
    <t>값 Value</t>
  </si>
  <si>
    <t>단위</t>
  </si>
  <si>
    <t>근거·상태 Basis / status</t>
  </si>
  <si>
    <t>출처 Source</t>
  </si>
  <si>
    <t>브랜드·연락처 Brand &amp; contact — 이메일·문자마다 이름, 우편 주소, 연락처, 수신거부 문구가 필요합니다 (CASL, F11–F13)</t>
  </si>
  <si>
    <t>브랜드 (영문)</t>
  </si>
  <si>
    <t>Brand (EN)</t>
  </si>
  <si>
    <t>Neighbourhood Home Care</t>
  </si>
  <si>
    <t/>
  </si>
  <si>
    <t>{BRAND}. config/business.ts 기본값 (NEXT_PUBLIC_BRAND_EN). 인보이스에 나옵니다.</t>
  </si>
  <si>
    <t>브랜드 (한글)</t>
  </si>
  <si>
    <t>Brand (KO)</t>
  </si>
  <si>
    <t>우리동네 홈케어</t>
  </si>
  <si>
    <t>{BRAND}. config/business.ts 기본값 (NEXT_PUBLIC_BRAND_KO). 상호 등록 필요 여부는 확인 필요 (memo §6).</t>
  </si>
  <si>
    <t>우편 주소</t>
  </si>
  <si>
    <t>Mailing address</t>
  </si>
  <si>
    <t>{MAILING_ADDRESS}</t>
  </si>
  <si>
    <t>CASL 필수: "the mailing address" (SOR/2012-36 s.2(1)(d), F13). 사서함(PO box)도 되는지는 규정에 없음 — 확인 필요.</t>
  </si>
  <si>
    <t>https://github.com/justicecanada/laws-lois-xml/blob/main/eng/regulations/SOR-2012-36.xml</t>
  </si>
  <si>
    <t>전화</t>
  </si>
  <si>
    <t>Phone</t>
  </si>
  <si>
    <t>{PHONE}</t>
  </si>
  <si>
    <t>이메일</t>
  </si>
  <si>
    <t>Email</t>
  </si>
  <si>
    <t>{EMAIL}</t>
  </si>
  <si>
    <t>웹사이트</t>
  </si>
  <si>
    <t>Website</t>
  </si>
  <si>
    <t>{WEBSITE}</t>
  </si>
  <si>
    <t>e-Transfer 받을 이메일</t>
  </si>
  <si>
    <t>e-Transfer email</t>
  </si>
  <si>
    <t>기본값은 위 이메일. 다른 주소로 받으면 직접 입력하세요.</t>
  </si>
  <si>
    <t>카드 결제 받음?</t>
  </si>
  <si>
    <t>Card accepted?</t>
  </si>
  <si>
    <t>NO</t>
  </si>
  <si>
    <t>카드 결제 서비스를 실제로 쓸 때만 YES. Stripe 캐나다 수수료 2.9% + $0.30 (F37, SECONDARY).</t>
  </si>
  <si>
    <t>https://github.com/kurtrgoddard/Bilingua-App/blob/b1f427aae94ef32e9f78ad5543dad81c330e7956/economy/research-pricing.md</t>
  </si>
  <si>
    <t>도시 (빌드 기준)</t>
  </si>
  <si>
    <t>City (build)</t>
  </si>
  <si>
    <t>gta</t>
  </si>
  <si>
    <t>가격·세율 기본값의 기준 도시. 바꾸려면 다시 빌드: node scripts/build-crm.mjs --city=ottawa</t>
  </si>
  <si>
    <t>계획 시작일</t>
  </si>
  <si>
    <t>Plan start (day 1)</t>
  </si>
  <si>
    <t>memo: Mon 2026-09-28</t>
  </si>
  <si>
    <t>기준일</t>
  </si>
  <si>
    <t>As-of date</t>
  </si>
  <si>
    <t>보통 TODAY(). 날짜를 직접 넣으면 그날 기준으로 지표·킬 기준·DAILY 줄을 다시 계산합니다.</t>
  </si>
  <si>
    <t>소비자 계약·CASL Consumer contracts &amp; CASL (F11, F32) — 법률 자문 아님</t>
  </si>
  <si>
    <t>방문 계약 취소 가능 기간</t>
  </si>
  <si>
    <t>Door-signed cancellation period</t>
  </si>
  <si>
    <t>일</t>
  </si>
  <si>
    <t>온타리오 방문(direct) 계약: 서명한 사본을 받은 날부터 10일 안에 취소 가능 (F32, SNIPPET). 기간 중 작업한 경우의 효과는 조사 안 됨.</t>
  </si>
  <si>
    <t>https://www.ontario.ca/page/your-rights-when-signing-or-cancelling-contract</t>
  </si>
  <si>
    <t>취소 시 환불 기한</t>
  </si>
  <si>
    <t>Refund due after cancellation</t>
  </si>
  <si>
    <t>취소하면 15일 안에 환불 (F32)</t>
  </si>
  <si>
    <t>문의 후 묵시적 동의 기간</t>
  </si>
  <si>
    <t>Implied consent after an inquiry</t>
  </si>
  <si>
    <t>개월</t>
  </si>
  <si>
    <t>CASL s.10(10) (F11). 그 뒤 문자·이메일을 보내려면 다른 동의 근거(예: 명시적 동의)가 필요.</t>
  </si>
  <si>
    <t>https://github.com/justicecanada/laws-lois-xml/blob/main/eng/acts/E-1.6.xml</t>
  </si>
  <si>
    <t>수신거부 처리 기한</t>
  </si>
  <si>
    <t>Unsubscribe processing time</t>
  </si>
  <si>
    <t>영업일</t>
  </si>
  <si>
    <t>CASL: 수신거부는 10영업일 안에 처리, 수신거부 방법은 60일 동안 유효 (F11)</t>
  </si>
  <si>
    <t>세금 Tax (F7–F10) — 세무 자문 아님</t>
  </si>
  <si>
    <t>GST/HST 등록?</t>
  </si>
  <si>
    <t>HST registered</t>
  </si>
  <si>
    <t>NO가 기본. 4분기 합계 $30,000 전까지 소규모 사업자 (ETA s.148, F7). 자발적 등록은 1년간 취소 불가 (s.242(2), F8). YES면 인보이스에 세금 줄이 나타납니다.</t>
  </si>
  <si>
    <t>https://github.com/justicecanada/laws-lois-xml/blob/main/eng/acts/E-15.xml</t>
  </si>
  <si>
    <t>GST/HST 등록번호</t>
  </si>
  <si>
    <t>GST/HST number</t>
  </si>
  <si>
    <t>등록한 뒤에만 입력</t>
  </si>
  <si>
    <t>세율</t>
  </si>
  <si>
    <t>Tax rate</t>
  </si>
  <si>
    <t>config/business.ts TAX_RULES (gta). 온타리오 HST 13% (ETA s.165, Sched. VIII, F8).</t>
  </si>
  <si>
    <t>세금 이름</t>
  </si>
  <si>
    <t>Tax label</t>
  </si>
  <si>
    <t>HST 13%</t>
  </si>
  <si>
    <t>config/business.ts TAX_RULES</t>
  </si>
  <si>
    <t>소규모 사업자 기준</t>
  </si>
  <si>
    <t>Small-supplier threshold</t>
  </si>
  <si>
    <t>$</t>
  </si>
  <si>
    <t>4분기 합계 테스트 + 단일 분기 테스트 (ETA s.148, F7)</t>
  </si>
  <si>
    <t>4분기 합계 경고선</t>
  </si>
  <si>
    <t>Rolling 4-quarter warning</t>
  </si>
  <si>
    <t>memo §10 item 15 (미리 준비하기 위한 경고선)</t>
  </si>
  <si>
    <t>단일 분기 경고선</t>
  </si>
  <si>
    <t>Single-quarter warning</t>
  </si>
  <si>
    <t>memo §10 item 15</t>
  </si>
  <si>
    <t>플랫폼 수입을 과세매출에 포함?</t>
  </si>
  <si>
    <t>Count platform income in HST test</t>
  </si>
  <si>
    <t>YES</t>
  </si>
  <si>
    <t>플랫폼 수입이 본인 과세 공급인지 확인 안 됨 (memo 5.5). 보수적으로 YES.</t>
  </si>
  <si>
    <t>CPP 적립률 (자영업)</t>
  </si>
  <si>
    <t>CPP rate (self-employed)</t>
  </si>
  <si>
    <t>9.9% + 2.0% = 11.9% (CPP Act, F9)</t>
  </si>
  <si>
    <t>https://github.com/justicecanada/laws-lois-xml/blob/main/eng/acts/C-8.xml</t>
  </si>
  <si>
    <t>CPP 기본 공제</t>
  </si>
  <si>
    <t>CPP basic exemption</t>
  </si>
  <si>
    <t>$/년</t>
  </si>
  <si>
    <t>F9. 적립 권장액은 보수적으로 이 공제를 무시합니다 (memo 5.4).</t>
  </si>
  <si>
    <t>카드 수수료율</t>
  </si>
  <si>
    <t>Card fee %</t>
  </si>
  <si>
    <t>Stripe 캐나다 (F37, SECONDARY)</t>
  </si>
  <si>
    <t>카드 건당 수수료</t>
  </si>
  <si>
    <t>Card fee per charge</t>
  </si>
  <si>
    <t>e-Transfer 분할 안내 기준</t>
  </si>
  <si>
    <t>Split e-Transfer above</t>
  </si>
  <si>
    <t>은행별 한도 보통 $2,000–3,000 (F36, SECONDARY/사례). 넘으면 나눠 받기.</t>
  </si>
  <si>
    <t>https://github.com/nifabulous/Relay/blob/885bdf20a690d77dd2b93e46a52a597382039c6e/app/data/payment_schemes.py</t>
  </si>
  <si>
    <t>EI 고용보험 (memo 5.4, F1–F6) — 모든 계산은 추정. 판단은 Service Canada가 합니다</t>
  </si>
  <si>
    <t>EI 자격?</t>
  </si>
  <si>
    <t>EI eligible?</t>
  </si>
  <si>
    <t>UNKNOWN</t>
  </si>
  <si>
    <t>보험가능 근로 420–700시간 필요. 비행(misconduct)이나 정당한 이유 없는 자진 퇴사는 자격 없음 (EI Act s.7(2), s.30(1), F6). 본인이 확인. NO면 EI 계산이 꺼집니다.</t>
  </si>
  <si>
    <t>https://github.com/justicecanada/laws-lois-xml/blob/main/eng/acts/E-5.6.xml</t>
  </si>
  <si>
    <t>EI 신청 마감</t>
  </si>
  <si>
    <t>EI filing deadline</t>
  </si>
  <si>
    <t>Pilot 24: 2026-10-10까지 시작하는 수급 기간 (SOR-96-332 ss.77.996–77.999, F1). 연장 여부 찾지 못함.</t>
  </si>
  <si>
    <t>https://github.com/justicecanada/laws-lois-xml/blob/main/eng/regulations/SOR-96-332.xml</t>
  </si>
  <si>
    <t>EI 시작 주 (일요일)</t>
  </si>
  <si>
    <t>Benefit period start (Sunday)</t>
  </si>
  <si>
    <t>10/10까지 신청하면 10/4 시작 (EI Act s.10(1), F2). 실제 날짜로 바꾸세요.</t>
  </si>
  <si>
    <t>주간 EI 수령액 B</t>
  </si>
  <si>
    <t>Weekly benefit B</t>
  </si>
  <si>
    <t>$/주</t>
  </si>
  <si>
    <t>예시 = 2026 최대치 (68,900 ÷ 52 × 55% = 728.75, F5 SECONDARY). 본인 실제 금액으로 바꾸세요.</t>
  </si>
  <si>
    <t>https://github.com/Artzp/RetireOps/blob/main/docs/source-of-truth/19-benefits-tax-credits-2026.md</t>
  </si>
  <si>
    <t>주간 보험가능소득</t>
  </si>
  <si>
    <t>Weekly insurable earnings</t>
  </si>
  <si>
    <t>예시 = 최대 보험가능소득 68,900 ÷ 52 ≈ 1,325 (F5). 본인 금액으로 바꾸세요.</t>
  </si>
  <si>
    <t>수입 공제율</t>
  </si>
  <si>
    <t>Earnings deduction rate</t>
  </si>
  <si>
    <t>주간 보험가능소득의 90%까지는 50%, 그 위는 100% (EI Act s.19(2),(3), F4)</t>
  </si>
  <si>
    <t>50% 구간 한도</t>
  </si>
  <si>
    <t>50% zone cap</t>
  </si>
  <si>
    <t>주간 보험가능소득의 90% (F4)</t>
  </si>
  <si>
    <t>Path A 계획 주간 순수입 A</t>
  </si>
  <si>
    <t>Planned Path A weekly net (A)</t>
  </si>
  <si>
    <t>memo 5.4 예시 ($400). "경미한 정도(minor extent)" 인정 여부는 Service Canada에 전화로 확인 (Regs s.30, F3).</t>
  </si>
  <si>
    <t>문 두드리기 깔때기 Door funnel — 가정 (출처 없음, F45). 시도 30회부터 측정값으로 바뀝니다</t>
  </si>
  <si>
    <t>응답률 (가정)</t>
  </si>
  <si>
    <t>Answer % (assumption A8)</t>
  </si>
  <si>
    <t>가정 A8 — 근거 자료 없음 (F45)</t>
  </si>
  <si>
    <t>견적 요청률 (가정)</t>
  </si>
  <si>
    <t>Quote % (assumption A9)</t>
  </si>
  <si>
    <t>가정 A9 — 대화 중 견적 요청 비율</t>
  </si>
  <si>
    <t>계약률 (가정)</t>
  </si>
  <si>
    <t>Close % (assumption A10)</t>
  </si>
  <si>
    <t>가정 A10 — 견적 중 계약 비율. 합치면 1.4% → 계약 1건당 약 71.4문</t>
  </si>
  <si>
    <t>측정값 사용 최소 시도</t>
  </si>
  <si>
    <t>Min attempts to use measured rates</t>
  </si>
  <si>
    <t>회</t>
  </si>
  <si>
    <t>이 수 이상이면 측정값 사용. 측정값이 0이면 그 비율만 가정값 사용.</t>
  </si>
  <si>
    <t>시나리오</t>
  </si>
  <si>
    <t>Scenario</t>
  </si>
  <si>
    <t>B1</t>
  </si>
  <si>
    <t>B1 = 청소+플랫폼, B2 = G1 통과 후 홈통·제설 추가 (memo 5.2, 5.3)</t>
  </si>
  <si>
    <t>다음 주 필요 계약 수 (직접)</t>
  </si>
  <si>
    <t>Closes needed next week (manual)</t>
  </si>
  <si>
    <t>비워 두면 아래 주별 목표표에서 자동으로 가져옵니다 (memo §7).</t>
  </si>
  <si>
    <t>다음 주 필요 계약 수 (사용값)</t>
  </si>
  <si>
    <t>Closes needed next week (used)</t>
  </si>
  <si>
    <t>= 그다음 주 완료 목표 (계약이 완료보다 약 1주 앞섬, memo §7 가정). 1월 이후는 직접 입력.</t>
  </si>
  <si>
    <t>현재 클러스터 번호</t>
  </si>
  <si>
    <t>Active cluster #</t>
  </si>
  <si>
    <t>지표 시트의 "남은 가구"는 이 클러스터 기준</t>
  </si>
  <si>
    <t>클러스터 1 가구 수</t>
  </si>
  <si>
    <t>Cluster 1 homes</t>
  </si>
  <si>
    <t>가구</t>
  </si>
  <si>
    <t>추정: memo §7은 B1에 2,000가구 이상 권장. 실제로 세어서 바꾸세요.</t>
  </si>
  <si>
    <t>클러스터 2 가구 수</t>
  </si>
  <si>
    <t>Cluster 2 homes</t>
  </si>
  <si>
    <t>열 때 입력</t>
  </si>
  <si>
    <t>클러스터 3 가구 수</t>
  </si>
  <si>
    <t>Cluster 3 homes</t>
  </si>
  <si>
    <t>문 1회 소요 시간</t>
  </si>
  <si>
    <t>Minutes per door attempt</t>
  </si>
  <si>
    <t>분</t>
  </si>
  <si>
    <t>가정 A11</t>
  </si>
  <si>
    <t>작업 있는 날 최대 문</t>
  </si>
  <si>
    <t>Max doors on a job day</t>
  </si>
  <si>
    <t>문</t>
  </si>
  <si>
    <t>memo §7 하루 한도</t>
  </si>
  <si>
    <t>견적 후 후속 연락까지</t>
  </si>
  <si>
    <t>Days before quote follow-up</t>
  </si>
  <si>
    <t>운영 선택 (owner choice) — 근거 자료 없음</t>
  </si>
  <si>
    <t>비용 가정 Costs — 추정 (출처 없음)</t>
  </si>
  <si>
    <t>청소 직접비율</t>
  </si>
  <si>
    <t>Cleaning direct cost %</t>
  </si>
  <si>
    <t>가정 A2 (청소 조사 자료의 임시값. 용품 가격은 못 찾음)</t>
  </si>
  <si>
    <t>플랫폼 작업 직접비율</t>
  </si>
  <si>
    <t>Platform direct cost %</t>
  </si>
  <si>
    <t>가정 A3 (용품·교통)</t>
  </si>
  <si>
    <t>제설 직접비율</t>
  </si>
  <si>
    <t>Snow direct cost %</t>
  </si>
  <si>
    <t>가정 A4 (소금·연료)</t>
  </si>
  <si>
    <t>홈통 작업당 변동비</t>
  </si>
  <si>
    <t>Gutter variable cost / job</t>
  </si>
  <si>
    <t>가정 A6 (출처 없음)</t>
  </si>
  <si>
    <t>월 고정비</t>
  </si>
  <si>
    <t>Monthly overhead</t>
  </si>
  <si>
    <t>$/월</t>
  </si>
  <si>
    <t>가정 A7 (전화·인쇄·광고)</t>
  </si>
  <si>
    <t>청소 CGL 보험료 (연)</t>
  </si>
  <si>
    <t>Cleaning CGL premium (yr)</t>
  </si>
  <si>
    <t>"$500부터" (F23, SNIPPET). 실제 견적으로 바꾸세요.</t>
  </si>
  <si>
    <t>https://www.thinkinsure.ca/business-insurance/cleaning-insurance</t>
  </si>
  <si>
    <t>손익분기 입력 Break-even inputs (memo 5.3) — 첫 시즌 기준, 추정</t>
  </si>
  <si>
    <t>홈통 설비비</t>
  </si>
  <si>
    <t>Gutter setup</t>
  </si>
  <si>
    <t>가정 A5 (사다리·스태빌라이저·도구·블로어). 보험 제외. 캐나다 사다리 가격 못 찾음.</t>
  </si>
  <si>
    <t>사다리·높이 보험 추가</t>
  </si>
  <si>
    <t>Ladder / height cover</t>
  </si>
  <si>
    <t>창문 청소 $2M 약 $450/년 (F27 하한, SNIPPET). 홈통 전용 견적 못 찾음.</t>
  </si>
  <si>
    <t>https://rates.ca/insurance-quotes/business/contractor/window-cleaning</t>
  </si>
  <si>
    <t>실제 사다리 보험 견적</t>
  </si>
  <si>
    <t>Actual ladder cover quote</t>
  </si>
  <si>
    <t>받으면 입력 (비우면 위 추정 사용)</t>
  </si>
  <si>
    <t>홈통 가격 — 기본</t>
  </si>
  <si>
    <t>Gutter ticket — base</t>
  </si>
  <si>
    <t>config/prices.ts 2층 기본값 (memo 5.3 기본 $225). 가격표를 바꾸면 다시 빌드.</t>
  </si>
  <si>
    <t>https://professionalroofers.com/blogs/gutter-cleaning-cost-in-toronto-2025/</t>
  </si>
  <si>
    <t>홈통 가격 — 보수</t>
  </si>
  <si>
    <t>Gutter ticket — conservative</t>
  </si>
  <si>
    <t>memo 5.1 보수 가정 ($150–350 범위 하단 근처)</t>
  </si>
  <si>
    <t>제설 보험 — 기본</t>
  </si>
  <si>
    <t>Snow cover — base</t>
  </si>
  <si>
    <t>"일반적" $1,000–3,000의 하단 (F29, SNIPPET)</t>
  </si>
  <si>
    <t>https://getcertain.ca/how-much-does-snow-removal-insurance-cost-in-canada/</t>
  </si>
  <si>
    <t>제설 보험 — 보수</t>
  </si>
  <si>
    <t>Snow cover — conservative</t>
  </si>
  <si>
    <t>"삽질하는 핸디맨 $1,800/년" (F29, 출처 불확실)</t>
  </si>
  <si>
    <t>실제 제설 보험 견적</t>
  </si>
  <si>
    <t>Actual snow cover quote</t>
  </si>
  <si>
    <t>받으면 입력 (Gate S: 계약 전 서면 보험 필수)</t>
  </si>
  <si>
    <t>제설기 — 기본</t>
  </si>
  <si>
    <t>Snowblower — base</t>
  </si>
  <si>
    <t>24" 2단 2025–26 할인가 $1,299–1,999 (F30, 포럼 요약)</t>
  </si>
  <si>
    <t>https://forums.redflagdeals.com/tags/snowblower/</t>
  </si>
  <si>
    <t>제설기 — 보수</t>
  </si>
  <si>
    <t>Snowblower — conservative</t>
  </si>
  <si>
    <t>F30 범위 상단</t>
  </si>
  <si>
    <t>실제 제설기 가격</t>
  </si>
  <si>
    <t>Actual snowblower price</t>
  </si>
  <si>
    <t>사면 입력 (11/20 손익분기 전에는 사지 않기)</t>
  </si>
  <si>
    <t>제설 시즌 가격 — 기본</t>
  </si>
  <si>
    <t>Snow season price — base</t>
  </si>
  <si>
    <t>config/prices.ts 1열 진입로 (memo 5.3 기본 $500)</t>
  </si>
  <si>
    <t>https://silverlightwindowsandeaves.ca/how-much-does-snow-removal-cost-in-toronto/</t>
  </si>
  <si>
    <t>제설 시즌 가격 — 보수</t>
  </si>
  <si>
    <t>Snow season price — conservative</t>
  </si>
  <si>
    <t>memo 5.1 보수 가정</t>
  </si>
  <si>
    <t>11월 1회 방문 가격</t>
  </si>
  <si>
    <t>November per-visit rate</t>
  </si>
  <si>
    <t>config/prices.ts (memo: 기본 $60, F28 $50–150 범위에서 선택)</t>
  </si>
  <si>
    <t>제설 분할 횟수</t>
  </si>
  <si>
    <t>Snow instalments</t>
  </si>
  <si>
    <t>config/prices.ts: 12/1, 1/1, 2/1, 3/1 (memo §2)</t>
  </si>
  <si>
    <t>제설 방식</t>
  </si>
  <si>
    <t>Snow method</t>
  </si>
  <si>
    <t>BLOWER</t>
  </si>
  <si>
    <t>SHOVEL = 차 없이 삽만 (memo §2 Gate S, §9)</t>
  </si>
  <si>
    <t>삽 제설 최대 곳 수</t>
  </si>
  <si>
    <t>Shovel-only cap</t>
  </si>
  <si>
    <t>곳</t>
  </si>
  <si>
    <t>가정: 진입로 1곳 소요 시간을 재기 전까지 10곳 (memo §9)</t>
  </si>
  <si>
    <t>게이트·점검 Gates &amp; checks (memo §2, §8) — 상태를 직접 바꾸세요</t>
  </si>
  <si>
    <t>청소 CGL 보험 가입됨?</t>
  </si>
  <si>
    <t>Cleaning CGL bound?</t>
  </si>
  <si>
    <t>가입 전에는 직접 고객 금지 (memo §6). 사이트 "Insured" 표시도 가입 후에만.</t>
  </si>
  <si>
    <t>플랫폼 승인됨?</t>
  </si>
  <si>
    <t>Platform approved?</t>
  </si>
  <si>
    <t>TaskRabbit/Jiffy 승인 기간 못 찾음 (F21)</t>
  </si>
  <si>
    <t>G1 통과?</t>
  </si>
  <si>
    <t>Gate G1 passed?</t>
  </si>
  <si>
    <t>PENDING</t>
  </si>
  <si>
    <t>5개 모두: 차량, 사다리 가능, 브로커 서면 확인, 자금, 날짜 잡힌 홈통 예약 5건 (memo §2)</t>
  </si>
  <si>
    <t>G1 최소 홈통 예약</t>
  </si>
  <si>
    <t>G1 min gutter bookings</t>
  </si>
  <si>
    <t>건</t>
  </si>
  <si>
    <t>memo §2 G1 조건 5 — 사다리는 그 뒤에 구매</t>
  </si>
  <si>
    <t>제설 서면 보험 (Gate S)?</t>
  </si>
  <si>
    <t>Gate S — written snow cover?</t>
  </si>
  <si>
    <t>제설 계약 서명 전 필수. 목표 10/30 (memo §2)</t>
  </si>
  <si>
    <t>현재 현금</t>
  </si>
  <si>
    <t>Cash on hand</t>
  </si>
  <si>
    <t>직접 입력 (매주 갱신)</t>
  </si>
  <si>
    <t>최소 현금선</t>
  </si>
  <si>
    <t>Runway floor</t>
  </si>
  <si>
    <t>첫날 질문 10: 버틸 수 있는 월세 개월 수 기준 (memo §7)</t>
  </si>
  <si>
    <t>Day 7 점검일</t>
  </si>
  <si>
    <t>Day 7 check</t>
  </si>
  <si>
    <t>memo §8</t>
  </si>
  <si>
    <t>Day 10 점검일</t>
  </si>
  <si>
    <t>Day 10 check</t>
  </si>
  <si>
    <t>memo §8 (CGL 가입)</t>
  </si>
  <si>
    <t>G1 최종 마감</t>
  </si>
  <si>
    <t>G1 hard stop</t>
  </si>
  <si>
    <t>memo §2</t>
  </si>
  <si>
    <t>Day 14 점검일</t>
  </si>
  <si>
    <t>Day 14 check</t>
  </si>
  <si>
    <t>Day 21 점검일</t>
  </si>
  <si>
    <t>Day 21 check</t>
  </si>
  <si>
    <t>Day 28 점검일</t>
  </si>
  <si>
    <t>Day 28 check</t>
  </si>
  <si>
    <t>Day 30 점검일</t>
  </si>
  <si>
    <t>Day 30 check</t>
  </si>
  <si>
    <t>제설 손익분기 마감</t>
  </si>
  <si>
    <t>Snow break-even deadline</t>
  </si>
  <si>
    <t>memo §2: 이날까지 손익분기 수 미달이면 모든 계약 무효</t>
  </si>
  <si>
    <t>Day 21 홈통 예약 구간 시작</t>
  </si>
  <si>
    <t>Gutter booking window from</t>
  </si>
  <si>
    <t>Day 21 홈통 예약 구간 끝</t>
  </si>
  <si>
    <t>Gutter booking window to</t>
  </si>
  <si>
    <t>Day 7: 시도 수</t>
  </si>
  <si>
    <t>Day 7: attempts</t>
  </si>
  <si>
    <t>memo §8: 160회 이상 + 견적 0건 → 스크립트 변경 (중단 아님)</t>
  </si>
  <si>
    <t>Day 14: 시도 수</t>
  </si>
  <si>
    <t>Day 14: attempts</t>
  </si>
  <si>
    <t>memo §8: 400회 이상 후 완료 0 + 예약 2건 미만 → Plan C</t>
  </si>
  <si>
    <t>Day 14: 예약 최소</t>
  </si>
  <si>
    <t>Day 14: min booked</t>
  </si>
  <si>
    <t>Day 21: 완료 최소 (B1)</t>
  </si>
  <si>
    <t>Day 21: min completed (B1)</t>
  </si>
  <si>
    <t>Day 21: run-rate 최소 (B1)</t>
  </si>
  <si>
    <t>Day 21: min run-rate (B1)</t>
  </si>
  <si>
    <t>Day 21: 홈통 예약 최소 (B2)</t>
  </si>
  <si>
    <t>Day 21: min gutter bookings (B2)</t>
  </si>
  <si>
    <t>memo §8 (10/19–11/30 예약)</t>
  </si>
  <si>
    <t>Day 21: 문→계약 최소 (B2)</t>
  </si>
  <si>
    <t>Day 21: min door→job (B2)</t>
  </si>
  <si>
    <t>memo §8: 1% 미만이면 보수 시나리오</t>
  </si>
  <si>
    <t>B2 기본 11월에 필요한 문→계약</t>
  </si>
  <si>
    <t>Door→job needed for base B2 Nov</t>
  </si>
  <si>
    <t>memo 5.3 (36 ÷ 2,000, 추정)</t>
  </si>
  <si>
    <t>Day 28: run-rate 최소</t>
  </si>
  <si>
    <t>Day 28: min run-rate</t>
  </si>
  <si>
    <t>memo §8 (기본 11월 속도 $819의 약 50%)</t>
  </si>
  <si>
    <t>Path B 기준 (memo 참고값)</t>
  </si>
  <si>
    <t>Path B line (memo reference)</t>
  </si>
  <si>
    <t>memo 5.4: 최대 EI 기준 약 $1,000/주. 실제 판단은 EI 시트의 재계산 값 사용.</t>
  </si>
  <si>
    <t>서비스 코드 Service codes — 견적·작업 시트의 "서비스" 목록. 직접비는 위 비용 가정에서 옵니다</t>
  </si>
  <si>
    <t>코드 Code</t>
  </si>
  <si>
    <t>한국어</t>
  </si>
  <si>
    <t>English</t>
  </si>
  <si>
    <t>직접비 %</t>
  </si>
  <si>
    <t>직접비 $/건</t>
  </si>
  <si>
    <t>근거</t>
  </si>
  <si>
    <t>CL-STD</t>
  </si>
  <si>
    <t>일반 청소</t>
  </si>
  <si>
    <t>Standard clean</t>
  </si>
  <si>
    <t>가정 A2</t>
  </si>
  <si>
    <t>CL-DEEP</t>
  </si>
  <si>
    <t>딥클린(대청소)</t>
  </si>
  <si>
    <t>Deep clean</t>
  </si>
  <si>
    <t>CL-MOVE</t>
  </si>
  <si>
    <t>입주·이사 청소</t>
  </si>
  <si>
    <t>Move-in / move-out clean</t>
  </si>
  <si>
    <t>CL-RECUR</t>
  </si>
  <si>
    <t>정기 청소(격주)</t>
  </si>
  <si>
    <t>Recurring clean (biweekly)</t>
  </si>
  <si>
    <t>GUT</t>
  </si>
  <si>
    <t>홈통(처마 물받이) 청소</t>
  </si>
  <si>
    <t>Gutter cleaning</t>
  </si>
  <si>
    <t>가정 A6</t>
  </si>
  <si>
    <t>SNOW</t>
  </si>
  <si>
    <t>제설 시즌 계약 (할부 1회분)</t>
  </si>
  <si>
    <t>Snow season contract (1 instalment)</t>
  </si>
  <si>
    <t>가정 A4</t>
  </si>
  <si>
    <t>SNOW-VISIT</t>
  </si>
  <si>
    <t>제설 1회 방문 (11월)</t>
  </si>
  <si>
    <t>Snow clearing, per visit (November)</t>
  </si>
  <si>
    <t>PLAT</t>
  </si>
  <si>
    <t>플랫폼 작업 (TaskRabbit·Jiffy)</t>
  </si>
  <si>
    <t>Platform task (TaskRabbit / Jiffy)</t>
  </si>
  <si>
    <t>가정 A3</t>
  </si>
  <si>
    <t>OTHER</t>
  </si>
  <si>
    <t>기타</t>
  </si>
  <si>
    <t>Other</t>
  </si>
  <si>
    <t>직접비 0 — 실제 비용을 작업 시트에 입력</t>
  </si>
  <si>
    <t>주별 완료 목표 Weekly completed-job targets (memo §7, section 5 기본) — 11월 이후는 추정</t>
  </si>
  <si>
    <t>시작 From</t>
  </si>
  <si>
    <t>끝 To</t>
  </si>
  <si>
    <t>구간</t>
  </si>
  <si>
    <t>B1 완료/주</t>
  </si>
  <si>
    <t>B1 문 (memo)</t>
  </si>
  <si>
    <t>B2 완료/주</t>
  </si>
  <si>
    <t>B2 문 (memo)</t>
  </si>
  <si>
    <t>Wk 1 (9/28–10/4)</t>
  </si>
  <si>
    <t>memo §7</t>
  </si>
  <si>
    <t>Wk 2 (10/5–10/11)</t>
  </si>
  <si>
    <t>Wk 3 (10/12–10/18)</t>
  </si>
  <si>
    <t>memo §7 (B2 = 청소 1 + 홈통 2)</t>
  </si>
  <si>
    <t>Wk 4 (10/19–10/25)</t>
  </si>
  <si>
    <t>memo §7 (B2 = 청소 2 + 홈통 3)</t>
  </si>
  <si>
    <t>10/26–10/31</t>
  </si>
  <si>
    <t>memo §7 (B2 = 청소 2 + 홈통 1)</t>
  </si>
  <si>
    <t>11월 (주당)</t>
  </si>
  <si>
    <t>추정: memo 5.2/5.3 11월 B1 14건, B2 36건 ÷ 4.33주</t>
  </si>
  <si>
    <t>12월 (주당)</t>
  </si>
  <si>
    <t>추정: memo 5.2/5.3 12월 청소 20건 ÷ 4.33 (제설 계약은 작업 수에서 제외)</t>
  </si>
  <si>
    <t>1월 (주당)</t>
  </si>
  <si>
    <t>추정: memo 5.2/5.3 1월 B1 24건, B2 청소 22건 ÷ 4.33</t>
  </si>
  <si>
    <t>가격표 참고 Price book — config/prices.ts (gta). 사이트 가격과 반드시 같아야 합니다. 여기서 고치지 말고 config/prices.ts를 고친 뒤 다시 빌드하세요</t>
  </si>
  <si>
    <t>청소 Cleaning</t>
  </si>
  <si>
    <t>포함 욕실</t>
  </si>
  <si>
    <t>일반 Standard</t>
  </si>
  <si>
    <t>딥 Deep</t>
  </si>
  <si>
    <t>입주·이사 Move-out</t>
  </si>
  <si>
    <t>비고</t>
  </si>
  <si>
    <t>침실 1개 / 1 BR</t>
  </si>
  <si>
    <t>세전, 시작가 (low end). 현장 확인 후 확정</t>
  </si>
  <si>
    <t>침실 2개 / 2 BR</t>
  </si>
  <si>
    <t>침실 3개 / 3 BR</t>
  </si>
  <si>
    <t>침실 4개 / 4 BR</t>
  </si>
  <si>
    <t>침실 5개 / 5 BR</t>
  </si>
  <si>
    <t>추가 욕실 / Extra bathroom</t>
  </si>
  <si>
    <t>운영 선택 (owner choice)</t>
  </si>
  <si>
    <t>오븐 내부 / Inside oven</t>
  </si>
  <si>
    <t>냉장고 내부 / Inside fridge</t>
  </si>
  <si>
    <t>빈 수납장 내부 / Inside empty cabinets</t>
  </si>
  <si>
    <t>24시간 내·주말·공휴일 할증 / Rush premium</t>
  </si>
  <si>
    <t>F18: 10–20% 범위의 중간</t>
  </si>
  <si>
    <t>견적 범위 상단 / Range uplift</t>
  </si>
  <si>
    <t>상단 = 하단 × (1 + 이 비율), 현장 확인</t>
  </si>
  <si>
    <t>홈통 단층 / Gutters 1 storey</t>
  </si>
  <si>
    <t>홈통 2층 / Gutters 2 storeys</t>
  </si>
  <si>
    <t>홈통 3층 / Gutters 3 storeys</t>
  </si>
  <si>
    <t>배수관 뚫기 / Downspout flush</t>
  </si>
  <si>
    <t>제설 1열 진입로 (시즌 가격 / per season)</t>
  </si>
  <si>
    <t>제설 2열 진입로 (시즌 가격 / per season)</t>
  </si>
  <si>
    <t>제설 대형 진입로 (시즌 가격 / per season)</t>
  </si>
  <si>
    <t>현관 보도·계단 / Walkway &amp; steps</t>
  </si>
  <si>
    <t>운영 선택 (add-on 가격 못 찾음)</t>
  </si>
  <si>
    <t>제빙 살포 / Salting</t>
  </si>
  <si>
    <t>11월 1회 방문 / November per visit</t>
  </si>
  <si>
    <t>분할 횟수 / Instalments</t>
  </si>
  <si>
    <t>12/1, 1/1, 2/1, 3/1 — 12/1 전 결제 없음</t>
  </si>
  <si>
    <t>가격 출처 Price sources (config/prices.ts) — snippet = 검색 요약만 봄, 직접 확인 필요</t>
  </si>
  <si>
    <t>Toronto flat-rate guide (condo/small apt $165–250; deep or larger $250–400+)</t>
  </si>
  <si>
    <t>snippet</t>
  </si>
  <si>
    <t>Search-result summary, 2025 article. Standard and deep defaults sit inside or just below this band.</t>
  </si>
  <si>
    <t>https://www.itsglocleaning.com/post/how-much-does-a-home-cleaning-service-cost-in-toronto</t>
  </si>
  <si>
    <t>Toronto apartment cleaning $100–250</t>
  </si>
  <si>
    <t>Search-result summary.</t>
  </si>
  <si>
    <t>https://nowitsclean.ca/blog/apartment-cleaning-cost/</t>
  </si>
  <si>
    <t>Toronto 3-bedroom home about $150–300</t>
  </si>
  <si>
    <t>Search-result summary, 2026.</t>
  </si>
  <si>
    <t>https://www.cqdnewgen.ai/blog/how-much-does-a-house-cleaner-cost-in-toronto-in-2026-real-c</t>
  </si>
  <si>
    <t>Move-out "From $185 Fixed"</t>
  </si>
  <si>
    <t>Page title seen in search results.</t>
  </si>
  <si>
    <t>https://anyclean.ca/move-out-cleaning-toronto/</t>
  </si>
  <si>
    <t>Move-out $325 (1BR) – $559 (5BR) + HST at one Toronto service</t>
  </si>
  <si>
    <t>Attribution to this page unconfirmed. Move-out defaults are set about 15–20% below it for a new entrant.</t>
  </si>
  <si>
    <t>https://mastermaid.ca/prices/</t>
  </si>
  <si>
    <t>Rush / weekend / holiday premium 10–20%</t>
  </si>
  <si>
    <t>Default premium 15% is the middle of this band.</t>
  </si>
  <si>
    <t>https://tidyuphandycrew.ca/2026/02/23/what-affects-move-out-cleaning-cost-in-toronto/</t>
  </si>
  <si>
    <t>Extra-bathroom charge and add-on prices (oven, fridge, cabinets)</t>
  </si>
  <si>
    <t>owner-choice</t>
  </si>
  <si>
    <t>No market figure was found. These are owner-set prices; change them freely.</t>
  </si>
  <si>
    <t>Toronto standard gutter cleaning $150–350</t>
  </si>
  <si>
    <t>2026 price per page title.</t>
  </si>
  <si>
    <t>GTA bungalow $150–225, 2-storey $200–275 (another guide $250–400)</t>
  </si>
  <si>
    <t>Summary combined several GTA guides; page attribution not exact.</t>
  </si>
  <si>
    <t>https://ntpropertycare.com/eavestrough-gutter-cleaning-cost-in-toronto/</t>
  </si>
  <si>
    <t>3-storey $275–375; downspout unclogging $70+ (Calgary guide, used as GTA fallback)</t>
  </si>
  <si>
    <t>No GTA 3-storey figure was found.</t>
  </si>
  <si>
    <t>https://guttercleaningcalgary.ca/cost-gutter-cleaning-calgary/</t>
  </si>
  <si>
    <t>Toronto: "most homeowners pay $500–1,500 per season"</t>
  </si>
  <si>
    <t>Other GTA guides give $200–600, $400–950 and $570–1,730. Defaults sit at the low end of the "most" band.</t>
  </si>
  <si>
    <t>GTA per visit $50–150; walkways, steps and salting "almost universally" add-ons</t>
  </si>
  <si>
    <t>Per-visit default $60. Add-on prices were not found, so walkway and salting prices are owner choices.</t>
  </si>
  <si>
    <t>https://www.monsterplow.ca/post/how-much-snow-removal-cost-toronto-2026-pricing-guide</t>
  </si>
  <si>
    <t>Toronto: pressure washing appears to need a Building Renovator licence (exam)</t>
  </si>
  <si>
    <t>Pressure washing is not offered.</t>
  </si>
  <si>
    <t>https://www.toronto.ca/services-payments/permits-licences-bylaws/building-renovators/</t>
  </si>
  <si>
    <t xml:space="preserve">날짜
Date</t>
  </si>
  <si>
    <t xml:space="preserve">거리
Street</t>
  </si>
  <si>
    <t xml:space="preserve">집 번호
House #</t>
  </si>
  <si>
    <t xml:space="preserve">시도 #
Attempt #</t>
  </si>
  <si>
    <t xml:space="preserve">결과 코드
Outcome</t>
  </si>
  <si>
    <t xml:space="preserve">메모
Notes</t>
  </si>
  <si>
    <t xml:space="preserve">클러스터
Cluster #</t>
  </si>
  <si>
    <t>코드</t>
  </si>
  <si>
    <t>뜻</t>
  </si>
  <si>
    <t>할 일</t>
  </si>
  <si>
    <t>EXAMPLE St</t>
  </si>
  <si>
    <t>101</t>
  </si>
  <si>
    <t>NA</t>
  </si>
  <si>
    <t>예시 행 — 계산에서 제외됨 / EXAMPLE row, not counted</t>
  </si>
  <si>
    <t>부재 No answer</t>
  </si>
  <si>
    <t>문고리 광고지를 두고 나중에 다시 (시도 # +1)</t>
  </si>
  <si>
    <t>NI</t>
  </si>
  <si>
    <t>관심 없음 Not interested</t>
  </si>
  <si>
    <t>끝. 다시 두드리지 않기</t>
  </si>
  <si>
    <t>Q</t>
  </si>
  <si>
    <t>견적 요청 Quote requested</t>
  </si>
  <si>
    <t>견적 시트에 한 줄 (출처 DOOR)</t>
  </si>
  <si>
    <t>B</t>
  </si>
  <si>
    <t>바로 예약 Booked</t>
  </si>
  <si>
    <t>견적 시트에 WON + 방문 계약 Y (10일 취소권 안내, F32)</t>
  </si>
  <si>
    <t>CB</t>
  </si>
  <si>
    <t>다시 연락 Call back</t>
  </si>
  <si>
    <t>후속 시트에 한 줄</t>
  </si>
  <si>
    <t>NS</t>
  </si>
  <si>
    <t>방문판매 금지 표시 No soliciting</t>
  </si>
  <si>
    <t>두드리지 않음. 시도 수에서 빠짐</t>
  </si>
  <si>
    <t xml:space="preserve">견적 ID
Quote ID</t>
  </si>
  <si>
    <t xml:space="preserve">요청일
Request date</t>
  </si>
  <si>
    <t xml:space="preserve">출처
Source</t>
  </si>
  <si>
    <t xml:space="preserve">고객 이름
Customer</t>
  </si>
  <si>
    <t xml:space="preserve">주소
Address</t>
  </si>
  <si>
    <t xml:space="preserve">연락처
Phone / email</t>
  </si>
  <si>
    <t xml:space="preserve">서비스
Service</t>
  </si>
  <si>
    <t xml:space="preserve">견적 금액 (세전)
Quote $ (pre-tax)</t>
  </si>
  <si>
    <t xml:space="preserve">상태
Status</t>
  </si>
  <si>
    <t xml:space="preserve">계약일
Won date</t>
  </si>
  <si>
    <t xml:space="preserve">작업 예정일
Scheduled</t>
  </si>
  <si>
    <t xml:space="preserve">방문 계약?
Door-signed (Y/N)</t>
  </si>
  <si>
    <t xml:space="preserve">마케팅 수신 동의
Marketing opt-in (Y/N)</t>
  </si>
  <si>
    <t xml:space="preserve">취소 가능 기한 (추정)
Cancel-by (est.)</t>
  </si>
  <si>
    <t xml:space="preserve">예상 순이익
Est. net</t>
  </si>
  <si>
    <t xml:space="preserve">후속 알림
Follow-up</t>
  </si>
  <si>
    <t>EX-Q1</t>
  </si>
  <si>
    <t>DOOR</t>
  </si>
  <si>
    <t>EXAMPLE Customer A</t>
  </si>
  <si>
    <t>103 EXAMPLE St</t>
  </si>
  <si>
    <t>555-0100</t>
  </si>
  <si>
    <t>WON</t>
  </si>
  <si>
    <t>Y</t>
  </si>
  <si>
    <t>N</t>
  </si>
  <si>
    <t>(자동)</t>
  </si>
  <si>
    <t xml:space="preserve">작업 ID
Job ID</t>
  </si>
  <si>
    <t xml:space="preserve">완료일
Completed date</t>
  </si>
  <si>
    <t xml:space="preserve">금액 (세전)
Price $ (pre-tax)</t>
  </si>
  <si>
    <t xml:space="preserve">직접비 (실제)
Direct costs $ (actual)</t>
  </si>
  <si>
    <t xml:space="preserve">적용 직접비
Direct cost used</t>
  </si>
  <si>
    <t xml:space="preserve">순이익
Net</t>
  </si>
  <si>
    <t xml:space="preserve">직접비 근거
Cost basis</t>
  </si>
  <si>
    <t xml:space="preserve">입금 합계
Paid</t>
  </si>
  <si>
    <t xml:space="preserve">미수금
Balance due</t>
  </si>
  <si>
    <t xml:space="preserve">인보이스 번호
Invoice #</t>
  </si>
  <si>
    <t xml:space="preserve">분할 안내
Split note</t>
  </si>
  <si>
    <t>EX-J1</t>
  </si>
  <si>
    <t xml:space="preserve">입금일
Date</t>
  </si>
  <si>
    <t xml:space="preserve">금액
Amount $</t>
  </si>
  <si>
    <t xml:space="preserve">방법
Method</t>
  </si>
  <si>
    <t xml:space="preserve">참조번호
Reference</t>
  </si>
  <si>
    <t xml:space="preserve">고객 (자동)
Customer (auto)</t>
  </si>
  <si>
    <t xml:space="preserve">카드 수수료 (추정)
Card fee (est.)</t>
  </si>
  <si>
    <t xml:space="preserve">작업 잔액
Job balance</t>
  </si>
  <si>
    <t>ETRANSFER</t>
  </si>
  <si>
    <t>EXAMPLE-REF-001</t>
  </si>
  <si>
    <t xml:space="preserve">등록일
Created</t>
  </si>
  <si>
    <t xml:space="preserve">고객
Customer</t>
  </si>
  <si>
    <t xml:space="preserve">관련 ID
Quote / Job ID</t>
  </si>
  <si>
    <t xml:space="preserve">유형
Type</t>
  </si>
  <si>
    <t xml:space="preserve">채널
Channel</t>
  </si>
  <si>
    <t xml:space="preserve">예정일
Due</t>
  </si>
  <si>
    <t xml:space="preserve">완료?
Done (Y/N)</t>
  </si>
  <si>
    <t xml:space="preserve">동의 근거
Consent basis</t>
  </si>
  <si>
    <t xml:space="preserve">수신거부?
Unsubscribed (Y/N)</t>
  </si>
  <si>
    <t xml:space="preserve">결과
Result</t>
  </si>
  <si>
    <t xml:space="preserve">CASL 확인
CASL check</t>
  </si>
  <si>
    <t xml:space="preserve">문의 동의 만료
Inquiry consent ends</t>
  </si>
  <si>
    <t>EXAMPLE Customer B</t>
  </si>
  <si>
    <t>EX-Q2</t>
  </si>
  <si>
    <t>QUOTE</t>
  </si>
  <si>
    <t>SMS</t>
  </si>
  <si>
    <t>INQUIRY</t>
  </si>
  <si>
    <t>모든 칸이 자동 계산입니다. 기준일은 설정 시트에서 바꿉니다. 비율·목표는 가정(memo A8–A10)으로 시작해 시도 30회부터 측정값으로 바뀝니다. 모든 결과는 추정이며 소득 보장이 아닙니다.</t>
  </si>
  <si>
    <t>1. 문 두드리기 누적 Door funnel (전체 기록)</t>
  </si>
  <si>
    <t>총 시도 Attempts</t>
  </si>
  <si>
    <t>NA+NI+Q+B+CB. 재방문도 1회 (memo §7). NS는 제외.</t>
  </si>
  <si>
    <t>응답 Answered</t>
  </si>
  <si>
    <t>NI+Q+B+CB</t>
  </si>
  <si>
    <t>문에서 견적 요청 Quote requests at door</t>
  </si>
  <si>
    <t>Q+B</t>
  </si>
  <si>
    <t>방문판매 금지 표시 NS</t>
  </si>
  <si>
    <t>두드리지 않은 집</t>
  </si>
  <si>
    <t>견적 시트: 문 출처 견적 Door quotes</t>
  </si>
  <si>
    <t>Q·B마다 견적 시트에 한 줄씩 넣어야 맞습니다</t>
  </si>
  <si>
    <t>문 출처 계약 Door closes (WON)</t>
  </si>
  <si>
    <t>문 출처 완료 작업 Door jobs completed</t>
  </si>
  <si>
    <t>전체 완료 작업 All completed jobs</t>
  </si>
  <si>
    <t>2. 전환율 Rates — 사용값 = 시도가 최소 기준 이상이고 측정값이 0보다 크면 측정값, 아니면 가정</t>
  </si>
  <si>
    <t>지표</t>
  </si>
  <si>
    <t>측정 Measured</t>
  </si>
  <si>
    <t>표본 n</t>
  </si>
  <si>
    <t>가정 Assumed</t>
  </si>
  <si>
    <t>사용 Used</t>
  </si>
  <si>
    <t>설명</t>
  </si>
  <si>
    <t>응답률 Answer %</t>
  </si>
  <si>
    <t>응답 ÷ 시도 (A8 가정 35%)</t>
  </si>
  <si>
    <t>견적률 Quote %</t>
  </si>
  <si>
    <t>문에서 견적 요청 ÷ 응답 (A9 가정 10%)</t>
  </si>
  <si>
    <t>계약률 Close %</t>
  </si>
  <si>
    <t>문 출처 WON ÷ 문 출처 견적 (진행 중 포함 — 보수적). 견적 10건 미만이면 흔들림이 큽니다 (A10 가정 40%)</t>
  </si>
  <si>
    <t>문→계약 Door→close %</t>
  </si>
  <si>
    <t>사용값 = 응답률 × 견적률 × 계약률 (가정이면 1.4%)</t>
  </si>
  <si>
    <t>계약 1건당 문 Doors per close</t>
  </si>
  <si>
    <t>가정이면 약 71.4문 (memo 5.1)</t>
  </si>
  <si>
    <t>완료 1건당 문 Doors per completed job</t>
  </si>
  <si>
    <t>문 출처 완료 작업 기준</t>
  </si>
  <si>
    <t>측정값 사용 여부</t>
  </si>
  <si>
    <t>3. 다음 주 문 목표 Next-week door target (memo §7) — 필요 문 수 = 필요 계약 ÷ (응답률 × 견적률 × 계약률)</t>
  </si>
  <si>
    <t>시나리오 Scenario</t>
  </si>
  <si>
    <t>설정 시트</t>
  </si>
  <si>
    <t>다음 주 필요 계약 수 Closes needed</t>
  </si>
  <si>
    <t>그다음 주 완료 목표 (설정 시트 주별 목표표 또는 직접 입력)</t>
  </si>
  <si>
    <t>다음 주 문 목표 Door target next week</t>
  </si>
  <si>
    <t>재방문 포함 시도 수. 광고·B2B에서 계약이 오면 더 적어도 됩니다 (memo §7: 상한값).</t>
  </si>
  <si>
    <t>예상 노크 시간 (시간) Door hours</t>
  </si>
  <si>
    <t>가정 A11: 1회 2분. 작업 있는 날은 최대 40문 (memo §7).</t>
  </si>
  <si>
    <t>현재 클러스터 Active cluster</t>
  </si>
  <si>
    <t>클러스터 가구 수 Homes in cluster</t>
  </si>
  <si>
    <t>최종 결과가 난 집 Homes with a final outcome</t>
  </si>
  <si>
    <t>NI+Q+B+NS (클러스터 칸이 비면 1로 계산). NA·CB는 아직 끝나지 않은 집.</t>
  </si>
  <si>
    <t>남은 가구 Homes left</t>
  </si>
  <si>
    <t>클러스터 가구 수 − 최종 결과가 난 집</t>
  </si>
  <si>
    <t>클러스터 #2 필요? Open cluster #2?</t>
  </si>
  <si>
    <t>memo §7: 남은 가구 &lt; 2 × 필요 문 수이면 클러스터 #2</t>
  </si>
  <si>
    <t>4. 수입 Run-rate — 최근 7일 완료 작업의 순이익 (설비·연 보험료 제외, memo §8)</t>
  </si>
  <si>
    <t>최근 7일 순이익 Trailing-7-day net</t>
  </si>
  <si>
    <t>작업 시트: 완료일이 기준일−6 ~ 기준일인 작업의 순이익 합</t>
  </si>
  <si>
    <t>최근 7일 완료 건수 Jobs (7 days)</t>
  </si>
  <si>
    <t>월 환산 Monthly pace (×4.33, 추정)</t>
  </si>
  <si>
    <t>추정: 한 달 ≈ 4.33주. 소득 보장 아님.</t>
  </si>
  <si>
    <t>이번 달 순이익 Month-to-date net</t>
  </si>
  <si>
    <t>월 고정비(가정 A7)는 빼지 않은 값</t>
  </si>
  <si>
    <t>미수금 합계 Unpaid balances</t>
  </si>
  <si>
    <t>작업 시트 미수금 &gt; 0 합계</t>
  </si>
  <si>
    <t>진행 중 견적 Open quotes</t>
  </si>
  <si>
    <t>지난 후속 연락 Overdue follow-ups</t>
  </si>
  <si>
    <t>EI Path A / B 판단</t>
  </si>
  <si>
    <t>EI 주간신고 시트 (memo 5.4). 판단은 Service Canada.</t>
  </si>
  <si>
    <t>5. 킬 기준 Kill criteria (memo §8) — PASS 통과 · FAIL/ACTION 조치 · PENDING 아직 날짜 전</t>
  </si>
  <si>
    <t>점검 Check</t>
  </si>
  <si>
    <t>날짜</t>
  </si>
  <si>
    <t>신호 Signal</t>
  </si>
  <si>
    <t>측정 D</t>
  </si>
  <si>
    <t>측정 E</t>
  </si>
  <si>
    <t>측정 F</t>
  </si>
  <si>
    <t>기준 Threshold</t>
  </si>
  <si>
    <t>결과 Result</t>
  </si>
  <si>
    <t>조치 Action</t>
  </si>
  <si>
    <t>Day 7</t>
  </si>
  <si>
    <t>시도(D) ≥ 기준인데 견적 요청(E) 0건</t>
  </si>
  <si>
    <t>중단 아님. 스크립트·제안·거리를 바꾸고, 노크 시간 절반을 한인 커뮤니티·부동산 채널로 돌리기.</t>
  </si>
  <si>
    <t>Day 10</t>
  </si>
  <si>
    <t>청소 CGL 보험 가입(D)</t>
  </si>
  <si>
    <t>직접 고객 받지 않기. 플랫폼만 하다가 순이익 $500이 모이면 다시 시도.</t>
  </si>
  <si>
    <t>G1 마감</t>
  </si>
  <si>
    <t>G1 5개 조건 모두 충족(D)</t>
  </si>
  <si>
    <t>2026년 홈통 청소 접기. 제설은 Gate S로 따로 결정.</t>
  </si>
  <si>
    <t>Day 14</t>
  </si>
  <si>
    <t>유료 완료(D) 0건, 예약(E) 기준 미만, 시도(F) ≥ 기준</t>
  </si>
  <si>
    <t>Plan C: EI Path A(자격이 있으면) + 플랫폼 + 전일제 구직.</t>
  </si>
  <si>
    <t>플랫폼 승인(D)</t>
  </si>
  <si>
    <t>모든 예측에서 플랫폼 시간 빼기. 빨리 승인될 거라 기대하고 다른 곳에 재신청하지 않기.</t>
  </si>
  <si>
    <t>Day 21 (B1)</t>
  </si>
  <si>
    <t>완료(D) 기준 미만 또는 7일 run-rate(E) 기준 미만</t>
  </si>
  <si>
    <t>Plan C.</t>
  </si>
  <si>
    <t>Day 21 (B2)</t>
  </si>
  <si>
    <t>10/19–11/30 날짜 잡힌 홈통 예약(D) 기준 미만</t>
  </si>
  <si>
    <t>홈통 접기. 사다리는 이미 샀을 때만 매몰비용.</t>
  </si>
  <si>
    <t>문→계약률(D). E = 기본 B2 11월에 필요한 비율</t>
  </si>
  <si>
    <t>기본 B2 11월은 불가능(≥1.8% 필요, memo 5.3). 보수 시나리오 줄로 계획.</t>
  </si>
  <si>
    <t>Day 28</t>
  </si>
  <si>
    <t>7일 run-rate(D) 기준 미만</t>
  </si>
  <si>
    <t>Day 30</t>
  </si>
  <si>
    <t>7일 run-rate(D) ≥ Path B 전환선(E, EI 시트)</t>
  </si>
  <si>
    <t>Path B = 사업 전념, 그 주 EI 없음 (F3). 모든 금액 신고. 판단은 Service Canada.</t>
  </si>
  <si>
    <t>제설 11/20</t>
  </si>
  <si>
    <t>11/20까지 서명한 제설 계약(D) &lt; 손익분기(E)</t>
  </si>
  <si>
    <t>미달이면 모든 계약 무효 (받은 돈 없음). 보험·제설기 사지 않기.</t>
  </si>
  <si>
    <t>매일 Any day</t>
  </si>
  <si>
    <t>현재 현금(D) &lt; 최소 현금선(E)</t>
  </si>
  <si>
    <t>모든 설비 구매 중단. 플랫폼 + 구직만.</t>
  </si>
  <si>
    <t>6. DAILY 이메일 제목 — 기준일 하루치 숫자. 아래 제목 줄을 그대로 복사해 본인에게 보내세요 (memo §10 item 11)</t>
  </si>
  <si>
    <t>날짜 Date</t>
  </si>
  <si>
    <t>doors (시도, NS 제외)</t>
  </si>
  <si>
    <t>answers (응답)</t>
  </si>
  <si>
    <t>quotes (새 견적 요청, 모든 출처)</t>
  </si>
  <si>
    <t>closes (그날 계약 성사)</t>
  </si>
  <si>
    <t>completed (그날 완료한 작업)</t>
  </si>
  <si>
    <t>net (그날 완료 작업 순이익, 달러 반올림)</t>
  </si>
  <si>
    <t>이메일 제목 Subject</t>
  </si>
  <si>
    <t>EI 주간신고 — 추정 계산 (최종 판단은 Service Canada)</t>
  </si>
  <si>
    <t>순수입 = 총수입 − 운영비 (EI Regs s.35(10)(c)); 수입은 일한 주에 배분 (s.36(6)); 모든 수입 신고, 신고 안 한 수입은 환수 (F4). 사업이 "경미한 정도(minor extent)"를 넘으면 그 주는 EI 없음 (s.30, F3). 총수입은 작업 시트, 운영비는 지출 시트에서 자동으로 옵니다. 법률 자문 아님.</t>
  </si>
  <si>
    <t xml:space="preserve">주 시작 (일)
Week start (Sun)</t>
  </si>
  <si>
    <t xml:space="preserve">주 끝 (토)
Week end</t>
  </si>
  <si>
    <t xml:space="preserve">총수입
Gross</t>
  </si>
  <si>
    <t xml:space="preserve">운영비
Operating exp.</t>
  </si>
  <si>
    <t xml:space="preserve">순수입
Net = 총수입 − 운영비</t>
  </si>
  <si>
    <t xml:space="preserve">경로
Path</t>
  </si>
  <si>
    <t xml:space="preserve">EI 공제 추정
Est. deduction</t>
  </si>
  <si>
    <t xml:space="preserve">EI 수령 추정
Est. EI paid</t>
  </si>
  <si>
    <t xml:space="preserve">Path A 합계
EI + 순수입</t>
  </si>
  <si>
    <t xml:space="preserve">CPP 뺀 합계
After CPP</t>
  </si>
  <si>
    <t xml:space="preserve">Path B 비교
(EI 없음, CPP 뺀)</t>
  </si>
  <si>
    <t xml:space="preserve">이 주 기준 전환선
Switch line</t>
  </si>
  <si>
    <t xml:space="preserve">신고함?
Declared</t>
  </si>
  <si>
    <t xml:space="preserve">신고일
Declared on</t>
  </si>
  <si>
    <t>항목 Item</t>
  </si>
  <si>
    <t>값</t>
  </si>
  <si>
    <t>설정 시트 (예시 = 2026 최대 $729, F5)</t>
  </si>
  <si>
    <t>50% 구간 한도 (90%)</t>
  </si>
  <si>
    <t>F4</t>
  </si>
  <si>
    <t>CPP 비율</t>
  </si>
  <si>
    <t>F9</t>
  </si>
  <si>
    <t>Path A 계획 순수입 A</t>
  </si>
  <si>
    <t>memo 5.4 예시 $400</t>
  </si>
  <si>
    <t>Path B 전환선 (주)</t>
  </si>
  <si>
    <t>memo 5.4: (B − 0.5A + 0.881A) ÷ 0.881. 최대 EI면 약 $1,000</t>
  </si>
  <si>
    <t>공식 적용 확인</t>
  </si>
  <si>
    <t>A가 50% 구간 안에 있어야 공식이 맞습니다</t>
  </si>
  <si>
    <t>지난 2주 완료 순이익</t>
  </si>
  <si>
    <t>작업 시트 (기준일 포함 14일)</t>
  </si>
  <si>
    <t>앞으로 2주 예약 순이익</t>
  </si>
  <si>
    <t>견적 시트: WON + 예정일이 앞으로 14일 (추정 순이익). 제설 시즌 계약(SNOW)은 제외: 견적 금액이 12–3월에 나눠 버는 시즌 총액이라서입니다. 할부는 작업 시트에 회차마다 한 줄씩(12/1, 1/1, 2/1, 3/1) 넣으면 “지난 2주 완료”에 잡힙니다.</t>
  </si>
  <si>
    <t>주당 평균 (4주)</t>
  </si>
  <si>
    <t>해석(추정): (지난 2주 완료 + 앞으로 2주 예약) ÷ 4주 (memo 5.4 규칙 3)</t>
  </si>
  <si>
    <t>판단</t>
  </si>
  <si>
    <t>10월 기본값은 Path A (memo 5.4). Service Canada에 "minor extent" 여부를 먼저 전화로 물어보세요.</t>
  </si>
  <si>
    <t>F1 (Pilot 24)</t>
  </si>
  <si>
    <t>EI 자격</t>
  </si>
  <si>
    <t>세금 Tax — GST/HST 분기 점검, CPP 적립, T2125 분류 (세무 자문 아님)</t>
  </si>
  <si>
    <t>매출은 작업 시트의 완료일 기준, 지출은 지출 시트 기준입니다. 입금 시트와의 차이는 미수금·입금 시기 때문입니다. 소규모 사업자 기준 $30,000: 4분기 합계 테스트 + 단일 분기 테스트 (ETA s.148, F7). 경고선: 4분기 $25,000, 단일 분기 $20,000 (memo §10 item 15).</t>
  </si>
  <si>
    <t>분기 Quarter</t>
  </si>
  <si>
    <t>시작</t>
  </si>
  <si>
    <t>끝</t>
  </si>
  <si>
    <t xml:space="preserve">총매출
Gross (Jobs)</t>
  </si>
  <si>
    <t xml:space="preserve">과세매출 (테스트)
Taxable (test)</t>
  </si>
  <si>
    <t xml:space="preserve">4분기 합계
Rolling 4Q</t>
  </si>
  <si>
    <t xml:space="preserve">단일 분기 경고
Single-quarter</t>
  </si>
  <si>
    <t xml:space="preserve">4분기 경고
Rolling flag</t>
  </si>
  <si>
    <t xml:space="preserve">입금 합계
Payments</t>
  </si>
  <si>
    <t xml:space="preserve">차이
Diff</t>
  </si>
  <si>
    <t xml:space="preserve">지출
Expenses</t>
  </si>
  <si>
    <t xml:space="preserve">CPP 적립 11.9%
Set aside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</si>
  <si>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</si>
  <si>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</si>
  <si>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</si>
  <si>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</si>
  <si>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</si>
  <si>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</si>
  <si>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</si>
  <si>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</si>
  <si>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4분기 합계: 첫 분기들은 그 전 분기가 없으므로 있는 분기만 더합니다. 하나의 분기가 $30,000을 넘으면 그 공급부터 등록 대상일 수 있음 (단일 분기 테스트) — 확인 필요. 등록 전에는 인보이스에 세금을 넣지 않습니다.</t>
  </si>
  <si>
    <t>연도별 요약 Annual summary</t>
  </si>
  <si>
    <t>연도 Year</t>
  </si>
  <si>
    <t>총매출</t>
  </si>
  <si>
    <t>지출</t>
  </si>
  <si>
    <t>순이익</t>
  </si>
  <si>
    <t>CPP 적립 (11.9% × 순이익)</t>
  </si>
  <si>
    <t>CPP 추정 (기본공제 반영)</t>
  </si>
  <si>
    <t>주행 km</t>
  </si>
  <si>
    <t>적립은 보수적인 E열 권장 (memo 5.4는 기본공제를 무시)</t>
  </si>
  <si>
    <t>마감·규칙 Deadlines &amp; rules (memo §6)</t>
  </si>
  <si>
    <t>소득세: T1 + T2125. 2026년분은 2027-06-15까지 신고, 2027-04-30까지 납부 (memo §6).</t>
  </si>
  <si>
    <t>https://github.com/justicecanada/laws-lois-xml/blob/main/eng/acts/I-3.3.xml</t>
  </si>
  <si>
    <t>분납(instalments): 올해 또는 지난 2년 각각의 순 세금이 $3,000 이하면 필요 없음 (ITA s.156.1(1),(2)(b), F10). 본인 해당 여부는 추정 — 확인 필요.</t>
  </si>
  <si>
    <t>CPP: 자영업 9.9% + 2.0% = 11.9%, 기본공제 $3,500 초과분 (F9). 적립은 순이익 전체의 11.9%로 보수적으로.</t>
  </si>
  <si>
    <t>GST/HST: 온타리오 HST 13% (ETA s.165, Sched. VIII, F8). 자발적 등록은 1년간 취소 불가 (ETA s.242(2), F8) → B2C는 기준 전까지 미등록 유지 (memo §6).</t>
  </si>
  <si>
    <t>플랫폼(TaskRabbit·Jiffy) 수입이 본인 과세매출인지 확인 안 됨 (memo 5.5) — 설정 시트 스위치로 조정.</t>
  </si>
  <si>
    <t>business/research/decision-memo.md</t>
  </si>
  <si>
    <t>소득세율·소득세 적립액은 연구 범위 밖이라 이 시트에 없습니다. 회계사 또는 CRA에 확인.</t>
  </si>
  <si>
    <t>T2125 지출 분류 — 확인 필요: 연구 자료에 없는 목록입니다. 최신 CRA T2125 양식에서 줄 번호·이름을 확인하세요</t>
  </si>
  <si>
    <t>분류 Category (지출 시트 목록)</t>
  </si>
  <si>
    <t>예시·주의 (확인 필요)</t>
  </si>
  <si>
    <t>합계 (전체 기간)</t>
  </si>
  <si>
    <t>8521 Advertising</t>
  </si>
  <si>
    <t>광고</t>
  </si>
  <si>
    <t>문고리 광고지·전단 인쇄, 유료 광고</t>
  </si>
  <si>
    <t>8523 Meals and entertainment</t>
  </si>
  <si>
    <t>식대·접대</t>
  </si>
  <si>
    <t>공제 한도 규정 확인 필요</t>
  </si>
  <si>
    <t>8590 Bad debts</t>
  </si>
  <si>
    <t>대손 (못 받은 돈)</t>
  </si>
  <si>
    <t>8690 Insurance</t>
  </si>
  <si>
    <t>보험</t>
  </si>
  <si>
    <t>청소 CGL, 사다리·제설 보험</t>
  </si>
  <si>
    <t>8710 Interest and bank charges</t>
  </si>
  <si>
    <t>이자·은행 수수료</t>
  </si>
  <si>
    <t>카드 결제 수수료 분류 확인 필요</t>
  </si>
  <si>
    <t>8760 Business taxes, licences and memberships</t>
  </si>
  <si>
    <t>사업세·면허·회비</t>
  </si>
  <si>
    <t>플랫폼 가입비($25) 분류 확인 필요</t>
  </si>
  <si>
    <t>8810 Office expenses</t>
  </si>
  <si>
    <t>사무 비용</t>
  </si>
  <si>
    <t>8811 Office stationery and supplies</t>
  </si>
  <si>
    <t>사무용품·소모품</t>
  </si>
  <si>
    <t>청소 용품 분류는 확인 필요</t>
  </si>
  <si>
    <t>8860 Professional fees</t>
  </si>
  <si>
    <t>전문가 수수료 (회계·법률)</t>
  </si>
  <si>
    <t>8871 Management and administration fees</t>
  </si>
  <si>
    <t>관리·행정 수수료</t>
  </si>
  <si>
    <t>8910 Rent</t>
  </si>
  <si>
    <t>임차료</t>
  </si>
  <si>
    <t>8960 Repairs and maintenance</t>
  </si>
  <si>
    <t>수리·유지보수</t>
  </si>
  <si>
    <t>9060 Salaries, wages and benefits</t>
  </si>
  <si>
    <t>급여</t>
  </si>
  <si>
    <t>첫 달에는 고용 없음 (memo §3)</t>
  </si>
  <si>
    <t>9180 Property taxes</t>
  </si>
  <si>
    <t>재산세</t>
  </si>
  <si>
    <t>9200 Travel expenses</t>
  </si>
  <si>
    <t>출장·여행</t>
  </si>
  <si>
    <t>9220 Utilities</t>
  </si>
  <si>
    <t>공과금</t>
  </si>
  <si>
    <t>휴대폰 요금 분류 확인 필요</t>
  </si>
  <si>
    <t>9224 Fuel costs (except for motor vehicles)</t>
  </si>
  <si>
    <t>연료 (차량 제외)</t>
  </si>
  <si>
    <t>제설기 연료 등</t>
  </si>
  <si>
    <t>9275 Delivery, freight and express</t>
  </si>
  <si>
    <t>배송·운송</t>
  </si>
  <si>
    <t>9281 Motor vehicle expenses (not including CCA)</t>
  </si>
  <si>
    <t>차량 비용 (감가상각 제외)</t>
  </si>
  <si>
    <t>주행 시트 기록 필요</t>
  </si>
  <si>
    <t>9936 Capital cost allowance (CCA)</t>
  </si>
  <si>
    <t>감가상각 (CCA)</t>
  </si>
  <si>
    <t>사다리·제설기 등 — 확인 필요</t>
  </si>
  <si>
    <t>9945 Business-use-of-home expenses</t>
  </si>
  <si>
    <t>자택 사업 사용분</t>
  </si>
  <si>
    <t>9270 Other expenses</t>
  </si>
  <si>
    <t>기타 비용</t>
  </si>
  <si>
    <t>미분류 Not sure</t>
  </si>
  <si>
    <t>미분류</t>
  </si>
  <si>
    <t>회계사에게 확인</t>
  </si>
  <si>
    <t>손익분기 Break-even (memo 5.3) — 추정, 첫 시즌 기준</t>
  </si>
  <si>
    <t>기본·보수 열은 memo 5.3 가정입니다. 실제 열은 설정 시트의 실제 견적과 견적 시트에서 성사(WON)된 가격 평균을 씁니다 (없으면 기본값). 제설기는 다음 시즌에도 쓸 수 있습니다.</t>
  </si>
  <si>
    <t>A. 홈통 청소 Gutters — G1 통과 후에만. 날짜 잡힌 예약 5건 전에는 사다리 사지 않기</t>
  </si>
  <si>
    <t>기본 Base</t>
  </si>
  <si>
    <t>보수 Conservative</t>
  </si>
  <si>
    <t>실제 Actual</t>
  </si>
  <si>
    <t>설비비 Setup</t>
  </si>
  <si>
    <t>가정 A5 (보험 제외)</t>
  </si>
  <si>
    <t>사다리·높이 보험 Ladder cover</t>
  </si>
  <si>
    <t>F27 하한 (SNIPPET). 실제 견적이 있으면 실제 열에 반영</t>
  </si>
  <si>
    <t>고정비 합계 Fixed</t>
  </si>
  <si>
    <t>작업당 가격 Ticket</t>
  </si>
  <si>
    <t>실제 = 성사된 홈통 견적 평균</t>
  </si>
  <si>
    <t>작업당 변동비 Variable</t>
  </si>
  <si>
    <t>작업당 기여이익 Contribution</t>
  </si>
  <si>
    <t>memo: 기본 $205, 보수 $155</t>
  </si>
  <si>
    <t>손익분기 작업 수 Break-even jobs</t>
  </si>
  <si>
    <t>memo: 기본 10건, 보수 13건</t>
  </si>
  <si>
    <t>성사된 홈통 작업 Signed (WON)</t>
  </si>
  <si>
    <t>견적 시트</t>
  </si>
  <si>
    <t>날짜 잡힌 예약 Booked with dates</t>
  </si>
  <si>
    <t>G1 조건 5의 기준</t>
  </si>
  <si>
    <t>완료된 홈통 작업 Completed</t>
  </si>
  <si>
    <t>작업 시트</t>
  </si>
  <si>
    <t>손익분기까지 남은 수 Remaining</t>
  </si>
  <si>
    <t>실제 열 기준</t>
  </si>
  <si>
    <t>사다리 구매 규칙 Ladder rule</t>
  </si>
  <si>
    <t>memo §2 G1 조건 5</t>
  </si>
  <si>
    <t>G1 상태</t>
  </si>
  <si>
    <t>B. 제설 Snow — Gate S(서면 보험) 후에만. 12/1 전 결제 없음, 11/20까지 손익분기 미달이면 모든 계약 무효</t>
  </si>
  <si>
    <t>제설 보험 Snow cover</t>
  </si>
  <si>
    <t>F29 (SNIPPET)</t>
  </si>
  <si>
    <t>제설기 Snowblower</t>
  </si>
  <si>
    <t>F30. 삽만 쓰면 0</t>
  </si>
  <si>
    <t>시즌 가격 Season price</t>
  </si>
  <si>
    <t>실제 = 성사된 제설 계약(SNOW) 시즌 총액 평균</t>
  </si>
  <si>
    <t>직접비율 Direct cost %</t>
  </si>
  <si>
    <t>계약당 기여이익 Contribution</t>
  </si>
  <si>
    <t>memo: 기본 $425, 보수 $340</t>
  </si>
  <si>
    <t>손익분기 — 제설기 With blower</t>
  </si>
  <si>
    <t>memo: 기본 6, 보수 12</t>
  </si>
  <si>
    <t>손익분기 — 삽만 Shovel only</t>
  </si>
  <si>
    <t>memo: 기본 3, 보수 6</t>
  </si>
  <si>
    <t>제설 방식 Method</t>
  </si>
  <si>
    <t>적용 손익분기 (실제) Break-even used</t>
  </si>
  <si>
    <t>실제 열 + 제설 방식</t>
  </si>
  <si>
    <t>서명한 제설 계약 Signed (WON)</t>
  </si>
  <si>
    <t>견적 시트 (서비스 SNOW)</t>
  </si>
  <si>
    <t>11/20까지 서명 Signed by deadline</t>
  </si>
  <si>
    <t>계약일 기준</t>
  </si>
  <si>
    <t>남은 수 Remaining</t>
  </si>
  <si>
    <t>상태 Status</t>
  </si>
  <si>
    <t>memo §2, §8</t>
  </si>
  <si>
    <t>삽 제설 한도 Shovel cap</t>
  </si>
  <si>
    <t>memo §9 (가정)</t>
  </si>
  <si>
    <t>서명한 시즌 총액 Signed season value</t>
  </si>
  <si>
    <t>받은 돈 ≠ 번 돈: 서비스를 한 만큼만 번 것 (memo 5.3)</t>
  </si>
  <si>
    <t>월 분할 입금 예정 Per instalment (12/1–3/1)</t>
  </si>
  <si>
    <t>12/1, 1/1, 2/1, 3/1</t>
  </si>
  <si>
    <t>작업 ID Job ID (입력)</t>
  </si>
  <si>
    <t>인보이스 번호 Invoice #</t>
  </si>
  <si>
    <t>helper</t>
  </si>
  <si>
    <t>발행일 Invoice date</t>
  </si>
  <si>
    <t>작업일 Service date</t>
  </si>
  <si>
    <t>고객 Bill to</t>
  </si>
  <si>
    <t>작업 주소 Service address</t>
  </si>
  <si>
    <t>내용 Description</t>
  </si>
  <si>
    <t>수량 Qty</t>
  </si>
  <si>
    <t>단가 Unit $</t>
  </si>
  <si>
    <t>금액 Amount $</t>
  </si>
  <si>
    <t>소계 Subtotal</t>
  </si>
  <si>
    <t>합계 Total</t>
  </si>
  <si>
    <t>입금 Paid</t>
  </si>
  <si>
    <t>잔액 Balance due</t>
  </si>
  <si>
    <t>결제 방법 How to pay</t>
  </si>
  <si>
    <t xml:space="preserve">내용
Description</t>
  </si>
  <si>
    <t xml:space="preserve">거래처
Vendor</t>
  </si>
  <si>
    <t xml:space="preserve">금액 (세금 포함)
Amount $ (incl. tax)</t>
  </si>
  <si>
    <t xml:space="preserve">T2125 분류
T2125 category</t>
  </si>
  <si>
    <t xml:space="preserve">결제 방법
Paid by</t>
  </si>
  <si>
    <t xml:space="preserve">영수증 보관?
Receipt kept (Y/N)</t>
  </si>
  <si>
    <t xml:space="preserve">관련 작업 ID
Job ID (optional)</t>
  </si>
  <si>
    <t xml:space="preserve">분기
Quarter</t>
  </si>
  <si>
    <t>EXAMPLE door-hanger printing</t>
  </si>
  <si>
    <t>EXAMPLE Print Shop</t>
  </si>
  <si>
    <t>DEBIT</t>
  </si>
  <si>
    <t xml:space="preserve">출발
From</t>
  </si>
  <si>
    <t xml:space="preserve">도착
To</t>
  </si>
  <si>
    <t xml:space="preserve">업무 목적
Business purpose</t>
  </si>
  <si>
    <t xml:space="preserve">관련 작업 ID
Job ID</t>
  </si>
  <si>
    <t xml:space="preserve">거리 (km)
Distance (km)</t>
  </si>
  <si>
    <t xml:space="preserve">연도
Year</t>
  </si>
  <si>
    <t>Home</t>
  </si>
  <si>
    <t>EXAMPLE job EX-J1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</si>
</sst>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yyyy-mm-dd"/>
    <numFmt numFmtId="165" formatCode="0.0%"/>
    <numFmt numFmtId="166" formatCode="$#,##0;[Red]-$#,##0"/>
    <numFmt numFmtId="167" formatCode="$#,##0.00;[Red]-$#,##0.00"/>
    <numFmt numFmtId="168" formatCode="0.0"/>
  </numFmts>
  <fonts count="20" x14ac:knownFonts="1">
    <font>
      <color theme="1"/>
      <family val="2"/>
      <scheme val="minor"/>
      <sz val="11"/>
      <name val="Calibri"/>
    </font>
    <font>
      <b/>
      <color rgb="FF1F4E78"/>
      <sz val="14"/>
      <name val="Malgun Gothic"/>
    </font>
    <font>
      <i/>
      <color rgb="FF7F7F7F"/>
      <sz val="10"/>
      <name val="Malgun Gothic"/>
    </font>
    <font>
      <b/>
      <color rgb="FFFFFFFF"/>
      <sz val="10"/>
      <name val="Malgun Gothic"/>
    </font>
    <font>
      <b/>
      <color rgb="FF1F4E78"/>
      <sz val="11"/>
      <name val="Malgun Gothic"/>
    </font>
    <font>
      <sz val="10"/>
      <name val="Malgun Gothic"/>
    </font>
    <font>
      <color rgb="FF7F7F7F"/>
      <sz val="10"/>
      <name val="Malgun Gothic"/>
    </font>
    <font>
      <color rgb="FF0000FF"/>
      <sz val="10"/>
      <name val="Malgun Gothic"/>
    </font>
    <font>
      <sz val="9"/>
      <name val="Malgun Gothic"/>
    </font>
    <font>
      <u/>
      <color rgb="FF0563C1"/>
      <sz val="9"/>
      <name val="Malgun Gothic"/>
    </font>
    <font>
      <b/>
      <sz val="10"/>
      <name val="Malgun Gothic"/>
    </font>
    <font>
      <color rgb="FF7F7F7F"/>
      <sz val="9"/>
      <name val="Malgun Gothic"/>
    </font>
    <font>
      <b/>
      <sz val="9"/>
      <name val="Malgun Gothic"/>
    </font>
    <font>
      <b/>
      <sz val="12"/>
      <name val="Malgun Gothic"/>
    </font>
    <font>
      <color rgb="FF0563C1"/>
      <sz val="9"/>
      <name val="Malgun Gothic"/>
    </font>
    <font>
      <b/>
      <color rgb="FF1F4E78"/>
      <sz val="16"/>
      <name val="Malgun Gothic"/>
    </font>
    <font>
      <sz val="11"/>
      <name val="Malgun Gothic"/>
    </font>
    <font>
      <color rgb="FFC00000"/>
      <sz val="9"/>
      <name val="Malgun Gothic"/>
    </font>
    <font>
      <b/>
      <color rgb="FF1F4E78"/>
      <sz val="10"/>
      <name val="Malgun Gothic"/>
    </font>
    <font>
      <i/>
      <sz val="9"/>
      <name val="Malgun Gothic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4" borderId="1" xfId="0" applyFont="1" applyFill="1" applyBorder="1"/>
    <xf numFmtId="0" fontId="8" fillId="0" borderId="0" xfId="0" applyFont="1" applyAlignment="1">
      <alignment vertical="top" wrapText="1"/>
    </xf>
    <xf numFmtId="0" fontId="9" fillId="0" borderId="0" xfId="0" applyFont="1"/>
    <xf numFmtId="0" fontId="5" fillId="5" borderId="1" xfId="0" applyFont="1" applyFill="1" applyBorder="1"/>
    <xf numFmtId="164" fontId="7" fillId="4" borderId="1" xfId="0" applyNumberFormat="1" applyFont="1" applyFill="1" applyBorder="1"/>
    <xf numFmtId="1" fontId="5" fillId="5" borderId="1" xfId="0" applyNumberFormat="1" applyFont="1" applyFill="1" applyBorder="1"/>
    <xf numFmtId="165" fontId="7" fillId="4" borderId="1" xfId="0" applyNumberFormat="1" applyFont="1" applyFill="1" applyBorder="1"/>
    <xf numFmtId="166" fontId="7" fillId="4" borderId="1" xfId="0" applyNumberFormat="1" applyFont="1" applyFill="1" applyBorder="1"/>
    <xf numFmtId="167" fontId="7" fillId="4" borderId="1" xfId="0" applyNumberFormat="1" applyFont="1" applyFill="1" applyBorder="1"/>
    <xf numFmtId="1" fontId="7" fillId="4" borderId="1" xfId="0" applyNumberFormat="1" applyFont="1" applyFill="1" applyBorder="1"/>
    <xf numFmtId="168" fontId="7" fillId="4" borderId="1" xfId="0" applyNumberFormat="1" applyFont="1" applyFill="1" applyBorder="1"/>
    <xf numFmtId="2" fontId="5" fillId="5" borderId="1" xfId="0" applyNumberFormat="1" applyFont="1" applyFill="1" applyBorder="1"/>
    <xf numFmtId="166" fontId="5" fillId="5" borderId="1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10" fillId="0" borderId="0" xfId="0" applyFont="1"/>
    <xf numFmtId="165" fontId="5" fillId="5" borderId="1" xfId="0" applyNumberFormat="1" applyFont="1" applyFill="1" applyBorder="1"/>
    <xf numFmtId="0" fontId="8" fillId="0" borderId="0" xfId="0" applyFont="1"/>
    <xf numFmtId="164" fontId="5" fillId="5" borderId="1" xfId="0" applyNumberFormat="1" applyFont="1" applyFill="1" applyBorder="1"/>
    <xf numFmtId="0" fontId="11" fillId="0" borderId="0" xfId="0" applyFont="1"/>
    <xf numFmtId="164" fontId="5" fillId="0" borderId="0" xfId="0" applyNumberFormat="1" applyFont="1"/>
    <xf numFmtId="1" fontId="5" fillId="0" borderId="0" xfId="0" applyNumberFormat="1" applyFont="1"/>
    <xf numFmtId="164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4" fontId="2" fillId="7" borderId="0" xfId="0" applyNumberFormat="1" applyFont="1" applyFill="1"/>
    <xf numFmtId="0" fontId="2" fillId="7" borderId="0" xfId="0" applyFont="1" applyFill="1"/>
    <xf numFmtId="1" fontId="2" fillId="7" borderId="0" xfId="0" applyNumberFormat="1" applyFont="1" applyFill="1"/>
    <xf numFmtId="0" fontId="12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7" fontId="5" fillId="0" borderId="0" xfId="0" applyNumberFormat="1" applyFont="1"/>
    <xf numFmtId="167" fontId="3" fillId="2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67" fontId="2" fillId="7" borderId="0" xfId="0" applyNumberFormat="1" applyFont="1" applyFill="1"/>
    <xf numFmtId="164" fontId="5" fillId="5" borderId="0" xfId="0" applyNumberFormat="1" applyFont="1" applyFill="1"/>
    <xf numFmtId="167" fontId="5" fillId="5" borderId="0" xfId="0" applyNumberFormat="1" applyFont="1" applyFill="1"/>
    <xf numFmtId="0" fontId="5" fillId="5" borderId="0" xfId="0" applyFont="1" applyFill="1"/>
    <xf numFmtId="0" fontId="1" fillId="0" borderId="0" xfId="0" applyFont="1"/>
    <xf numFmtId="1" fontId="5" fillId="5" borderId="1" xfId="0" applyNumberFormat="1" applyFont="1" applyFill="1" applyBorder="1" applyAlignment="1">
      <alignment horizontal="left"/>
    </xf>
    <xf numFmtId="0" fontId="11" fillId="0" borderId="0" xfId="0" applyFont="1" applyAlignment="1">
      <alignment vertical="top" wrapText="1"/>
    </xf>
    <xf numFmtId="165" fontId="10" fillId="5" borderId="1" xfId="0" applyNumberFormat="1" applyFont="1" applyFill="1" applyBorder="1"/>
    <xf numFmtId="168" fontId="5" fillId="5" borderId="1" xfId="0" applyNumberFormat="1" applyFont="1" applyFill="1" applyBorder="1"/>
    <xf numFmtId="168" fontId="10" fillId="5" borderId="1" xfId="0" applyNumberFormat="1" applyFont="1" applyFill="1" applyBorder="1"/>
    <xf numFmtId="0" fontId="5" fillId="5" borderId="1" xfId="0" applyFont="1" applyFill="1" applyBorder="1" applyAlignment="1">
      <alignment horizontal="left"/>
    </xf>
    <xf numFmtId="2" fontId="5" fillId="5" borderId="1" xfId="0" applyNumberFormat="1" applyFont="1" applyFill="1" applyBorder="1" applyAlignment="1">
      <alignment horizontal="left"/>
    </xf>
    <xf numFmtId="1" fontId="10" fillId="5" borderId="1" xfId="0" applyNumberFormat="1" applyFont="1" applyFill="1" applyBorder="1" applyAlignment="1">
      <alignment horizontal="left"/>
    </xf>
    <xf numFmtId="168" fontId="5" fillId="5" borderId="1" xfId="0" applyNumberFormat="1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167" fontId="10" fillId="5" borderId="1" xfId="0" applyNumberFormat="1" applyFont="1" applyFill="1" applyBorder="1" applyAlignment="1">
      <alignment horizontal="left"/>
    </xf>
    <xf numFmtId="166" fontId="5" fillId="5" borderId="1" xfId="0" applyNumberFormat="1" applyFont="1" applyFill="1" applyBorder="1" applyAlignment="1">
      <alignment horizontal="left"/>
    </xf>
    <xf numFmtId="167" fontId="5" fillId="5" borderId="1" xfId="0" applyNumberFormat="1" applyFont="1" applyFill="1" applyBorder="1" applyAlignment="1">
      <alignment horizontal="left"/>
    </xf>
    <xf numFmtId="0" fontId="8" fillId="5" borderId="1" xfId="0" applyFont="1" applyFill="1" applyBorder="1"/>
    <xf numFmtId="0" fontId="10" fillId="5" borderId="1" xfId="0" applyFont="1" applyFill="1" applyBorder="1"/>
    <xf numFmtId="167" fontId="5" fillId="5" borderId="1" xfId="0" applyNumberFormat="1" applyFont="1" applyFill="1" applyBorder="1"/>
    <xf numFmtId="164" fontId="5" fillId="5" borderId="1" xfId="0" applyNumberFormat="1" applyFont="1" applyFill="1" applyBorder="1" applyAlignment="1">
      <alignment horizontal="left"/>
    </xf>
    <xf numFmtId="0" fontId="13" fillId="5" borderId="1" xfId="0" applyFont="1" applyFill="1" applyBorder="1"/>
    <xf numFmtId="167" fontId="10" fillId="5" borderId="1" xfId="0" applyNumberFormat="1" applyFont="1" applyFill="1" applyBorder="1"/>
    <xf numFmtId="166" fontId="10" fillId="5" borderId="1" xfId="0" applyNumberFormat="1" applyFont="1" applyFill="1" applyBorder="1"/>
    <xf numFmtId="0" fontId="14" fillId="0" borderId="0" xfId="0" applyFont="1"/>
    <xf numFmtId="1" fontId="10" fillId="5" borderId="1" xfId="0" applyNumberFormat="1" applyFont="1" applyFill="1" applyBorder="1"/>
    <xf numFmtId="0" fontId="15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167" fontId="5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167" fontId="10" fillId="0" borderId="0" xfId="0" applyNumberFormat="1" applyFont="1" applyAlignment="1">
      <alignment vertical="center"/>
    </xf>
    <xf numFmtId="0" fontId="19" fillId="0" borderId="0" xfId="0" applyFont="1" applyAlignment="1">
      <alignment vertical="center" wrapText="1"/>
    </xf>
    <xf numFmtId="168" fontId="5" fillId="0" borderId="0" xfId="0" applyNumberFormat="1" applyFont="1"/>
    <xf numFmtId="168" fontId="3" fillId="2" borderId="1" xfId="0" applyNumberFormat="1" applyFont="1" applyFill="1" applyBorder="1" applyAlignment="1">
      <alignment horizontal="center" vertical="center" wrapText="1"/>
    </xf>
    <xf numFmtId="168" fontId="2" fillId="7" borderId="0" xfId="0" applyNumberFormat="1" applyFont="1" applyFill="1"/>
  </cellXfs>
  <cellStyles count="1">
    <cellStyle name="Normal" xfId="0" builtinId="0"/>
  </cellStyles>
  <dxfs count="12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justicecanada/laws-lois-xml/blob/main/eng/regulations/SOR-2012-36.xml" TargetMode="External"/><Relationship Id="rId2" Type="http://schemas.openxmlformats.org/officeDocument/2006/relationships/hyperlink" Target="https://github.com/kurtrgoddard/Bilingua-App/blob/b1f427aae94ef32e9f78ad5543dad81c330e7956/economy/research-pricing.md" TargetMode="External"/><Relationship Id="rId3" Type="http://schemas.openxmlformats.org/officeDocument/2006/relationships/hyperlink" Target="https://www.ontario.ca/page/your-rights-when-signing-or-cancelling-contract" TargetMode="External"/><Relationship Id="rId4" Type="http://schemas.openxmlformats.org/officeDocument/2006/relationships/hyperlink" Target="https://www.ontario.ca/page/your-rights-when-signing-or-cancelling-contract" TargetMode="External"/><Relationship Id="rId5" Type="http://schemas.openxmlformats.org/officeDocument/2006/relationships/hyperlink" Target="https://github.com/justicecanada/laws-lois-xml/blob/main/eng/acts/E-1.6.xml" TargetMode="External"/><Relationship Id="rId6" Type="http://schemas.openxmlformats.org/officeDocument/2006/relationships/hyperlink" Target="https://github.com/justicecanada/laws-lois-xml/blob/main/eng/acts/E-1.6.xml" TargetMode="External"/><Relationship Id="rId7" Type="http://schemas.openxmlformats.org/officeDocument/2006/relationships/hyperlink" Target="https://github.com/justicecanada/laws-lois-xml/blob/main/eng/acts/E-15.xml" TargetMode="External"/><Relationship Id="rId8" Type="http://schemas.openxmlformats.org/officeDocument/2006/relationships/hyperlink" Target="https://github.com/justicecanada/laws-lois-xml/blob/main/eng/acts/E-15.xml" TargetMode="External"/><Relationship Id="rId9" Type="http://schemas.openxmlformats.org/officeDocument/2006/relationships/hyperlink" Target="https://github.com/justicecanada/laws-lois-xml/blob/main/eng/acts/E-15.xml" TargetMode="External"/><Relationship Id="rId10" Type="http://schemas.openxmlformats.org/officeDocument/2006/relationships/hyperlink" Target="https://github.com/justicecanada/laws-lois-xml/blob/main/eng/acts/C-8.xml" TargetMode="External"/><Relationship Id="rId11" Type="http://schemas.openxmlformats.org/officeDocument/2006/relationships/hyperlink" Target="https://github.com/justicecanada/laws-lois-xml/blob/main/eng/acts/C-8.xml" TargetMode="External"/><Relationship Id="rId12" Type="http://schemas.openxmlformats.org/officeDocument/2006/relationships/hyperlink" Target="https://github.com/kurtrgoddard/Bilingua-App/blob/b1f427aae94ef32e9f78ad5543dad81c330e7956/economy/research-pricing.md" TargetMode="External"/><Relationship Id="rId13" Type="http://schemas.openxmlformats.org/officeDocument/2006/relationships/hyperlink" Target="https://github.com/kurtrgoddard/Bilingua-App/blob/b1f427aae94ef32e9f78ad5543dad81c330e7956/economy/research-pricing.md" TargetMode="External"/><Relationship Id="rId14" Type="http://schemas.openxmlformats.org/officeDocument/2006/relationships/hyperlink" Target="https://github.com/nifabulous/Relay/blob/885bdf20a690d77dd2b93e46a52a597382039c6e/app/data/payment_schemes.py" TargetMode="External"/><Relationship Id="rId15" Type="http://schemas.openxmlformats.org/officeDocument/2006/relationships/hyperlink" Target="https://github.com/justicecanada/laws-lois-xml/blob/main/eng/acts/E-5.6.xml" TargetMode="External"/><Relationship Id="rId16" Type="http://schemas.openxmlformats.org/officeDocument/2006/relationships/hyperlink" Target="https://github.com/justicecanada/laws-lois-xml/blob/main/eng/regulations/SOR-96-332.xml" TargetMode="External"/><Relationship Id="rId17" Type="http://schemas.openxmlformats.org/officeDocument/2006/relationships/hyperlink" Target="https://github.com/justicecanada/laws-lois-xml/blob/main/eng/acts/E-5.6.xml" TargetMode="External"/><Relationship Id="rId18" Type="http://schemas.openxmlformats.org/officeDocument/2006/relationships/hyperlink" Target="https://github.com/Artzp/RetireOps/blob/main/docs/source-of-truth/19-benefits-tax-credits-2026.md" TargetMode="External"/><Relationship Id="rId19" Type="http://schemas.openxmlformats.org/officeDocument/2006/relationships/hyperlink" Target="https://github.com/Artzp/RetireOps/blob/main/docs/source-of-truth/19-benefits-tax-credits-2026.md" TargetMode="External"/><Relationship Id="rId20" Type="http://schemas.openxmlformats.org/officeDocument/2006/relationships/hyperlink" Target="https://github.com/justicecanada/laws-lois-xml/blob/main/eng/acts/E-5.6.xml" TargetMode="External"/><Relationship Id="rId21" Type="http://schemas.openxmlformats.org/officeDocument/2006/relationships/hyperlink" Target="https://github.com/justicecanada/laws-lois-xml/blob/main/eng/acts/E-5.6.xml" TargetMode="External"/><Relationship Id="rId22" Type="http://schemas.openxmlformats.org/officeDocument/2006/relationships/hyperlink" Target="https://github.com/justicecanada/laws-lois-xml/blob/main/eng/regulations/SOR-96-332.xml" TargetMode="External"/><Relationship Id="rId23" Type="http://schemas.openxmlformats.org/officeDocument/2006/relationships/hyperlink" Target="https://www.thinkinsure.ca/business-insurance/cleaning-insurance" TargetMode="External"/><Relationship Id="rId24" Type="http://schemas.openxmlformats.org/officeDocument/2006/relationships/hyperlink" Target="https://rates.ca/insurance-quotes/business/contractor/window-cleaning" TargetMode="External"/><Relationship Id="rId25" Type="http://schemas.openxmlformats.org/officeDocument/2006/relationships/hyperlink" Target="https://professionalroofers.com/blogs/gutter-cleaning-cost-in-toronto-2025/" TargetMode="External"/><Relationship Id="rId26" Type="http://schemas.openxmlformats.org/officeDocument/2006/relationships/hyperlink" Target="https://getcertain.ca/how-much-does-snow-removal-insurance-cost-in-canada/" TargetMode="External"/><Relationship Id="rId27" Type="http://schemas.openxmlformats.org/officeDocument/2006/relationships/hyperlink" Target="https://getcertain.ca/how-much-does-snow-removal-insurance-cost-in-canada/" TargetMode="External"/><Relationship Id="rId28" Type="http://schemas.openxmlformats.org/officeDocument/2006/relationships/hyperlink" Target="https://forums.redflagdeals.com/tags/snowblower/" TargetMode="External"/><Relationship Id="rId29" Type="http://schemas.openxmlformats.org/officeDocument/2006/relationships/hyperlink" Target="https://forums.redflagdeals.com/tags/snowblower/" TargetMode="External"/><Relationship Id="rId30" Type="http://schemas.openxmlformats.org/officeDocument/2006/relationships/hyperlink" Target="https://silverlightwindowsandeaves.ca/how-much-does-snow-removal-cost-in-toronto/" TargetMode="External"/><Relationship Id="rId31" Type="http://schemas.openxmlformats.org/officeDocument/2006/relationships/hyperlink" Target="https://www.itsglocleaning.com/post/how-much-does-a-home-cleaning-service-cost-in-toronto" TargetMode="External"/><Relationship Id="rId32" Type="http://schemas.openxmlformats.org/officeDocument/2006/relationships/hyperlink" Target="https://nowitsclean.ca/blog/apartment-cleaning-cost/" TargetMode="External"/><Relationship Id="rId33" Type="http://schemas.openxmlformats.org/officeDocument/2006/relationships/hyperlink" Target="https://www.cqdnewgen.ai/blog/how-much-does-a-house-cleaner-cost-in-toronto-in-2026-real-c" TargetMode="External"/><Relationship Id="rId34" Type="http://schemas.openxmlformats.org/officeDocument/2006/relationships/hyperlink" Target="https://anyclean.ca/move-out-cleaning-toronto/" TargetMode="External"/><Relationship Id="rId35" Type="http://schemas.openxmlformats.org/officeDocument/2006/relationships/hyperlink" Target="https://mastermaid.ca/prices/" TargetMode="External"/><Relationship Id="rId36" Type="http://schemas.openxmlformats.org/officeDocument/2006/relationships/hyperlink" Target="https://tidyuphandycrew.ca/2026/02/23/what-affects-move-out-cleaning-cost-in-toronto/" TargetMode="External"/><Relationship Id="rId37" Type="http://schemas.openxmlformats.org/officeDocument/2006/relationships/hyperlink" Target="https://professionalroofers.com/blogs/gutter-cleaning-cost-in-toronto-2025/" TargetMode="External"/><Relationship Id="rId38" Type="http://schemas.openxmlformats.org/officeDocument/2006/relationships/hyperlink" Target="https://ntpropertycare.com/eavestrough-gutter-cleaning-cost-in-toronto/" TargetMode="External"/><Relationship Id="rId39" Type="http://schemas.openxmlformats.org/officeDocument/2006/relationships/hyperlink" Target="https://guttercleaningcalgary.ca/cost-gutter-cleaning-calgary/" TargetMode="External"/><Relationship Id="rId40" Type="http://schemas.openxmlformats.org/officeDocument/2006/relationships/hyperlink" Target="https://silverlightwindowsandeaves.ca/how-much-does-snow-removal-cost-in-toronto/" TargetMode="External"/><Relationship Id="rId41" Type="http://schemas.openxmlformats.org/officeDocument/2006/relationships/hyperlink" Target="https://www.monsterplow.ca/post/how-much-snow-removal-cost-toronto-2026-pricing-guide" TargetMode="External"/><Relationship Id="rId42" Type="http://schemas.openxmlformats.org/officeDocument/2006/relationships/hyperlink" Target="https://www.toronto.ca/services-payments/permits-licences-bylaws/building-renovators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justicecanada/laws-lois-xml/blob/main/eng/acts/I-3.3.xml" TargetMode="External"/><Relationship Id="rId2" Type="http://schemas.openxmlformats.org/officeDocument/2006/relationships/hyperlink" Target="https://github.com/justicecanada/laws-lois-xml/blob/main/eng/acts/I-3.3.xml" TargetMode="External"/><Relationship Id="rId3" Type="http://schemas.openxmlformats.org/officeDocument/2006/relationships/hyperlink" Target="https://github.com/justicecanada/laws-lois-xml/blob/main/eng/acts/C-8.xml" TargetMode="External"/><Relationship Id="rId4" Type="http://schemas.openxmlformats.org/officeDocument/2006/relationships/hyperlink" Target="https://github.com/justicecanada/laws-lois-xml/blob/main/eng/acts/E-15.xml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H181"/>
  <sheetViews>
    <sheetView workbookViewId="0">
      <pane ySplit="3" topLeftCell="A4" activePane="bottomLeft" state="frozen"/>
      <selection pane="bottomLeft" activeCell="C5" sqref="C5"/>
    </sheetView>
  </sheetViews>
  <sheetFormatPr defaultRowHeight="15" outlineLevelRow="0" outlineLevelCol="0" x14ac:dyDescent="55"/>
  <cols>
    <col min="1" max="2" width="34" customWidth="1"/>
    <col min="3" max="3" width="22" customWidth="1"/>
    <col min="5" max="5" width="72" customWidth="1"/>
    <col min="6" max="6" width="48" customWidth="1"/>
    <col min="7" max="7" width="12" customWidth="1"/>
    <col min="8" max="8" width="44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2" ht="42" customHeight="1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20" customHeight="1" spans="1:6" x14ac:dyDescent="0.25">
      <c r="A4" s="4" t="s">
        <v>8</v>
      </c>
      <c r="B4" s="4"/>
      <c r="C4" s="4"/>
      <c r="D4" s="4"/>
      <c r="E4" s="4"/>
      <c r="F4" s="4"/>
    </row>
    <row r="5" ht="29" customHeight="1" spans="1:5" x14ac:dyDescent="0.25">
      <c r="A5" s="5" t="s">
        <v>9</v>
      </c>
      <c r="B5" s="6" t="s">
        <v>10</v>
      </c>
      <c r="C5" s="7" t="s">
        <v>11</v>
      </c>
      <c r="D5" s="6" t="s">
        <v>12</v>
      </c>
      <c r="E5" s="8" t="s">
        <v>13</v>
      </c>
    </row>
    <row r="6" ht="29" customHeight="1" spans="1:5" x14ac:dyDescent="0.25">
      <c r="A6" s="5" t="s">
        <v>14</v>
      </c>
      <c r="B6" s="6" t="s">
        <v>15</v>
      </c>
      <c r="C6" s="7" t="s">
        <v>16</v>
      </c>
      <c r="D6" s="6" t="s">
        <v>12</v>
      </c>
      <c r="E6" s="8" t="s">
        <v>17</v>
      </c>
    </row>
    <row r="7" ht="29" customHeight="1" spans="1:6" x14ac:dyDescent="0.25">
      <c r="A7" s="5" t="s">
        <v>18</v>
      </c>
      <c r="B7" s="6" t="s">
        <v>19</v>
      </c>
      <c r="C7" s="7" t="s">
        <v>20</v>
      </c>
      <c r="D7" s="6" t="s">
        <v>12</v>
      </c>
      <c r="E7" s="8" t="s">
        <v>21</v>
      </c>
      <c r="F7" s="9" t="s">
        <v>22</v>
      </c>
    </row>
    <row r="8" ht="16" customHeight="1" spans="1:5" x14ac:dyDescent="0.25">
      <c r="A8" s="5" t="s">
        <v>23</v>
      </c>
      <c r="B8" s="6" t="s">
        <v>24</v>
      </c>
      <c r="C8" s="7" t="s">
        <v>25</v>
      </c>
      <c r="D8" s="6" t="s">
        <v>12</v>
      </c>
      <c r="E8" s="8" t="s">
        <v>25</v>
      </c>
    </row>
    <row r="9" ht="16" customHeight="1" spans="1:5" x14ac:dyDescent="0.25">
      <c r="A9" s="5" t="s">
        <v>26</v>
      </c>
      <c r="B9" s="6" t="s">
        <v>27</v>
      </c>
      <c r="C9" s="7" t="s">
        <v>28</v>
      </c>
      <c r="D9" s="6" t="s">
        <v>12</v>
      </c>
      <c r="E9" s="8" t="s">
        <v>28</v>
      </c>
    </row>
    <row r="10" ht="16" customHeight="1" spans="1:5" x14ac:dyDescent="0.25">
      <c r="A10" s="5" t="s">
        <v>29</v>
      </c>
      <c r="B10" s="6" t="s">
        <v>30</v>
      </c>
      <c r="C10" s="7" t="s">
        <v>31</v>
      </c>
      <c r="D10" s="6" t="s">
        <v>12</v>
      </c>
      <c r="E10" s="8" t="s">
        <v>31</v>
      </c>
    </row>
    <row r="11" ht="16" customHeight="1" spans="1:5" x14ac:dyDescent="0.25">
      <c r="A11" s="5" t="s">
        <v>32</v>
      </c>
      <c r="B11" s="6" t="s">
        <v>33</v>
      </c>
      <c r="C11" s="7">
        <f>'설정 Settings'!$C$9</f>
      </c>
      <c r="D11" s="6" t="s">
        <v>12</v>
      </c>
      <c r="E11" s="8" t="s">
        <v>34</v>
      </c>
    </row>
    <row r="12" ht="29" customHeight="1" spans="1:6" x14ac:dyDescent="0.25">
      <c r="A12" s="5" t="s">
        <v>35</v>
      </c>
      <c r="B12" s="6" t="s">
        <v>36</v>
      </c>
      <c r="C12" s="7" t="s">
        <v>37</v>
      </c>
      <c r="D12" s="6" t="s">
        <v>12</v>
      </c>
      <c r="E12" s="8" t="s">
        <v>38</v>
      </c>
      <c r="F12" s="9" t="s">
        <v>39</v>
      </c>
    </row>
    <row r="13" ht="29" customHeight="1" spans="1:5" x14ac:dyDescent="0.25">
      <c r="A13" s="5" t="s">
        <v>40</v>
      </c>
      <c r="B13" s="6" t="s">
        <v>41</v>
      </c>
      <c r="C13" s="10" t="s">
        <v>42</v>
      </c>
      <c r="D13" s="6" t="s">
        <v>12</v>
      </c>
      <c r="E13" s="8" t="s">
        <v>43</v>
      </c>
    </row>
    <row r="14" ht="16" customHeight="1" spans="1:5" x14ac:dyDescent="0.25">
      <c r="A14" s="5" t="s">
        <v>44</v>
      </c>
      <c r="B14" s="6" t="s">
        <v>45</v>
      </c>
      <c r="C14" s="11">
        <v>46293</v>
      </c>
      <c r="D14" s="6" t="s">
        <v>12</v>
      </c>
      <c r="E14" s="8" t="s">
        <v>46</v>
      </c>
    </row>
    <row r="15" ht="29" customHeight="1" spans="1:5" x14ac:dyDescent="0.25">
      <c r="A15" s="5" t="s">
        <v>47</v>
      </c>
      <c r="B15" s="6" t="s">
        <v>48</v>
      </c>
      <c r="C15" s="11">
        <f>TODAY()</f>
      </c>
      <c r="D15" s="6" t="s">
        <v>12</v>
      </c>
      <c r="E15" s="8" t="s">
        <v>49</v>
      </c>
    </row>
    <row r="17" ht="20" customHeight="1" spans="1:6" x14ac:dyDescent="0.25">
      <c r="A17" s="4" t="s">
        <v>50</v>
      </c>
      <c r="B17" s="4"/>
      <c r="C17" s="4"/>
      <c r="D17" s="4"/>
      <c r="E17" s="4"/>
      <c r="F17" s="4"/>
    </row>
    <row r="18" ht="29" customHeight="1" spans="1:6" x14ac:dyDescent="0.25">
      <c r="A18" s="5" t="s">
        <v>51</v>
      </c>
      <c r="B18" s="6" t="s">
        <v>52</v>
      </c>
      <c r="C18" s="12">
        <v>10</v>
      </c>
      <c r="D18" s="6" t="s">
        <v>53</v>
      </c>
      <c r="E18" s="8" t="s">
        <v>54</v>
      </c>
      <c r="F18" s="9" t="s">
        <v>55</v>
      </c>
    </row>
    <row r="19" ht="16" customHeight="1" spans="1:6" x14ac:dyDescent="0.25">
      <c r="A19" s="5" t="s">
        <v>56</v>
      </c>
      <c r="B19" s="6" t="s">
        <v>57</v>
      </c>
      <c r="C19" s="12">
        <v>15</v>
      </c>
      <c r="D19" s="6" t="s">
        <v>53</v>
      </c>
      <c r="E19" s="8" t="s">
        <v>58</v>
      </c>
      <c r="F19" s="9" t="s">
        <v>55</v>
      </c>
    </row>
    <row r="20" ht="29" customHeight="1" spans="1:6" x14ac:dyDescent="0.25">
      <c r="A20" s="5" t="s">
        <v>59</v>
      </c>
      <c r="B20" s="6" t="s">
        <v>60</v>
      </c>
      <c r="C20" s="12">
        <v>6</v>
      </c>
      <c r="D20" s="6" t="s">
        <v>61</v>
      </c>
      <c r="E20" s="8" t="s">
        <v>62</v>
      </c>
      <c r="F20" s="9" t="s">
        <v>63</v>
      </c>
    </row>
    <row r="21" ht="16" customHeight="1" spans="1:6" x14ac:dyDescent="0.25">
      <c r="A21" s="5" t="s">
        <v>64</v>
      </c>
      <c r="B21" s="6" t="s">
        <v>65</v>
      </c>
      <c r="C21" s="12">
        <v>10</v>
      </c>
      <c r="D21" s="6" t="s">
        <v>66</v>
      </c>
      <c r="E21" s="8" t="s">
        <v>67</v>
      </c>
      <c r="F21" s="9" t="s">
        <v>63</v>
      </c>
    </row>
    <row r="23" ht="20" customHeight="1" spans="1:6" x14ac:dyDescent="0.25">
      <c r="A23" s="4" t="s">
        <v>68</v>
      </c>
      <c r="B23" s="4"/>
      <c r="C23" s="4"/>
      <c r="D23" s="4"/>
      <c r="E23" s="4"/>
      <c r="F23" s="4"/>
    </row>
    <row r="24" ht="42" customHeight="1" spans="1:6" x14ac:dyDescent="0.25">
      <c r="A24" s="5" t="s">
        <v>69</v>
      </c>
      <c r="B24" s="6" t="s">
        <v>70</v>
      </c>
      <c r="C24" s="7" t="s">
        <v>37</v>
      </c>
      <c r="D24" s="6" t="s">
        <v>12</v>
      </c>
      <c r="E24" s="8" t="s">
        <v>71</v>
      </c>
      <c r="F24" s="9" t="s">
        <v>72</v>
      </c>
    </row>
    <row r="25" ht="16" customHeight="1" spans="1:5" x14ac:dyDescent="0.25">
      <c r="A25" s="5" t="s">
        <v>73</v>
      </c>
      <c r="B25" s="6" t="s">
        <v>74</v>
      </c>
      <c r="C25" s="7"/>
      <c r="D25" s="6" t="s">
        <v>12</v>
      </c>
      <c r="E25" s="8" t="s">
        <v>75</v>
      </c>
    </row>
    <row r="26" ht="29" customHeight="1" spans="1:6" x14ac:dyDescent="0.25">
      <c r="A26" s="5" t="s">
        <v>76</v>
      </c>
      <c r="B26" s="6" t="s">
        <v>77</v>
      </c>
      <c r="C26" s="13">
        <v>0.13</v>
      </c>
      <c r="D26" s="6" t="s">
        <v>12</v>
      </c>
      <c r="E26" s="8" t="s">
        <v>78</v>
      </c>
      <c r="F26" s="9" t="s">
        <v>72</v>
      </c>
    </row>
    <row r="27" ht="16" customHeight="1" spans="1:5" x14ac:dyDescent="0.25">
      <c r="A27" s="5" t="s">
        <v>79</v>
      </c>
      <c r="B27" s="6" t="s">
        <v>80</v>
      </c>
      <c r="C27" s="7" t="s">
        <v>81</v>
      </c>
      <c r="D27" s="6" t="s">
        <v>12</v>
      </c>
      <c r="E27" s="8" t="s">
        <v>82</v>
      </c>
    </row>
    <row r="28" ht="16" customHeight="1" spans="1:6" x14ac:dyDescent="0.25">
      <c r="A28" s="5" t="s">
        <v>83</v>
      </c>
      <c r="B28" s="6" t="s">
        <v>84</v>
      </c>
      <c r="C28" s="14">
        <v>30000</v>
      </c>
      <c r="D28" s="6" t="s">
        <v>85</v>
      </c>
      <c r="E28" s="8" t="s">
        <v>86</v>
      </c>
      <c r="F28" s="9" t="s">
        <v>72</v>
      </c>
    </row>
    <row r="29" ht="16" customHeight="1" spans="1:5" x14ac:dyDescent="0.25">
      <c r="A29" s="5" t="s">
        <v>87</v>
      </c>
      <c r="B29" s="6" t="s">
        <v>88</v>
      </c>
      <c r="C29" s="14">
        <v>25000</v>
      </c>
      <c r="D29" s="6" t="s">
        <v>85</v>
      </c>
      <c r="E29" s="8" t="s">
        <v>89</v>
      </c>
    </row>
    <row r="30" ht="16" customHeight="1" spans="1:5" x14ac:dyDescent="0.25">
      <c r="A30" s="5" t="s">
        <v>90</v>
      </c>
      <c r="B30" s="6" t="s">
        <v>91</v>
      </c>
      <c r="C30" s="14">
        <v>20000</v>
      </c>
      <c r="D30" s="6" t="s">
        <v>85</v>
      </c>
      <c r="E30" s="8" t="s">
        <v>92</v>
      </c>
    </row>
    <row r="31" ht="16" customHeight="1" spans="1:5" x14ac:dyDescent="0.25">
      <c r="A31" s="5" t="s">
        <v>93</v>
      </c>
      <c r="B31" s="6" t="s">
        <v>94</v>
      </c>
      <c r="C31" s="7" t="s">
        <v>95</v>
      </c>
      <c r="D31" s="6" t="s">
        <v>12</v>
      </c>
      <c r="E31" s="8" t="s">
        <v>96</v>
      </c>
    </row>
    <row r="32" ht="16" customHeight="1" spans="1:6" x14ac:dyDescent="0.25">
      <c r="A32" s="5" t="s">
        <v>97</v>
      </c>
      <c r="B32" s="6" t="s">
        <v>98</v>
      </c>
      <c r="C32" s="13">
        <v>0.119</v>
      </c>
      <c r="D32" s="6" t="s">
        <v>12</v>
      </c>
      <c r="E32" s="8" t="s">
        <v>99</v>
      </c>
      <c r="F32" s="9" t="s">
        <v>100</v>
      </c>
    </row>
    <row r="33" ht="16" customHeight="1" spans="1:6" x14ac:dyDescent="0.25">
      <c r="A33" s="5" t="s">
        <v>101</v>
      </c>
      <c r="B33" s="6" t="s">
        <v>102</v>
      </c>
      <c r="C33" s="14">
        <v>3500</v>
      </c>
      <c r="D33" s="6" t="s">
        <v>103</v>
      </c>
      <c r="E33" s="8" t="s">
        <v>104</v>
      </c>
      <c r="F33" s="9" t="s">
        <v>100</v>
      </c>
    </row>
    <row r="34" ht="16" customHeight="1" spans="1:6" x14ac:dyDescent="0.25">
      <c r="A34" s="5" t="s">
        <v>105</v>
      </c>
      <c r="B34" s="6" t="s">
        <v>106</v>
      </c>
      <c r="C34" s="13">
        <v>0.029</v>
      </c>
      <c r="D34" s="6" t="s">
        <v>12</v>
      </c>
      <c r="E34" s="8" t="s">
        <v>107</v>
      </c>
      <c r="F34" s="9" t="s">
        <v>39</v>
      </c>
    </row>
    <row r="35" ht="16" customHeight="1" spans="1:6" x14ac:dyDescent="0.25">
      <c r="A35" s="5" t="s">
        <v>108</v>
      </c>
      <c r="B35" s="6" t="s">
        <v>109</v>
      </c>
      <c r="C35" s="15">
        <v>0.3</v>
      </c>
      <c r="D35" s="6" t="s">
        <v>85</v>
      </c>
      <c r="E35" s="8" t="s">
        <v>107</v>
      </c>
      <c r="F35" s="9" t="s">
        <v>39</v>
      </c>
    </row>
    <row r="36" ht="16" customHeight="1" spans="1:6" x14ac:dyDescent="0.25">
      <c r="A36" s="5" t="s">
        <v>110</v>
      </c>
      <c r="B36" s="6" t="s">
        <v>111</v>
      </c>
      <c r="C36" s="14">
        <v>2000</v>
      </c>
      <c r="D36" s="6" t="s">
        <v>85</v>
      </c>
      <c r="E36" s="8" t="s">
        <v>112</v>
      </c>
      <c r="F36" s="9" t="s">
        <v>113</v>
      </c>
    </row>
    <row r="38" ht="20" customHeight="1" spans="1:6" x14ac:dyDescent="0.25">
      <c r="A38" s="4" t="s">
        <v>114</v>
      </c>
      <c r="B38" s="4"/>
      <c r="C38" s="4"/>
      <c r="D38" s="4"/>
      <c r="E38" s="4"/>
      <c r="F38" s="4"/>
    </row>
    <row r="39" ht="42" customHeight="1" spans="1:6" x14ac:dyDescent="0.25">
      <c r="A39" s="5" t="s">
        <v>115</v>
      </c>
      <c r="B39" s="6" t="s">
        <v>116</v>
      </c>
      <c r="C39" s="7" t="s">
        <v>117</v>
      </c>
      <c r="D39" s="6" t="s">
        <v>12</v>
      </c>
      <c r="E39" s="8" t="s">
        <v>118</v>
      </c>
      <c r="F39" s="9" t="s">
        <v>119</v>
      </c>
    </row>
    <row r="40" ht="29" customHeight="1" spans="1:6" x14ac:dyDescent="0.25">
      <c r="A40" s="5" t="s">
        <v>120</v>
      </c>
      <c r="B40" s="6" t="s">
        <v>121</v>
      </c>
      <c r="C40" s="11">
        <v>46305</v>
      </c>
      <c r="D40" s="6" t="s">
        <v>12</v>
      </c>
      <c r="E40" s="8" t="s">
        <v>122</v>
      </c>
      <c r="F40" s="9" t="s">
        <v>123</v>
      </c>
    </row>
    <row r="41" ht="16" customHeight="1" spans="1:6" x14ac:dyDescent="0.25">
      <c r="A41" s="5" t="s">
        <v>124</v>
      </c>
      <c r="B41" s="6" t="s">
        <v>125</v>
      </c>
      <c r="C41" s="11">
        <v>46299</v>
      </c>
      <c r="D41" s="6" t="s">
        <v>12</v>
      </c>
      <c r="E41" s="8" t="s">
        <v>126</v>
      </c>
      <c r="F41" s="9" t="s">
        <v>119</v>
      </c>
    </row>
    <row r="42" ht="29" customHeight="1" spans="1:6" x14ac:dyDescent="0.25">
      <c r="A42" s="5" t="s">
        <v>127</v>
      </c>
      <c r="B42" s="6" t="s">
        <v>128</v>
      </c>
      <c r="C42" s="14">
        <v>729</v>
      </c>
      <c r="D42" s="6" t="s">
        <v>129</v>
      </c>
      <c r="E42" s="8" t="s">
        <v>130</v>
      </c>
      <c r="F42" s="9" t="s">
        <v>131</v>
      </c>
    </row>
    <row r="43" ht="16" customHeight="1" spans="1:6" x14ac:dyDescent="0.25">
      <c r="A43" s="5" t="s">
        <v>132</v>
      </c>
      <c r="B43" s="6" t="s">
        <v>133</v>
      </c>
      <c r="C43" s="14">
        <v>1325</v>
      </c>
      <c r="D43" s="6" t="s">
        <v>129</v>
      </c>
      <c r="E43" s="8" t="s">
        <v>134</v>
      </c>
      <c r="F43" s="9" t="s">
        <v>131</v>
      </c>
    </row>
    <row r="44" ht="16" customHeight="1" spans="1:6" x14ac:dyDescent="0.25">
      <c r="A44" s="5" t="s">
        <v>135</v>
      </c>
      <c r="B44" s="6" t="s">
        <v>136</v>
      </c>
      <c r="C44" s="13">
        <v>0.5</v>
      </c>
      <c r="D44" s="6" t="s">
        <v>12</v>
      </c>
      <c r="E44" s="8" t="s">
        <v>137</v>
      </c>
      <c r="F44" s="9" t="s">
        <v>119</v>
      </c>
    </row>
    <row r="45" ht="16" customHeight="1" spans="1:6" x14ac:dyDescent="0.25">
      <c r="A45" s="5" t="s">
        <v>138</v>
      </c>
      <c r="B45" s="6" t="s">
        <v>139</v>
      </c>
      <c r="C45" s="13">
        <v>0.9</v>
      </c>
      <c r="D45" s="6" t="s">
        <v>12</v>
      </c>
      <c r="E45" s="8" t="s">
        <v>140</v>
      </c>
      <c r="F45" s="9" t="s">
        <v>119</v>
      </c>
    </row>
    <row r="46" ht="29" customHeight="1" spans="1:6" x14ac:dyDescent="0.25">
      <c r="A46" s="5" t="s">
        <v>141</v>
      </c>
      <c r="B46" s="6" t="s">
        <v>142</v>
      </c>
      <c r="C46" s="14">
        <v>400</v>
      </c>
      <c r="D46" s="6" t="s">
        <v>129</v>
      </c>
      <c r="E46" s="8" t="s">
        <v>143</v>
      </c>
      <c r="F46" s="9" t="s">
        <v>123</v>
      </c>
    </row>
    <row r="48" ht="20" customHeight="1" spans="1:6" x14ac:dyDescent="0.25">
      <c r="A48" s="4" t="s">
        <v>144</v>
      </c>
      <c r="B48" s="4"/>
      <c r="C48" s="4"/>
      <c r="D48" s="4"/>
      <c r="E48" s="4"/>
      <c r="F48" s="4"/>
    </row>
    <row r="49" ht="16" customHeight="1" spans="1:5" x14ac:dyDescent="0.25">
      <c r="A49" s="5" t="s">
        <v>145</v>
      </c>
      <c r="B49" s="6" t="s">
        <v>146</v>
      </c>
      <c r="C49" s="13">
        <v>0.35</v>
      </c>
      <c r="D49" s="6" t="s">
        <v>12</v>
      </c>
      <c r="E49" s="8" t="s">
        <v>147</v>
      </c>
    </row>
    <row r="50" ht="16" customHeight="1" spans="1:5" x14ac:dyDescent="0.25">
      <c r="A50" s="5" t="s">
        <v>148</v>
      </c>
      <c r="B50" s="6" t="s">
        <v>149</v>
      </c>
      <c r="C50" s="13">
        <v>0.1</v>
      </c>
      <c r="D50" s="6" t="s">
        <v>12</v>
      </c>
      <c r="E50" s="8" t="s">
        <v>150</v>
      </c>
    </row>
    <row r="51" ht="16" customHeight="1" spans="1:5" x14ac:dyDescent="0.25">
      <c r="A51" s="5" t="s">
        <v>151</v>
      </c>
      <c r="B51" s="6" t="s">
        <v>152</v>
      </c>
      <c r="C51" s="13">
        <v>0.4</v>
      </c>
      <c r="D51" s="6" t="s">
        <v>12</v>
      </c>
      <c r="E51" s="8" t="s">
        <v>153</v>
      </c>
    </row>
    <row r="52" ht="16" customHeight="1" spans="1:5" x14ac:dyDescent="0.25">
      <c r="A52" s="5" t="s">
        <v>154</v>
      </c>
      <c r="B52" s="6" t="s">
        <v>155</v>
      </c>
      <c r="C52" s="16">
        <v>30</v>
      </c>
      <c r="D52" s="6" t="s">
        <v>156</v>
      </c>
      <c r="E52" s="8" t="s">
        <v>157</v>
      </c>
    </row>
    <row r="53" ht="16" customHeight="1" spans="1:5" x14ac:dyDescent="0.25">
      <c r="A53" s="5" t="s">
        <v>158</v>
      </c>
      <c r="B53" s="6" t="s">
        <v>159</v>
      </c>
      <c r="C53" s="7" t="s">
        <v>160</v>
      </c>
      <c r="D53" s="6" t="s">
        <v>12</v>
      </c>
      <c r="E53" s="8" t="s">
        <v>161</v>
      </c>
    </row>
    <row r="54" ht="16" customHeight="1" spans="1:5" x14ac:dyDescent="0.25">
      <c r="A54" s="5" t="s">
        <v>162</v>
      </c>
      <c r="B54" s="6" t="s">
        <v>163</v>
      </c>
      <c r="C54" s="17"/>
      <c r="D54" s="6" t="s">
        <v>12</v>
      </c>
      <c r="E54" s="8" t="s">
        <v>164</v>
      </c>
    </row>
    <row r="55" ht="29" customHeight="1" spans="1:5" x14ac:dyDescent="0.25">
      <c r="A55" s="5" t="s">
        <v>165</v>
      </c>
      <c r="B55" s="6" t="s">
        <v>166</v>
      </c>
      <c r="C55" s="18">
        <f>IF('설정 Settings'!$C$54&lt;&gt;"",'설정 Settings'!$C$54,IFERROR(IF('설정 Settings'!$C$15+14&lt;=INDEX('설정 Settings'!$B$134:$B$141,MATCH('설정 Settings'!$C$15+14,'설정 Settings'!$A$134:$A$141,1)),IF('설정 Settings'!$C$53="B2",INDEX('설정 Settings'!$F$134:$F$141,MATCH('설정 Settings'!$C$15+14,'설정 Settings'!$A$134:$A$141,1)),INDEX('설정 Settings'!$D$134:$D$141,MATCH('설정 Settings'!$C$15+14,'설정 Settings'!$A$134:$A$141,1))),""),""))</f>
      </c>
      <c r="D55" s="6" t="s">
        <v>12</v>
      </c>
      <c r="E55" s="8" t="s">
        <v>167</v>
      </c>
    </row>
    <row r="56" ht="16" customHeight="1" spans="1:5" x14ac:dyDescent="0.25">
      <c r="A56" s="5" t="s">
        <v>168</v>
      </c>
      <c r="B56" s="6" t="s">
        <v>169</v>
      </c>
      <c r="C56" s="16">
        <v>1</v>
      </c>
      <c r="D56" s="6" t="s">
        <v>12</v>
      </c>
      <c r="E56" s="8" t="s">
        <v>170</v>
      </c>
    </row>
    <row r="57" ht="16" customHeight="1" spans="1:5" x14ac:dyDescent="0.25">
      <c r="A57" s="5" t="s">
        <v>171</v>
      </c>
      <c r="B57" s="6" t="s">
        <v>172</v>
      </c>
      <c r="C57" s="16">
        <v>2000</v>
      </c>
      <c r="D57" s="6" t="s">
        <v>173</v>
      </c>
      <c r="E57" s="8" t="s">
        <v>174</v>
      </c>
    </row>
    <row r="58" ht="16" customHeight="1" spans="1:5" x14ac:dyDescent="0.25">
      <c r="A58" s="5" t="s">
        <v>175</v>
      </c>
      <c r="B58" s="6" t="s">
        <v>176</v>
      </c>
      <c r="C58" s="16">
        <v>0</v>
      </c>
      <c r="D58" s="6" t="s">
        <v>173</v>
      </c>
      <c r="E58" s="8" t="s">
        <v>177</v>
      </c>
    </row>
    <row r="59" ht="16" customHeight="1" spans="1:5" x14ac:dyDescent="0.25">
      <c r="A59" s="5" t="s">
        <v>178</v>
      </c>
      <c r="B59" s="6" t="s">
        <v>179</v>
      </c>
      <c r="C59" s="16">
        <v>0</v>
      </c>
      <c r="D59" s="6" t="s">
        <v>173</v>
      </c>
      <c r="E59" s="8" t="s">
        <v>177</v>
      </c>
    </row>
    <row r="60" ht="16" customHeight="1" spans="1:5" x14ac:dyDescent="0.25">
      <c r="A60" s="5" t="s">
        <v>180</v>
      </c>
      <c r="B60" s="6" t="s">
        <v>181</v>
      </c>
      <c r="C60" s="16">
        <v>2</v>
      </c>
      <c r="D60" s="6" t="s">
        <v>182</v>
      </c>
      <c r="E60" s="8" t="s">
        <v>183</v>
      </c>
    </row>
    <row r="61" ht="16" customHeight="1" spans="1:5" x14ac:dyDescent="0.25">
      <c r="A61" s="5" t="s">
        <v>184</v>
      </c>
      <c r="B61" s="6" t="s">
        <v>185</v>
      </c>
      <c r="C61" s="16">
        <v>40</v>
      </c>
      <c r="D61" s="6" t="s">
        <v>186</v>
      </c>
      <c r="E61" s="8" t="s">
        <v>187</v>
      </c>
    </row>
    <row r="62" ht="16" customHeight="1" spans="1:5" x14ac:dyDescent="0.25">
      <c r="A62" s="5" t="s">
        <v>188</v>
      </c>
      <c r="B62" s="6" t="s">
        <v>189</v>
      </c>
      <c r="C62" s="16">
        <v>2</v>
      </c>
      <c r="D62" s="6" t="s">
        <v>53</v>
      </c>
      <c r="E62" s="8" t="s">
        <v>190</v>
      </c>
    </row>
    <row r="64" ht="20" customHeight="1" spans="1:6" x14ac:dyDescent="0.25">
      <c r="A64" s="4" t="s">
        <v>191</v>
      </c>
      <c r="B64" s="4"/>
      <c r="C64" s="4"/>
      <c r="D64" s="4"/>
      <c r="E64" s="4"/>
      <c r="F64" s="4"/>
    </row>
    <row r="65" ht="16" customHeight="1" spans="1:5" x14ac:dyDescent="0.25">
      <c r="A65" s="5" t="s">
        <v>192</v>
      </c>
      <c r="B65" s="6" t="s">
        <v>193</v>
      </c>
      <c r="C65" s="13">
        <v>0.2</v>
      </c>
      <c r="D65" s="6" t="s">
        <v>12</v>
      </c>
      <c r="E65" s="8" t="s">
        <v>194</v>
      </c>
    </row>
    <row r="66" ht="16" customHeight="1" spans="1:5" x14ac:dyDescent="0.25">
      <c r="A66" s="5" t="s">
        <v>195</v>
      </c>
      <c r="B66" s="6" t="s">
        <v>196</v>
      </c>
      <c r="C66" s="13">
        <v>0.1</v>
      </c>
      <c r="D66" s="6" t="s">
        <v>12</v>
      </c>
      <c r="E66" s="8" t="s">
        <v>197</v>
      </c>
    </row>
    <row r="67" ht="16" customHeight="1" spans="1:5" x14ac:dyDescent="0.25">
      <c r="A67" s="5" t="s">
        <v>198</v>
      </c>
      <c r="B67" s="6" t="s">
        <v>199</v>
      </c>
      <c r="C67" s="13">
        <v>0.15</v>
      </c>
      <c r="D67" s="6" t="s">
        <v>12</v>
      </c>
      <c r="E67" s="8" t="s">
        <v>200</v>
      </c>
    </row>
    <row r="68" ht="16" customHeight="1" spans="1:5" x14ac:dyDescent="0.25">
      <c r="A68" s="5" t="s">
        <v>201</v>
      </c>
      <c r="B68" s="6" t="s">
        <v>202</v>
      </c>
      <c r="C68" s="14">
        <v>20</v>
      </c>
      <c r="D68" s="6" t="s">
        <v>85</v>
      </c>
      <c r="E68" s="8" t="s">
        <v>203</v>
      </c>
    </row>
    <row r="69" ht="16" customHeight="1" spans="1:5" x14ac:dyDescent="0.25">
      <c r="A69" s="5" t="s">
        <v>204</v>
      </c>
      <c r="B69" s="6" t="s">
        <v>205</v>
      </c>
      <c r="C69" s="14">
        <v>200</v>
      </c>
      <c r="D69" s="6" t="s">
        <v>206</v>
      </c>
      <c r="E69" s="8" t="s">
        <v>207</v>
      </c>
    </row>
    <row r="70" ht="16" customHeight="1" spans="1:6" x14ac:dyDescent="0.25">
      <c r="A70" s="5" t="s">
        <v>208</v>
      </c>
      <c r="B70" s="6" t="s">
        <v>209</v>
      </c>
      <c r="C70" s="14">
        <v>500</v>
      </c>
      <c r="D70" s="6" t="s">
        <v>103</v>
      </c>
      <c r="E70" s="8" t="s">
        <v>210</v>
      </c>
      <c r="F70" s="9" t="s">
        <v>211</v>
      </c>
    </row>
    <row r="72" ht="20" customHeight="1" spans="1:6" x14ac:dyDescent="0.25">
      <c r="A72" s="4" t="s">
        <v>212</v>
      </c>
      <c r="B72" s="4"/>
      <c r="C72" s="4"/>
      <c r="D72" s="4"/>
      <c r="E72" s="4"/>
      <c r="F72" s="4"/>
    </row>
    <row r="73" ht="29" customHeight="1" spans="1:5" x14ac:dyDescent="0.25">
      <c r="A73" s="5" t="s">
        <v>213</v>
      </c>
      <c r="B73" s="6" t="s">
        <v>214</v>
      </c>
      <c r="C73" s="14">
        <v>1500</v>
      </c>
      <c r="D73" s="6" t="s">
        <v>85</v>
      </c>
      <c r="E73" s="8" t="s">
        <v>215</v>
      </c>
    </row>
    <row r="74" ht="16" customHeight="1" spans="1:6" x14ac:dyDescent="0.25">
      <c r="A74" s="5" t="s">
        <v>216</v>
      </c>
      <c r="B74" s="6" t="s">
        <v>217</v>
      </c>
      <c r="C74" s="14">
        <v>450</v>
      </c>
      <c r="D74" s="6" t="s">
        <v>85</v>
      </c>
      <c r="E74" s="8" t="s">
        <v>218</v>
      </c>
      <c r="F74" s="9" t="s">
        <v>219</v>
      </c>
    </row>
    <row r="75" ht="16" customHeight="1" spans="1:5" x14ac:dyDescent="0.25">
      <c r="A75" s="5" t="s">
        <v>220</v>
      </c>
      <c r="B75" s="6" t="s">
        <v>221</v>
      </c>
      <c r="C75" s="14"/>
      <c r="D75" s="6" t="s">
        <v>85</v>
      </c>
      <c r="E75" s="8" t="s">
        <v>222</v>
      </c>
    </row>
    <row r="76" ht="29" customHeight="1" spans="1:6" x14ac:dyDescent="0.25">
      <c r="A76" s="5" t="s">
        <v>223</v>
      </c>
      <c r="B76" s="6" t="s">
        <v>224</v>
      </c>
      <c r="C76" s="19">
        <v>225</v>
      </c>
      <c r="D76" s="6" t="s">
        <v>85</v>
      </c>
      <c r="E76" s="8" t="s">
        <v>225</v>
      </c>
      <c r="F76" s="9" t="s">
        <v>226</v>
      </c>
    </row>
    <row r="77" ht="16" customHeight="1" spans="1:5" x14ac:dyDescent="0.25">
      <c r="A77" s="5" t="s">
        <v>227</v>
      </c>
      <c r="B77" s="6" t="s">
        <v>228</v>
      </c>
      <c r="C77" s="14">
        <v>175</v>
      </c>
      <c r="D77" s="6" t="s">
        <v>85</v>
      </c>
      <c r="E77" s="8" t="s">
        <v>229</v>
      </c>
    </row>
    <row r="78" ht="16" customHeight="1" spans="1:6" x14ac:dyDescent="0.25">
      <c r="A78" s="5" t="s">
        <v>230</v>
      </c>
      <c r="B78" s="6" t="s">
        <v>231</v>
      </c>
      <c r="C78" s="14">
        <v>1000</v>
      </c>
      <c r="D78" s="6" t="s">
        <v>85</v>
      </c>
      <c r="E78" s="8" t="s">
        <v>232</v>
      </c>
      <c r="F78" s="9" t="s">
        <v>233</v>
      </c>
    </row>
    <row r="79" ht="16" customHeight="1" spans="1:6" x14ac:dyDescent="0.25">
      <c r="A79" s="5" t="s">
        <v>234</v>
      </c>
      <c r="B79" s="6" t="s">
        <v>235</v>
      </c>
      <c r="C79" s="14">
        <v>1800</v>
      </c>
      <c r="D79" s="6" t="s">
        <v>85</v>
      </c>
      <c r="E79" s="8" t="s">
        <v>236</v>
      </c>
      <c r="F79" s="9" t="s">
        <v>233</v>
      </c>
    </row>
    <row r="80" ht="16" customHeight="1" spans="1:5" x14ac:dyDescent="0.25">
      <c r="A80" s="5" t="s">
        <v>237</v>
      </c>
      <c r="B80" s="6" t="s">
        <v>238</v>
      </c>
      <c r="C80" s="14"/>
      <c r="D80" s="6" t="s">
        <v>85</v>
      </c>
      <c r="E80" s="8" t="s">
        <v>239</v>
      </c>
    </row>
    <row r="81" ht="16" customHeight="1" spans="1:6" x14ac:dyDescent="0.25">
      <c r="A81" s="5" t="s">
        <v>240</v>
      </c>
      <c r="B81" s="6" t="s">
        <v>241</v>
      </c>
      <c r="C81" s="14">
        <v>1299</v>
      </c>
      <c r="D81" s="6" t="s">
        <v>85</v>
      </c>
      <c r="E81" s="8" t="s">
        <v>242</v>
      </c>
      <c r="F81" s="9" t="s">
        <v>243</v>
      </c>
    </row>
    <row r="82" ht="16" customHeight="1" spans="1:6" x14ac:dyDescent="0.25">
      <c r="A82" s="5" t="s">
        <v>244</v>
      </c>
      <c r="B82" s="6" t="s">
        <v>245</v>
      </c>
      <c r="C82" s="14">
        <v>1999</v>
      </c>
      <c r="D82" s="6" t="s">
        <v>85</v>
      </c>
      <c r="E82" s="8" t="s">
        <v>246</v>
      </c>
      <c r="F82" s="9" t="s">
        <v>243</v>
      </c>
    </row>
    <row r="83" ht="16" customHeight="1" spans="1:5" x14ac:dyDescent="0.25">
      <c r="A83" s="5" t="s">
        <v>247</v>
      </c>
      <c r="B83" s="6" t="s">
        <v>248</v>
      </c>
      <c r="C83" s="14"/>
      <c r="D83" s="6" t="s">
        <v>85</v>
      </c>
      <c r="E83" s="8" t="s">
        <v>249</v>
      </c>
    </row>
    <row r="84" ht="16" customHeight="1" spans="1:6" x14ac:dyDescent="0.25">
      <c r="A84" s="5" t="s">
        <v>250</v>
      </c>
      <c r="B84" s="6" t="s">
        <v>251</v>
      </c>
      <c r="C84" s="19">
        <v>500</v>
      </c>
      <c r="D84" s="6" t="s">
        <v>85</v>
      </c>
      <c r="E84" s="8" t="s">
        <v>252</v>
      </c>
      <c r="F84" s="9" t="s">
        <v>253</v>
      </c>
    </row>
    <row r="85" ht="16" customHeight="1" spans="1:5" x14ac:dyDescent="0.25">
      <c r="A85" s="5" t="s">
        <v>254</v>
      </c>
      <c r="B85" s="6" t="s">
        <v>255</v>
      </c>
      <c r="C85" s="14">
        <v>400</v>
      </c>
      <c r="D85" s="6" t="s">
        <v>85</v>
      </c>
      <c r="E85" s="8" t="s">
        <v>256</v>
      </c>
    </row>
    <row r="86" ht="16" customHeight="1" spans="1:5" x14ac:dyDescent="0.25">
      <c r="A86" s="5" t="s">
        <v>257</v>
      </c>
      <c r="B86" s="6" t="s">
        <v>258</v>
      </c>
      <c r="C86" s="19">
        <v>60</v>
      </c>
      <c r="D86" s="6" t="s">
        <v>85</v>
      </c>
      <c r="E86" s="8" t="s">
        <v>259</v>
      </c>
    </row>
    <row r="87" ht="16" customHeight="1" spans="1:5" x14ac:dyDescent="0.25">
      <c r="A87" s="5" t="s">
        <v>260</v>
      </c>
      <c r="B87" s="6" t="s">
        <v>261</v>
      </c>
      <c r="C87" s="12">
        <v>4</v>
      </c>
      <c r="D87" s="6" t="s">
        <v>156</v>
      </c>
      <c r="E87" s="8" t="s">
        <v>262</v>
      </c>
    </row>
    <row r="88" ht="16" customHeight="1" spans="1:5" x14ac:dyDescent="0.25">
      <c r="A88" s="5" t="s">
        <v>263</v>
      </c>
      <c r="B88" s="6" t="s">
        <v>264</v>
      </c>
      <c r="C88" s="7" t="s">
        <v>265</v>
      </c>
      <c r="D88" s="6" t="s">
        <v>12</v>
      </c>
      <c r="E88" s="8" t="s">
        <v>266</v>
      </c>
    </row>
    <row r="89" ht="16" customHeight="1" spans="1:5" x14ac:dyDescent="0.25">
      <c r="A89" s="5" t="s">
        <v>267</v>
      </c>
      <c r="B89" s="6" t="s">
        <v>268</v>
      </c>
      <c r="C89" s="16">
        <v>10</v>
      </c>
      <c r="D89" s="6" t="s">
        <v>269</v>
      </c>
      <c r="E89" s="8" t="s">
        <v>270</v>
      </c>
    </row>
    <row r="91" ht="20" customHeight="1" spans="1:6" x14ac:dyDescent="0.25">
      <c r="A91" s="4" t="s">
        <v>271</v>
      </c>
      <c r="B91" s="4"/>
      <c r="C91" s="4"/>
      <c r="D91" s="4"/>
      <c r="E91" s="4"/>
      <c r="F91" s="4"/>
    </row>
    <row r="92" ht="16" customHeight="1" spans="1:5" x14ac:dyDescent="0.25">
      <c r="A92" s="5" t="s">
        <v>272</v>
      </c>
      <c r="B92" s="6" t="s">
        <v>273</v>
      </c>
      <c r="C92" s="7" t="s">
        <v>37</v>
      </c>
      <c r="D92" s="6" t="s">
        <v>12</v>
      </c>
      <c r="E92" s="8" t="s">
        <v>274</v>
      </c>
    </row>
    <row r="93" ht="16" customHeight="1" spans="1:5" x14ac:dyDescent="0.25">
      <c r="A93" s="5" t="s">
        <v>275</v>
      </c>
      <c r="B93" s="6" t="s">
        <v>276</v>
      </c>
      <c r="C93" s="7" t="s">
        <v>37</v>
      </c>
      <c r="D93" s="6" t="s">
        <v>12</v>
      </c>
      <c r="E93" s="8" t="s">
        <v>277</v>
      </c>
    </row>
    <row r="94" ht="29" customHeight="1" spans="1:5" x14ac:dyDescent="0.25">
      <c r="A94" s="5" t="s">
        <v>278</v>
      </c>
      <c r="B94" s="6" t="s">
        <v>279</v>
      </c>
      <c r="C94" s="7" t="s">
        <v>280</v>
      </c>
      <c r="D94" s="6" t="s">
        <v>12</v>
      </c>
      <c r="E94" s="8" t="s">
        <v>281</v>
      </c>
    </row>
    <row r="95" ht="16" customHeight="1" spans="1:5" x14ac:dyDescent="0.25">
      <c r="A95" s="5" t="s">
        <v>282</v>
      </c>
      <c r="B95" s="6" t="s">
        <v>283</v>
      </c>
      <c r="C95" s="16">
        <v>5</v>
      </c>
      <c r="D95" s="6" t="s">
        <v>284</v>
      </c>
      <c r="E95" s="8" t="s">
        <v>285</v>
      </c>
    </row>
    <row r="96" ht="16" customHeight="1" spans="1:5" x14ac:dyDescent="0.25">
      <c r="A96" s="5" t="s">
        <v>286</v>
      </c>
      <c r="B96" s="6" t="s">
        <v>287</v>
      </c>
      <c r="C96" s="7" t="s">
        <v>37</v>
      </c>
      <c r="D96" s="6" t="s">
        <v>12</v>
      </c>
      <c r="E96" s="8" t="s">
        <v>288</v>
      </c>
    </row>
    <row r="97" ht="16" customHeight="1" spans="1:5" x14ac:dyDescent="0.25">
      <c r="A97" s="5" t="s">
        <v>289</v>
      </c>
      <c r="B97" s="6" t="s">
        <v>290</v>
      </c>
      <c r="C97" s="14"/>
      <c r="D97" s="6" t="s">
        <v>85</v>
      </c>
      <c r="E97" s="8" t="s">
        <v>291</v>
      </c>
    </row>
    <row r="98" ht="16" customHeight="1" spans="1:5" x14ac:dyDescent="0.25">
      <c r="A98" s="5" t="s">
        <v>292</v>
      </c>
      <c r="B98" s="6" t="s">
        <v>293</v>
      </c>
      <c r="C98" s="14"/>
      <c r="D98" s="6" t="s">
        <v>85</v>
      </c>
      <c r="E98" s="8" t="s">
        <v>294</v>
      </c>
    </row>
    <row r="99" ht="16" customHeight="1" spans="1:5" x14ac:dyDescent="0.25">
      <c r="A99" s="5" t="s">
        <v>295</v>
      </c>
      <c r="B99" s="6" t="s">
        <v>296</v>
      </c>
      <c r="C99" s="11">
        <v>46299</v>
      </c>
      <c r="D99" s="6" t="s">
        <v>12</v>
      </c>
      <c r="E99" s="8" t="s">
        <v>297</v>
      </c>
    </row>
    <row r="100" ht="16" customHeight="1" spans="1:5" x14ac:dyDescent="0.25">
      <c r="A100" s="5" t="s">
        <v>298</v>
      </c>
      <c r="B100" s="6" t="s">
        <v>299</v>
      </c>
      <c r="C100" s="11">
        <v>46302</v>
      </c>
      <c r="D100" s="6" t="s">
        <v>12</v>
      </c>
      <c r="E100" s="8" t="s">
        <v>300</v>
      </c>
    </row>
    <row r="101" ht="16" customHeight="1" spans="1:5" x14ac:dyDescent="0.25">
      <c r="A101" s="5" t="s">
        <v>301</v>
      </c>
      <c r="B101" s="6" t="s">
        <v>302</v>
      </c>
      <c r="C101" s="11">
        <v>46304</v>
      </c>
      <c r="D101" s="6" t="s">
        <v>12</v>
      </c>
      <c r="E101" s="8" t="s">
        <v>303</v>
      </c>
    </row>
    <row r="102" ht="16" customHeight="1" spans="1:5" x14ac:dyDescent="0.25">
      <c r="A102" s="5" t="s">
        <v>304</v>
      </c>
      <c r="B102" s="6" t="s">
        <v>305</v>
      </c>
      <c r="C102" s="11">
        <v>46306</v>
      </c>
      <c r="D102" s="6" t="s">
        <v>12</v>
      </c>
      <c r="E102" s="8" t="s">
        <v>297</v>
      </c>
    </row>
    <row r="103" ht="16" customHeight="1" spans="1:5" x14ac:dyDescent="0.25">
      <c r="A103" s="5" t="s">
        <v>306</v>
      </c>
      <c r="B103" s="6" t="s">
        <v>307</v>
      </c>
      <c r="C103" s="11">
        <v>46313</v>
      </c>
      <c r="D103" s="6" t="s">
        <v>12</v>
      </c>
      <c r="E103" s="8" t="s">
        <v>297</v>
      </c>
    </row>
    <row r="104" ht="16" customHeight="1" spans="1:5" x14ac:dyDescent="0.25">
      <c r="A104" s="5" t="s">
        <v>308</v>
      </c>
      <c r="B104" s="6" t="s">
        <v>309</v>
      </c>
      <c r="C104" s="11">
        <v>46320</v>
      </c>
      <c r="D104" s="6" t="s">
        <v>12</v>
      </c>
      <c r="E104" s="8" t="s">
        <v>297</v>
      </c>
    </row>
    <row r="105" ht="16" customHeight="1" spans="1:5" x14ac:dyDescent="0.25">
      <c r="A105" s="5" t="s">
        <v>310</v>
      </c>
      <c r="B105" s="6" t="s">
        <v>311</v>
      </c>
      <c r="C105" s="11">
        <v>46322</v>
      </c>
      <c r="D105" s="6" t="s">
        <v>12</v>
      </c>
      <c r="E105" s="8" t="s">
        <v>297</v>
      </c>
    </row>
    <row r="106" ht="16" customHeight="1" spans="1:5" x14ac:dyDescent="0.25">
      <c r="A106" s="5" t="s">
        <v>312</v>
      </c>
      <c r="B106" s="6" t="s">
        <v>313</v>
      </c>
      <c r="C106" s="11">
        <v>46346</v>
      </c>
      <c r="D106" s="6" t="s">
        <v>12</v>
      </c>
      <c r="E106" s="8" t="s">
        <v>314</v>
      </c>
    </row>
    <row r="107" ht="16" customHeight="1" spans="1:5" x14ac:dyDescent="0.25">
      <c r="A107" s="5" t="s">
        <v>315</v>
      </c>
      <c r="B107" s="6" t="s">
        <v>316</v>
      </c>
      <c r="C107" s="11">
        <v>46314</v>
      </c>
      <c r="D107" s="6" t="s">
        <v>12</v>
      </c>
      <c r="E107" s="8" t="s">
        <v>297</v>
      </c>
    </row>
    <row r="108" ht="16" customHeight="1" spans="1:5" x14ac:dyDescent="0.25">
      <c r="A108" s="5" t="s">
        <v>317</v>
      </c>
      <c r="B108" s="6" t="s">
        <v>318</v>
      </c>
      <c r="C108" s="11">
        <v>46356</v>
      </c>
      <c r="D108" s="6" t="s">
        <v>12</v>
      </c>
      <c r="E108" s="8" t="s">
        <v>297</v>
      </c>
    </row>
    <row r="109" ht="16" customHeight="1" spans="1:5" x14ac:dyDescent="0.25">
      <c r="A109" s="5" t="s">
        <v>319</v>
      </c>
      <c r="B109" s="6" t="s">
        <v>320</v>
      </c>
      <c r="C109" s="16">
        <v>160</v>
      </c>
      <c r="D109" s="6" t="s">
        <v>12</v>
      </c>
      <c r="E109" s="8" t="s">
        <v>321</v>
      </c>
    </row>
    <row r="110" ht="16" customHeight="1" spans="1:5" x14ac:dyDescent="0.25">
      <c r="A110" s="5" t="s">
        <v>322</v>
      </c>
      <c r="B110" s="6" t="s">
        <v>323</v>
      </c>
      <c r="C110" s="16">
        <v>400</v>
      </c>
      <c r="D110" s="6" t="s">
        <v>12</v>
      </c>
      <c r="E110" s="8" t="s">
        <v>324</v>
      </c>
    </row>
    <row r="111" ht="16" customHeight="1" spans="1:5" x14ac:dyDescent="0.25">
      <c r="A111" s="5" t="s">
        <v>325</v>
      </c>
      <c r="B111" s="6" t="s">
        <v>326</v>
      </c>
      <c r="C111" s="16">
        <v>2</v>
      </c>
      <c r="D111" s="6" t="s">
        <v>12</v>
      </c>
      <c r="E111" s="8" t="s">
        <v>297</v>
      </c>
    </row>
    <row r="112" ht="16" customHeight="1" spans="1:5" x14ac:dyDescent="0.25">
      <c r="A112" s="5" t="s">
        <v>327</v>
      </c>
      <c r="B112" s="6" t="s">
        <v>328</v>
      </c>
      <c r="C112" s="16">
        <v>2</v>
      </c>
      <c r="D112" s="6" t="s">
        <v>12</v>
      </c>
      <c r="E112" s="8" t="s">
        <v>297</v>
      </c>
    </row>
    <row r="113" ht="16" customHeight="1" spans="1:5" x14ac:dyDescent="0.25">
      <c r="A113" s="5" t="s">
        <v>329</v>
      </c>
      <c r="B113" s="6" t="s">
        <v>330</v>
      </c>
      <c r="C113" s="14">
        <v>150</v>
      </c>
      <c r="D113" s="6" t="s">
        <v>129</v>
      </c>
      <c r="E113" s="8" t="s">
        <v>297</v>
      </c>
    </row>
    <row r="114" ht="16" customHeight="1" spans="1:5" x14ac:dyDescent="0.25">
      <c r="A114" s="5" t="s">
        <v>331</v>
      </c>
      <c r="B114" s="6" t="s">
        <v>332</v>
      </c>
      <c r="C114" s="16">
        <v>5</v>
      </c>
      <c r="D114" s="6" t="s">
        <v>12</v>
      </c>
      <c r="E114" s="8" t="s">
        <v>333</v>
      </c>
    </row>
    <row r="115" ht="16" customHeight="1" spans="1:5" x14ac:dyDescent="0.25">
      <c r="A115" s="5" t="s">
        <v>334</v>
      </c>
      <c r="B115" s="6" t="s">
        <v>335</v>
      </c>
      <c r="C115" s="13">
        <v>0.01</v>
      </c>
      <c r="D115" s="6" t="s">
        <v>12</v>
      </c>
      <c r="E115" s="8" t="s">
        <v>336</v>
      </c>
    </row>
    <row r="116" ht="16" customHeight="1" spans="1:5" x14ac:dyDescent="0.25">
      <c r="A116" s="5" t="s">
        <v>337</v>
      </c>
      <c r="B116" s="6" t="s">
        <v>338</v>
      </c>
      <c r="C116" s="13">
        <v>0.018</v>
      </c>
      <c r="D116" s="6" t="s">
        <v>12</v>
      </c>
      <c r="E116" s="8" t="s">
        <v>339</v>
      </c>
    </row>
    <row r="117" ht="16" customHeight="1" spans="1:5" x14ac:dyDescent="0.25">
      <c r="A117" s="5" t="s">
        <v>340</v>
      </c>
      <c r="B117" s="6" t="s">
        <v>341</v>
      </c>
      <c r="C117" s="14">
        <v>400</v>
      </c>
      <c r="D117" s="6" t="s">
        <v>129</v>
      </c>
      <c r="E117" s="8" t="s">
        <v>342</v>
      </c>
    </row>
    <row r="118" ht="16" customHeight="1" spans="1:5" x14ac:dyDescent="0.25">
      <c r="A118" s="5" t="s">
        <v>343</v>
      </c>
      <c r="B118" s="6" t="s">
        <v>344</v>
      </c>
      <c r="C118" s="19">
        <v>1000</v>
      </c>
      <c r="D118" s="6" t="s">
        <v>129</v>
      </c>
      <c r="E118" s="8" t="s">
        <v>345</v>
      </c>
    </row>
    <row r="120" ht="20" customHeight="1" spans="1:6" x14ac:dyDescent="0.25">
      <c r="A120" s="4" t="s">
        <v>346</v>
      </c>
      <c r="B120" s="4"/>
      <c r="C120" s="4"/>
      <c r="D120" s="4"/>
      <c r="E120" s="4"/>
      <c r="F120" s="4"/>
    </row>
    <row r="121" spans="1:6" x14ac:dyDescent="0.25">
      <c r="A121" s="3" t="s">
        <v>347</v>
      </c>
      <c r="B121" s="3" t="s">
        <v>348</v>
      </c>
      <c r="C121" s="3" t="s">
        <v>349</v>
      </c>
      <c r="D121" s="20" t="s">
        <v>350</v>
      </c>
      <c r="E121" s="20" t="s">
        <v>351</v>
      </c>
      <c r="F121" s="20" t="s">
        <v>352</v>
      </c>
    </row>
    <row r="122" spans="1:6" x14ac:dyDescent="0.25">
      <c r="A122" s="21" t="s">
        <v>353</v>
      </c>
      <c r="B122" s="5" t="s">
        <v>354</v>
      </c>
      <c r="C122" s="5" t="s">
        <v>355</v>
      </c>
      <c r="D122" s="22">
        <f>'설정 Settings'!$C$65</f>
      </c>
      <c r="E122" s="19">
        <v>0</v>
      </c>
      <c r="F122" s="23" t="s">
        <v>356</v>
      </c>
    </row>
    <row r="123" spans="1:6" x14ac:dyDescent="0.25">
      <c r="A123" s="21" t="s">
        <v>357</v>
      </c>
      <c r="B123" s="5" t="s">
        <v>358</v>
      </c>
      <c r="C123" s="5" t="s">
        <v>359</v>
      </c>
      <c r="D123" s="22">
        <f>'설정 Settings'!$C$65</f>
      </c>
      <c r="E123" s="19">
        <v>0</v>
      </c>
      <c r="F123" s="23" t="s">
        <v>356</v>
      </c>
    </row>
    <row r="124" spans="1:6" x14ac:dyDescent="0.25">
      <c r="A124" s="21" t="s">
        <v>360</v>
      </c>
      <c r="B124" s="5" t="s">
        <v>361</v>
      </c>
      <c r="C124" s="5" t="s">
        <v>362</v>
      </c>
      <c r="D124" s="22">
        <f>'설정 Settings'!$C$65</f>
      </c>
      <c r="E124" s="19">
        <v>0</v>
      </c>
      <c r="F124" s="23" t="s">
        <v>356</v>
      </c>
    </row>
    <row r="125" spans="1:6" x14ac:dyDescent="0.25">
      <c r="A125" s="21" t="s">
        <v>363</v>
      </c>
      <c r="B125" s="5" t="s">
        <v>364</v>
      </c>
      <c r="C125" s="5" t="s">
        <v>365</v>
      </c>
      <c r="D125" s="22">
        <f>'설정 Settings'!$C$65</f>
      </c>
      <c r="E125" s="19">
        <v>0</v>
      </c>
      <c r="F125" s="23" t="s">
        <v>356</v>
      </c>
    </row>
    <row r="126" spans="1:6" x14ac:dyDescent="0.25">
      <c r="A126" s="21" t="s">
        <v>366</v>
      </c>
      <c r="B126" s="5" t="s">
        <v>367</v>
      </c>
      <c r="C126" s="5" t="s">
        <v>368</v>
      </c>
      <c r="D126" s="22">
        <v>0</v>
      </c>
      <c r="E126" s="19">
        <f>'설정 Settings'!$C$68</f>
      </c>
      <c r="F126" s="23" t="s">
        <v>369</v>
      </c>
    </row>
    <row r="127" spans="1:6" x14ac:dyDescent="0.25">
      <c r="A127" s="21" t="s">
        <v>370</v>
      </c>
      <c r="B127" s="5" t="s">
        <v>371</v>
      </c>
      <c r="C127" s="5" t="s">
        <v>372</v>
      </c>
      <c r="D127" s="22">
        <f>'설정 Settings'!$C$67</f>
      </c>
      <c r="E127" s="19">
        <v>0</v>
      </c>
      <c r="F127" s="23" t="s">
        <v>373</v>
      </c>
    </row>
    <row r="128" spans="1:6" x14ac:dyDescent="0.25">
      <c r="A128" s="21" t="s">
        <v>374</v>
      </c>
      <c r="B128" s="5" t="s">
        <v>375</v>
      </c>
      <c r="C128" s="5" t="s">
        <v>376</v>
      </c>
      <c r="D128" s="22">
        <f>'설정 Settings'!$C$67</f>
      </c>
      <c r="E128" s="19">
        <v>0</v>
      </c>
      <c r="F128" s="23" t="s">
        <v>373</v>
      </c>
    </row>
    <row r="129" spans="1:6" x14ac:dyDescent="0.25">
      <c r="A129" s="21" t="s">
        <v>377</v>
      </c>
      <c r="B129" s="5" t="s">
        <v>378</v>
      </c>
      <c r="C129" s="5" t="s">
        <v>379</v>
      </c>
      <c r="D129" s="22">
        <f>'설정 Settings'!$C$66</f>
      </c>
      <c r="E129" s="19">
        <v>0</v>
      </c>
      <c r="F129" s="23" t="s">
        <v>380</v>
      </c>
    </row>
    <row r="130" spans="1:6" x14ac:dyDescent="0.25">
      <c r="A130" s="21" t="s">
        <v>381</v>
      </c>
      <c r="B130" s="5" t="s">
        <v>382</v>
      </c>
      <c r="C130" s="5" t="s">
        <v>383</v>
      </c>
      <c r="D130" s="22">
        <v>0</v>
      </c>
      <c r="E130" s="19">
        <v>0</v>
      </c>
      <c r="F130" s="23" t="s">
        <v>384</v>
      </c>
    </row>
    <row r="132" ht="20" customHeight="1" spans="1:8" x14ac:dyDescent="0.25">
      <c r="A132" s="4" t="s">
        <v>385</v>
      </c>
      <c r="B132" s="4"/>
      <c r="C132" s="4"/>
      <c r="D132" s="4"/>
      <c r="E132" s="4"/>
      <c r="F132" s="4"/>
      <c r="G132" s="4"/>
      <c r="H132" s="4"/>
    </row>
    <row r="133" spans="1:8" x14ac:dyDescent="0.25">
      <c r="A133" s="3" t="s">
        <v>386</v>
      </c>
      <c r="B133" s="3" t="s">
        <v>387</v>
      </c>
      <c r="C133" s="3" t="s">
        <v>388</v>
      </c>
      <c r="D133" s="3" t="s">
        <v>389</v>
      </c>
      <c r="E133" s="3" t="s">
        <v>390</v>
      </c>
      <c r="F133" s="3" t="s">
        <v>391</v>
      </c>
      <c r="G133" s="3" t="s">
        <v>392</v>
      </c>
      <c r="H133" s="3" t="s">
        <v>352</v>
      </c>
    </row>
    <row r="134" spans="1:8" x14ac:dyDescent="0.25">
      <c r="A134" s="24">
        <v>46293</v>
      </c>
      <c r="B134" s="24">
        <v>46299</v>
      </c>
      <c r="C134" s="10" t="s">
        <v>393</v>
      </c>
      <c r="D134" s="18">
        <v>0</v>
      </c>
      <c r="E134" s="12">
        <v>160</v>
      </c>
      <c r="F134" s="18">
        <v>0</v>
      </c>
      <c r="G134" s="12">
        <v>160</v>
      </c>
      <c r="H134" s="23" t="s">
        <v>394</v>
      </c>
    </row>
    <row r="135" spans="1:8" x14ac:dyDescent="0.25">
      <c r="A135" s="24">
        <v>46300</v>
      </c>
      <c r="B135" s="24">
        <v>46306</v>
      </c>
      <c r="C135" s="10" t="s">
        <v>395</v>
      </c>
      <c r="D135" s="18">
        <v>1</v>
      </c>
      <c r="E135" s="12">
        <v>150</v>
      </c>
      <c r="F135" s="18">
        <v>1</v>
      </c>
      <c r="G135" s="12">
        <v>215</v>
      </c>
      <c r="H135" s="23" t="s">
        <v>394</v>
      </c>
    </row>
    <row r="136" spans="1:8" x14ac:dyDescent="0.25">
      <c r="A136" s="24">
        <v>46307</v>
      </c>
      <c r="B136" s="24">
        <v>46313</v>
      </c>
      <c r="C136" s="10" t="s">
        <v>396</v>
      </c>
      <c r="D136" s="18">
        <v>2</v>
      </c>
      <c r="E136" s="12">
        <v>150</v>
      </c>
      <c r="F136" s="18">
        <v>3</v>
      </c>
      <c r="G136" s="12">
        <v>360</v>
      </c>
      <c r="H136" s="23" t="s">
        <v>397</v>
      </c>
    </row>
    <row r="137" spans="1:8" x14ac:dyDescent="0.25">
      <c r="A137" s="24">
        <v>46314</v>
      </c>
      <c r="B137" s="24">
        <v>46320</v>
      </c>
      <c r="C137" s="10" t="s">
        <v>398</v>
      </c>
      <c r="D137" s="18">
        <v>2</v>
      </c>
      <c r="E137" s="12">
        <v>230</v>
      </c>
      <c r="F137" s="18">
        <v>5</v>
      </c>
      <c r="G137" s="12">
        <v>400</v>
      </c>
      <c r="H137" s="23" t="s">
        <v>399</v>
      </c>
    </row>
    <row r="138" spans="1:8" x14ac:dyDescent="0.25">
      <c r="A138" s="24">
        <v>46321</v>
      </c>
      <c r="B138" s="24">
        <v>46326</v>
      </c>
      <c r="C138" s="10" t="s">
        <v>400</v>
      </c>
      <c r="D138" s="18">
        <v>1</v>
      </c>
      <c r="E138" s="12">
        <v>250</v>
      </c>
      <c r="F138" s="18">
        <v>3</v>
      </c>
      <c r="G138" s="12">
        <v>400</v>
      </c>
      <c r="H138" s="23" t="s">
        <v>401</v>
      </c>
    </row>
    <row r="139" spans="1:8" x14ac:dyDescent="0.25">
      <c r="A139" s="24">
        <v>46327</v>
      </c>
      <c r="B139" s="24">
        <v>46356</v>
      </c>
      <c r="C139" s="10" t="s">
        <v>402</v>
      </c>
      <c r="D139" s="18">
        <f>ROUND(IFERROR(14/4.33,0),2)</f>
      </c>
      <c r="E139" s="12"/>
      <c r="F139" s="18">
        <f>ROUND(IFERROR(36/4.33,0),2)</f>
      </c>
      <c r="G139" s="12"/>
      <c r="H139" s="23" t="s">
        <v>403</v>
      </c>
    </row>
    <row r="140" spans="1:8" x14ac:dyDescent="0.25">
      <c r="A140" s="24">
        <v>46357</v>
      </c>
      <c r="B140" s="24">
        <v>46387</v>
      </c>
      <c r="C140" s="10" t="s">
        <v>404</v>
      </c>
      <c r="D140" s="18">
        <f>ROUND(IFERROR(20/4.33,0),2)</f>
      </c>
      <c r="E140" s="12"/>
      <c r="F140" s="18">
        <f>ROUND(IFERROR(20/4.33,0),2)</f>
      </c>
      <c r="G140" s="12"/>
      <c r="H140" s="23" t="s">
        <v>405</v>
      </c>
    </row>
    <row r="141" spans="1:8" x14ac:dyDescent="0.25">
      <c r="A141" s="24">
        <v>46388</v>
      </c>
      <c r="B141" s="24">
        <v>46418</v>
      </c>
      <c r="C141" s="10" t="s">
        <v>406</v>
      </c>
      <c r="D141" s="18">
        <f>ROUND(IFERROR(24/4.33,0),2)</f>
      </c>
      <c r="E141" s="12"/>
      <c r="F141" s="18">
        <f>ROUND(IFERROR(22/4.33,0),2)</f>
      </c>
      <c r="G141" s="12"/>
      <c r="H141" s="23" t="s">
        <v>407</v>
      </c>
    </row>
    <row r="143" ht="20" customHeight="1" spans="1:6" x14ac:dyDescent="0.25">
      <c r="A143" s="4" t="s">
        <v>408</v>
      </c>
      <c r="B143" s="4"/>
      <c r="C143" s="4"/>
      <c r="D143" s="4"/>
      <c r="E143" s="4"/>
      <c r="F143" s="4"/>
    </row>
    <row r="144" spans="1:6" x14ac:dyDescent="0.25">
      <c r="A144" s="20" t="s">
        <v>409</v>
      </c>
      <c r="B144" s="20" t="s">
        <v>410</v>
      </c>
      <c r="C144" s="20" t="s">
        <v>411</v>
      </c>
      <c r="D144" s="20" t="s">
        <v>412</v>
      </c>
      <c r="E144" s="20" t="s">
        <v>413</v>
      </c>
      <c r="F144" s="20" t="s">
        <v>414</v>
      </c>
    </row>
    <row r="145" spans="1:6" x14ac:dyDescent="0.25">
      <c r="A145" t="s">
        <v>415</v>
      </c>
      <c r="B145">
        <v>1</v>
      </c>
      <c r="C145" s="19">
        <v>150</v>
      </c>
      <c r="D145" s="19">
        <v>230</v>
      </c>
      <c r="E145" s="19">
        <v>260</v>
      </c>
      <c r="F145" s="23" t="s">
        <v>416</v>
      </c>
    </row>
    <row r="146" spans="1:6" x14ac:dyDescent="0.25">
      <c r="A146" t="s">
        <v>417</v>
      </c>
      <c r="B146">
        <v>1</v>
      </c>
      <c r="C146" s="19">
        <v>180</v>
      </c>
      <c r="D146" s="19">
        <v>270</v>
      </c>
      <c r="E146" s="19">
        <v>300</v>
      </c>
      <c r="F146" s="23" t="s">
        <v>416</v>
      </c>
    </row>
    <row r="147" spans="1:6" x14ac:dyDescent="0.25">
      <c r="A147" t="s">
        <v>418</v>
      </c>
      <c r="B147">
        <v>2</v>
      </c>
      <c r="C147" s="19">
        <v>220</v>
      </c>
      <c r="D147" s="19">
        <v>320</v>
      </c>
      <c r="E147" s="19">
        <v>360</v>
      </c>
      <c r="F147" s="23" t="s">
        <v>416</v>
      </c>
    </row>
    <row r="148" spans="1:6" x14ac:dyDescent="0.25">
      <c r="A148" t="s">
        <v>419</v>
      </c>
      <c r="B148">
        <v>2</v>
      </c>
      <c r="C148" s="19">
        <v>260</v>
      </c>
      <c r="D148" s="19">
        <v>370</v>
      </c>
      <c r="E148" s="19">
        <v>420</v>
      </c>
      <c r="F148" s="23" t="s">
        <v>416</v>
      </c>
    </row>
    <row r="149" spans="1:6" x14ac:dyDescent="0.25">
      <c r="A149" t="s">
        <v>420</v>
      </c>
      <c r="B149">
        <v>3</v>
      </c>
      <c r="C149" s="19">
        <v>300</v>
      </c>
      <c r="D149" s="19">
        <v>420</v>
      </c>
      <c r="E149" s="19">
        <v>470</v>
      </c>
      <c r="F149" s="23" t="s">
        <v>416</v>
      </c>
    </row>
    <row r="150" spans="1:6" x14ac:dyDescent="0.25">
      <c r="A150" t="s">
        <v>421</v>
      </c>
      <c r="C150" s="19">
        <v>30</v>
      </c>
      <c r="F150" s="23" t="s">
        <v>422</v>
      </c>
    </row>
    <row r="151" spans="1:6" x14ac:dyDescent="0.25">
      <c r="A151" t="s">
        <v>423</v>
      </c>
      <c r="C151" s="19">
        <v>40</v>
      </c>
      <c r="F151" s="23" t="s">
        <v>422</v>
      </c>
    </row>
    <row r="152" spans="1:6" x14ac:dyDescent="0.25">
      <c r="A152" t="s">
        <v>424</v>
      </c>
      <c r="C152" s="19">
        <v>35</v>
      </c>
      <c r="F152" s="23" t="s">
        <v>422</v>
      </c>
    </row>
    <row r="153" spans="1:6" x14ac:dyDescent="0.25">
      <c r="A153" t="s">
        <v>425</v>
      </c>
      <c r="C153" s="19">
        <v>40</v>
      </c>
      <c r="F153" s="23" t="s">
        <v>422</v>
      </c>
    </row>
    <row r="154" spans="1:6" x14ac:dyDescent="0.25">
      <c r="A154" t="s">
        <v>426</v>
      </c>
      <c r="C154" s="22">
        <v>0.15</v>
      </c>
      <c r="F154" s="23" t="s">
        <v>427</v>
      </c>
    </row>
    <row r="155" spans="1:6" x14ac:dyDescent="0.25">
      <c r="A155" t="s">
        <v>428</v>
      </c>
      <c r="C155" s="22">
        <v>0.15</v>
      </c>
      <c r="F155" s="23" t="s">
        <v>429</v>
      </c>
    </row>
    <row r="156" spans="1:6" x14ac:dyDescent="0.25">
      <c r="A156" t="s">
        <v>430</v>
      </c>
      <c r="C156" s="19">
        <v>175</v>
      </c>
      <c r="F156" s="23" t="s">
        <v>12</v>
      </c>
    </row>
    <row r="157" spans="1:6" x14ac:dyDescent="0.25">
      <c r="A157" t="s">
        <v>431</v>
      </c>
      <c r="C157" s="19">
        <v>225</v>
      </c>
      <c r="F157" s="23" t="s">
        <v>12</v>
      </c>
    </row>
    <row r="158" spans="1:6" x14ac:dyDescent="0.25">
      <c r="A158" t="s">
        <v>432</v>
      </c>
      <c r="C158" s="19">
        <v>300</v>
      </c>
      <c r="F158" s="23" t="s">
        <v>12</v>
      </c>
    </row>
    <row r="159" spans="1:6" x14ac:dyDescent="0.25">
      <c r="A159" t="s">
        <v>433</v>
      </c>
      <c r="C159" s="19">
        <v>70</v>
      </c>
      <c r="F159" s="23" t="s">
        <v>12</v>
      </c>
    </row>
    <row r="160" spans="1:6" x14ac:dyDescent="0.25">
      <c r="A160" t="s">
        <v>434</v>
      </c>
      <c r="C160" s="19">
        <v>500</v>
      </c>
      <c r="F160" s="23" t="s">
        <v>12</v>
      </c>
    </row>
    <row r="161" spans="1:6" x14ac:dyDescent="0.25">
      <c r="A161" t="s">
        <v>435</v>
      </c>
      <c r="C161" s="19">
        <v>650</v>
      </c>
      <c r="F161" s="23" t="s">
        <v>12</v>
      </c>
    </row>
    <row r="162" spans="1:6" x14ac:dyDescent="0.25">
      <c r="A162" t="s">
        <v>436</v>
      </c>
      <c r="C162" s="19">
        <v>800</v>
      </c>
      <c r="F162" s="23" t="s">
        <v>12</v>
      </c>
    </row>
    <row r="163" spans="1:6" x14ac:dyDescent="0.25">
      <c r="A163" t="s">
        <v>437</v>
      </c>
      <c r="C163" s="19">
        <v>100</v>
      </c>
      <c r="F163" s="23" t="s">
        <v>438</v>
      </c>
    </row>
    <row r="164" spans="1:6" x14ac:dyDescent="0.25">
      <c r="A164" t="s">
        <v>439</v>
      </c>
      <c r="C164" s="19">
        <v>100</v>
      </c>
      <c r="F164" s="23" t="s">
        <v>438</v>
      </c>
    </row>
    <row r="165" spans="1:6" x14ac:dyDescent="0.25">
      <c r="A165" t="s">
        <v>440</v>
      </c>
      <c r="C165" s="19">
        <v>60</v>
      </c>
      <c r="F165" s="23" t="s">
        <v>12</v>
      </c>
    </row>
    <row r="166" spans="1:6" x14ac:dyDescent="0.25">
      <c r="A166" t="s">
        <v>441</v>
      </c>
      <c r="C166" s="12">
        <v>4</v>
      </c>
      <c r="F166" s="23" t="s">
        <v>442</v>
      </c>
    </row>
    <row r="168" ht="20" customHeight="1" spans="1:6" x14ac:dyDescent="0.25">
      <c r="A168" s="4" t="s">
        <v>443</v>
      </c>
      <c r="B168" s="4"/>
      <c r="C168" s="4"/>
      <c r="D168" s="4"/>
      <c r="E168" s="4"/>
      <c r="F168" s="4"/>
    </row>
    <row r="169" ht="42" customHeight="1" spans="1:6" x14ac:dyDescent="0.25">
      <c r="A169" s="8" t="s">
        <v>444</v>
      </c>
      <c r="D169" s="25" t="s">
        <v>445</v>
      </c>
      <c r="E169" s="8" t="s">
        <v>446</v>
      </c>
      <c r="F169" s="9" t="s">
        <v>447</v>
      </c>
    </row>
    <row r="170" ht="29" customHeight="1" spans="1:6" x14ac:dyDescent="0.25">
      <c r="A170" s="8" t="s">
        <v>448</v>
      </c>
      <c r="D170" s="25" t="s">
        <v>445</v>
      </c>
      <c r="E170" s="8" t="s">
        <v>449</v>
      </c>
      <c r="F170" s="9" t="s">
        <v>450</v>
      </c>
    </row>
    <row r="171" ht="29" customHeight="1" spans="1:6" x14ac:dyDescent="0.25">
      <c r="A171" s="8" t="s">
        <v>451</v>
      </c>
      <c r="D171" s="25" t="s">
        <v>445</v>
      </c>
      <c r="E171" s="8" t="s">
        <v>452</v>
      </c>
      <c r="F171" s="9" t="s">
        <v>453</v>
      </c>
    </row>
    <row r="172" ht="16" customHeight="1" spans="1:6" x14ac:dyDescent="0.25">
      <c r="A172" s="8" t="s">
        <v>454</v>
      </c>
      <c r="D172" s="25" t="s">
        <v>445</v>
      </c>
      <c r="E172" s="8" t="s">
        <v>455</v>
      </c>
      <c r="F172" s="9" t="s">
        <v>456</v>
      </c>
    </row>
    <row r="173" ht="29" customHeight="1" spans="1:6" x14ac:dyDescent="0.25">
      <c r="A173" s="8" t="s">
        <v>457</v>
      </c>
      <c r="D173" s="25" t="s">
        <v>445</v>
      </c>
      <c r="E173" s="8" t="s">
        <v>458</v>
      </c>
      <c r="F173" s="9" t="s">
        <v>459</v>
      </c>
    </row>
    <row r="174" ht="29" customHeight="1" spans="1:6" x14ac:dyDescent="0.25">
      <c r="A174" s="8" t="s">
        <v>460</v>
      </c>
      <c r="D174" s="25" t="s">
        <v>445</v>
      </c>
      <c r="E174" s="8" t="s">
        <v>461</v>
      </c>
      <c r="F174" s="9" t="s">
        <v>462</v>
      </c>
    </row>
    <row r="175" ht="29" customHeight="1" spans="1:5" x14ac:dyDescent="0.25">
      <c r="A175" s="8" t="s">
        <v>463</v>
      </c>
      <c r="D175" s="25" t="s">
        <v>464</v>
      </c>
      <c r="E175" s="8" t="s">
        <v>465</v>
      </c>
    </row>
    <row r="176" ht="29" customHeight="1" spans="1:6" x14ac:dyDescent="0.25">
      <c r="A176" s="8" t="s">
        <v>466</v>
      </c>
      <c r="D176" s="25" t="s">
        <v>445</v>
      </c>
      <c r="E176" s="8" t="s">
        <v>467</v>
      </c>
      <c r="F176" s="9" t="s">
        <v>226</v>
      </c>
    </row>
    <row r="177" ht="42" customHeight="1" spans="1:6" x14ac:dyDescent="0.25">
      <c r="A177" s="8" t="s">
        <v>468</v>
      </c>
      <c r="D177" s="25" t="s">
        <v>445</v>
      </c>
      <c r="E177" s="8" t="s">
        <v>469</v>
      </c>
      <c r="F177" s="9" t="s">
        <v>470</v>
      </c>
    </row>
    <row r="178" ht="42" customHeight="1" spans="1:6" x14ac:dyDescent="0.25">
      <c r="A178" s="8" t="s">
        <v>471</v>
      </c>
      <c r="D178" s="25" t="s">
        <v>445</v>
      </c>
      <c r="E178" s="8" t="s">
        <v>472</v>
      </c>
      <c r="F178" s="9" t="s">
        <v>473</v>
      </c>
    </row>
    <row r="179" ht="29" customHeight="1" spans="1:6" x14ac:dyDescent="0.25">
      <c r="A179" s="8" t="s">
        <v>474</v>
      </c>
      <c r="D179" s="25" t="s">
        <v>445</v>
      </c>
      <c r="E179" s="8" t="s">
        <v>475</v>
      </c>
      <c r="F179" s="9" t="s">
        <v>253</v>
      </c>
    </row>
    <row r="180" ht="42" customHeight="1" spans="1:6" x14ac:dyDescent="0.25">
      <c r="A180" s="8" t="s">
        <v>476</v>
      </c>
      <c r="D180" s="25" t="s">
        <v>445</v>
      </c>
      <c r="E180" s="8" t="s">
        <v>477</v>
      </c>
      <c r="F180" s="9" t="s">
        <v>478</v>
      </c>
    </row>
    <row r="181" ht="42" customHeight="1" spans="1:6" x14ac:dyDescent="0.25">
      <c r="A181" s="8" t="s">
        <v>479</v>
      </c>
      <c r="D181" s="25" t="s">
        <v>445</v>
      </c>
      <c r="E181" s="8" t="s">
        <v>480</v>
      </c>
      <c r="F181" s="9" t="s">
        <v>481</v>
      </c>
    </row>
  </sheetData>
  <mergeCells count="14">
    <mergeCell ref="A1:F1"/>
    <mergeCell ref="A2:F2"/>
    <mergeCell ref="A4:F4"/>
    <mergeCell ref="A17:F17"/>
    <mergeCell ref="A23:F23"/>
    <mergeCell ref="A38:F38"/>
    <mergeCell ref="A48:F48"/>
    <mergeCell ref="A64:F64"/>
    <mergeCell ref="A72:F72"/>
    <mergeCell ref="A91:F91"/>
    <mergeCell ref="A120:F120"/>
    <mergeCell ref="A132:H132"/>
    <mergeCell ref="A143:F143"/>
    <mergeCell ref="A168:F168"/>
  </mergeCells>
  <dataValidations count="10">
    <dataValidation type="list" allowBlank="1" showErrorMessage="1" errorStyle="stop" errorTitle="목록에서 고르세요 / Pick from the list" error="YES,NO" sqref="C12">
      <formula1>"YES,NO"</formula1>
    </dataValidation>
    <dataValidation type="list" allowBlank="1" showErrorMessage="1" errorStyle="stop" errorTitle="목록에서 고르세요 / Pick from the list" error="YES,NO" sqref="C24">
      <formula1>"YES,NO"</formula1>
    </dataValidation>
    <dataValidation type="list" allowBlank="1" showErrorMessage="1" errorStyle="stop" errorTitle="목록에서 고르세요 / Pick from the list" error="YES,NO" sqref="C31">
      <formula1>"YES,NO"</formula1>
    </dataValidation>
    <dataValidation type="list" allowBlank="1" showErrorMessage="1" errorStyle="stop" errorTitle="목록에서 고르세요 / Pick from the list" error="YES,NO,UNKNOWN" sqref="C39">
      <formula1>"YES,NO,UNKNOWN"</formula1>
    </dataValidation>
    <dataValidation type="list" allowBlank="1" showErrorMessage="1" errorStyle="stop" errorTitle="목록에서 고르세요 / Pick from the list" error="B1,B2" sqref="C53">
      <formula1>"B1,B2"</formula1>
    </dataValidation>
    <dataValidation type="list" allowBlank="1" showErrorMessage="1" errorStyle="stop" errorTitle="목록에서 고르세요 / Pick from the list" error="1,2,3" sqref="C56">
      <formula1>"1,2,3"</formula1>
    </dataValidation>
    <dataValidation type="list" allowBlank="1" showErrorMessage="1" errorStyle="stop" errorTitle="목록에서 고르세요 / Pick from the list" error="BLOWER,SHOVEL" sqref="C88">
      <formula1>"BLOWER,SHOVEL"</formula1>
    </dataValidation>
    <dataValidation type="list" allowBlank="1" showErrorMessage="1" errorStyle="stop" errorTitle="목록에서 고르세요 / Pick from the list" error="YES,NO" sqref="C92:C93">
      <formula1>"YES,NO"</formula1>
    </dataValidation>
    <dataValidation type="list" allowBlank="1" showErrorMessage="1" errorStyle="stop" errorTitle="목록에서 고르세요 / Pick from the list" error="YES,NO,PENDING" sqref="C94">
      <formula1>"YES,NO,PENDING"</formula1>
    </dataValidation>
    <dataValidation type="list" allowBlank="1" showErrorMessage="1" errorStyle="stop" errorTitle="목록에서 고르세요 / Pick from the list" error="YES,NO" sqref="C96">
      <formula1>"YES,NO"</formula1>
    </dataValidation>
  </dataValidations>
  <hyperlinks>
    <hyperlink ref="F7" r:id="rId1"/>
    <hyperlink ref="F12" r:id="rId2"/>
    <hyperlink ref="F18" r:id="rId3"/>
    <hyperlink ref="F19" r:id="rId4"/>
    <hyperlink ref="F20" r:id="rId5"/>
    <hyperlink ref="F21" r:id="rId6"/>
    <hyperlink ref="F24" r:id="rId7"/>
    <hyperlink ref="F26" r:id="rId8"/>
    <hyperlink ref="F28" r:id="rId9"/>
    <hyperlink ref="F32" r:id="rId10"/>
    <hyperlink ref="F33" r:id="rId11"/>
    <hyperlink ref="F34" r:id="rId12"/>
    <hyperlink ref="F35" r:id="rId13"/>
    <hyperlink ref="F36" r:id="rId14"/>
    <hyperlink ref="F39" r:id="rId15"/>
    <hyperlink ref="F40" r:id="rId16"/>
    <hyperlink ref="F41" r:id="rId17"/>
    <hyperlink ref="F42" r:id="rId18"/>
    <hyperlink ref="F43" r:id="rId19"/>
    <hyperlink ref="F44" r:id="rId20"/>
    <hyperlink ref="F45" r:id="rId21"/>
    <hyperlink ref="F46" r:id="rId22"/>
    <hyperlink ref="F70" r:id="rId23"/>
    <hyperlink ref="F74" r:id="rId24"/>
    <hyperlink ref="F76" r:id="rId25"/>
    <hyperlink ref="F78" r:id="rId26"/>
    <hyperlink ref="F79" r:id="rId27"/>
    <hyperlink ref="F81" r:id="rId28"/>
    <hyperlink ref="F82" r:id="rId29"/>
    <hyperlink ref="F84" r:id="rId30"/>
    <hyperlink ref="F169" r:id="rId31"/>
    <hyperlink ref="F170" r:id="rId32"/>
    <hyperlink ref="F171" r:id="rId33"/>
    <hyperlink ref="F172" r:id="rId34"/>
    <hyperlink ref="F173" r:id="rId35"/>
    <hyperlink ref="F174" r:id="rId36"/>
    <hyperlink ref="F176" r:id="rId37"/>
    <hyperlink ref="F177" r:id="rId38"/>
    <hyperlink ref="F178" r:id="rId39"/>
    <hyperlink ref="F179" r:id="rId40"/>
    <hyperlink ref="F180" r:id="rId41"/>
    <hyperlink ref="F181" r:id="rId4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K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2" style="26" customWidth="1"/>
    <col min="2" max="2" width="22" style="5" customWidth="1"/>
    <col min="3" max="3" width="10" style="5" customWidth="1"/>
    <col min="4" max="4" width="10" style="27" customWidth="1"/>
    <col min="5" max="5" width="11" style="5" customWidth="1"/>
    <col min="6" max="6" width="40" style="5" customWidth="1"/>
    <col min="7" max="7" width="10" style="27" customWidth="1"/>
    <col min="9" max="9" width="7" customWidth="1"/>
    <col min="10" max="10" width="26" customWidth="1"/>
    <col min="11" max="11" width="46" customWidth="1"/>
  </cols>
  <sheetData>
    <row r="1" ht="32" customHeight="1" spans="1:11" x14ac:dyDescent="0.25">
      <c r="A1" s="28" t="s">
        <v>482</v>
      </c>
      <c r="B1" s="3" t="s">
        <v>483</v>
      </c>
      <c r="C1" s="3" t="s">
        <v>484</v>
      </c>
      <c r="D1" s="29" t="s">
        <v>485</v>
      </c>
      <c r="E1" s="3" t="s">
        <v>486</v>
      </c>
      <c r="F1" s="3" t="s">
        <v>487</v>
      </c>
      <c r="G1" s="29" t="s">
        <v>488</v>
      </c>
      <c r="I1" s="20" t="s">
        <v>489</v>
      </c>
      <c r="J1" s="20" t="s">
        <v>490</v>
      </c>
      <c r="K1" s="20" t="s">
        <v>491</v>
      </c>
    </row>
    <row r="2" spans="1:11" x14ac:dyDescent="0.25">
      <c r="A2" s="30">
        <v>46295</v>
      </c>
      <c r="B2" s="31" t="s">
        <v>492</v>
      </c>
      <c r="C2" s="31" t="s">
        <v>493</v>
      </c>
      <c r="D2" s="32">
        <v>1</v>
      </c>
      <c r="E2" s="31" t="s">
        <v>494</v>
      </c>
      <c r="F2" s="31" t="s">
        <v>495</v>
      </c>
      <c r="G2" s="32">
        <v>1</v>
      </c>
      <c r="I2" s="33" t="s">
        <v>494</v>
      </c>
      <c r="J2" s="34" t="s">
        <v>496</v>
      </c>
      <c r="K2" s="34" t="s">
        <v>497</v>
      </c>
    </row>
    <row r="3" spans="9:11" x14ac:dyDescent="0.25">
      <c r="I3" s="33" t="s">
        <v>498</v>
      </c>
      <c r="J3" s="34" t="s">
        <v>499</v>
      </c>
      <c r="K3" s="34" t="s">
        <v>500</v>
      </c>
    </row>
    <row r="4" spans="9:11" x14ac:dyDescent="0.25">
      <c r="I4" s="33" t="s">
        <v>501</v>
      </c>
      <c r="J4" s="34" t="s">
        <v>502</v>
      </c>
      <c r="K4" s="34" t="s">
        <v>503</v>
      </c>
    </row>
    <row r="5" spans="9:11" x14ac:dyDescent="0.25">
      <c r="I5" s="33" t="s">
        <v>504</v>
      </c>
      <c r="J5" s="34" t="s">
        <v>505</v>
      </c>
      <c r="K5" s="34" t="s">
        <v>506</v>
      </c>
    </row>
    <row r="6" spans="9:11" x14ac:dyDescent="0.25">
      <c r="I6" s="33" t="s">
        <v>507</v>
      </c>
      <c r="J6" s="34" t="s">
        <v>508</v>
      </c>
      <c r="K6" s="34" t="s">
        <v>509</v>
      </c>
    </row>
    <row r="7" spans="9:11" x14ac:dyDescent="0.25">
      <c r="I7" s="33" t="s">
        <v>510</v>
      </c>
      <c r="J7" s="34" t="s">
        <v>511</v>
      </c>
      <c r="K7" s="34" t="s">
        <v>512</v>
      </c>
    </row>
  </sheetData>
  <dataValidations count="3">
    <dataValidation type="whole" allowBlank="1" showErrorMessage="1" error="1–20" sqref="D3:D10002">
      <formula1>1</formula1>
      <formula2>20</formula2>
    </dataValidation>
    <dataValidation type="list" allowBlank="1" showErrorMessage="1" errorStyle="stop" errorTitle="목록에서 고르세요 / Pick from the list" error="허용 / allowed: NA,NI,Q,B,CB,NS" sqref="E3:E10002">
      <formula1>"NA,NI,Q,B,CB,NS"</formula1>
    </dataValidation>
    <dataValidation type="whole" allowBlank="1" showErrorMessage="1" error="1–9" sqref="G3:G10002">
      <formula1>1</formula1>
      <formula2>9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Q1002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style="5" customWidth="1"/>
    <col min="2" max="2" width="12" style="26" customWidth="1"/>
    <col min="3" max="3" width="11" style="5" customWidth="1"/>
    <col min="4" max="4" width="20" style="5" customWidth="1"/>
    <col min="5" max="5" width="24" style="5" customWidth="1"/>
    <col min="6" max="6" width="20" style="5" customWidth="1"/>
    <col min="7" max="7" width="12" style="5" customWidth="1"/>
    <col min="8" max="8" width="13" style="35" customWidth="1"/>
    <col min="9" max="9" width="9" style="5" customWidth="1"/>
    <col min="10" max="11" width="12" style="26" customWidth="1"/>
    <col min="12" max="12" width="11" style="5" customWidth="1"/>
    <col min="13" max="13" width="12" style="5" customWidth="1"/>
    <col min="14" max="14" width="30" style="5" customWidth="1"/>
    <col min="15" max="15" width="14" style="26" customWidth="1"/>
    <col min="16" max="16" width="12" style="35" customWidth="1"/>
    <col min="17" max="17" width="16" style="5" customWidth="1"/>
  </cols>
  <sheetData>
    <row r="1" ht="32" customHeight="1" spans="1:17" x14ac:dyDescent="0.25">
      <c r="A1" s="3" t="s">
        <v>513</v>
      </c>
      <c r="B1" s="28" t="s">
        <v>514</v>
      </c>
      <c r="C1" s="3" t="s">
        <v>515</v>
      </c>
      <c r="D1" s="3" t="s">
        <v>516</v>
      </c>
      <c r="E1" s="3" t="s">
        <v>517</v>
      </c>
      <c r="F1" s="3" t="s">
        <v>518</v>
      </c>
      <c r="G1" s="3" t="s">
        <v>519</v>
      </c>
      <c r="H1" s="36" t="s">
        <v>520</v>
      </c>
      <c r="I1" s="3" t="s">
        <v>521</v>
      </c>
      <c r="J1" s="28" t="s">
        <v>522</v>
      </c>
      <c r="K1" s="28" t="s">
        <v>523</v>
      </c>
      <c r="L1" s="3" t="s">
        <v>524</v>
      </c>
      <c r="M1" s="3" t="s">
        <v>525</v>
      </c>
      <c r="N1" s="3" t="s">
        <v>487</v>
      </c>
      <c r="O1" s="37" t="s">
        <v>526</v>
      </c>
      <c r="P1" s="38" t="s">
        <v>527</v>
      </c>
      <c r="Q1" s="20" t="s">
        <v>528</v>
      </c>
    </row>
    <row r="2" spans="1:17" x14ac:dyDescent="0.25">
      <c r="A2" s="31" t="s">
        <v>529</v>
      </c>
      <c r="B2" s="30">
        <v>46295</v>
      </c>
      <c r="C2" s="31" t="s">
        <v>530</v>
      </c>
      <c r="D2" s="31" t="s">
        <v>531</v>
      </c>
      <c r="E2" s="31" t="s">
        <v>532</v>
      </c>
      <c r="F2" s="31" t="s">
        <v>533</v>
      </c>
      <c r="G2" s="31" t="s">
        <v>357</v>
      </c>
      <c r="H2" s="39">
        <v>270</v>
      </c>
      <c r="I2" s="31" t="s">
        <v>534</v>
      </c>
      <c r="J2" s="30">
        <v>46297</v>
      </c>
      <c r="K2" s="30">
        <v>46309</v>
      </c>
      <c r="L2" s="31" t="s">
        <v>535</v>
      </c>
      <c r="M2" s="31" t="s">
        <v>536</v>
      </c>
      <c r="N2" s="31" t="s">
        <v>495</v>
      </c>
      <c r="O2" s="30" t="s">
        <v>537</v>
      </c>
      <c r="P2" s="39" t="s">
        <v>537</v>
      </c>
      <c r="Q2" s="31" t="s">
        <v>537</v>
      </c>
    </row>
    <row r="3" spans="15:17" x14ac:dyDescent="0.25">
      <c r="O3" s="40">
        <f>IF(AND($L3="Y",$J3&lt;&gt;""),$J3+'설정 Settings'!$C$18,"")</f>
      </c>
      <c r="P3" s="41">
        <f>IF($H3="","",$H3-ROUND(IFERROR($H3*VLOOKUP($G3,'설정 Settings'!$A$122:$F$130,4,0)+VLOOKUP($G3,'설정 Settings'!$A$122:$F$130,5,0),0),2))</f>
      </c>
      <c r="Q3" s="42">
        <f>IF(AND($I3="OPEN",$B3&lt;&gt;""),IF('설정 Settings'!$C$15-$B3&gt;='설정 Settings'!$C$62,"후속 연락 필요",""),"")</f>
      </c>
    </row>
    <row r="4" spans="15:17" x14ac:dyDescent="0.25">
      <c r="O4" s="40">
        <f>IF(AND($L4="Y",$J4&lt;&gt;""),$J4+'설정 Settings'!$C$18,"")</f>
      </c>
      <c r="P4" s="41">
        <f>IF($H4="","",$H4-ROUND(IFERROR($H4*VLOOKUP($G4,'설정 Settings'!$A$122:$F$130,4,0)+VLOOKUP($G4,'설정 Settings'!$A$122:$F$130,5,0),0),2))</f>
      </c>
      <c r="Q4" s="42">
        <f>IF(AND($I4="OPEN",$B4&lt;&gt;""),IF('설정 Settings'!$C$15-$B4&gt;='설정 Settings'!$C$62,"후속 연락 필요",""),"")</f>
      </c>
    </row>
    <row r="5" spans="15:17" x14ac:dyDescent="0.25">
      <c r="O5" s="40">
        <f>IF(AND($L5="Y",$J5&lt;&gt;""),$J5+'설정 Settings'!$C$18,"")</f>
      </c>
      <c r="P5" s="41">
        <f>IF($H5="","",$H5-ROUND(IFERROR($H5*VLOOKUP($G5,'설정 Settings'!$A$122:$F$130,4,0)+VLOOKUP($G5,'설정 Settings'!$A$122:$F$130,5,0),0),2))</f>
      </c>
      <c r="Q5" s="42">
        <f>IF(AND($I5="OPEN",$B5&lt;&gt;""),IF('설정 Settings'!$C$15-$B5&gt;='설정 Settings'!$C$62,"후속 연락 필요",""),"")</f>
      </c>
    </row>
    <row r="6" spans="15:17" x14ac:dyDescent="0.25">
      <c r="O6" s="40">
        <f>IF(AND($L6="Y",$J6&lt;&gt;""),$J6+'설정 Settings'!$C$18,"")</f>
      </c>
      <c r="P6" s="41">
        <f>IF($H6="","",$H6-ROUND(IFERROR($H6*VLOOKUP($G6,'설정 Settings'!$A$122:$F$130,4,0)+VLOOKUP($G6,'설정 Settings'!$A$122:$F$130,5,0),0),2))</f>
      </c>
      <c r="Q6" s="42">
        <f>IF(AND($I6="OPEN",$B6&lt;&gt;""),IF('설정 Settings'!$C$15-$B6&gt;='설정 Settings'!$C$62,"후속 연락 필요",""),"")</f>
      </c>
    </row>
    <row r="7" spans="15:17" x14ac:dyDescent="0.25">
      <c r="O7" s="40">
        <f>IF(AND($L7="Y",$J7&lt;&gt;""),$J7+'설정 Settings'!$C$18,"")</f>
      </c>
      <c r="P7" s="41">
        <f>IF($H7="","",$H7-ROUND(IFERROR($H7*VLOOKUP($G7,'설정 Settings'!$A$122:$F$130,4,0)+VLOOKUP($G7,'설정 Settings'!$A$122:$F$130,5,0),0),2))</f>
      </c>
      <c r="Q7" s="42">
        <f>IF(AND($I7="OPEN",$B7&lt;&gt;""),IF('설정 Settings'!$C$15-$B7&gt;='설정 Settings'!$C$62,"후속 연락 필요",""),"")</f>
      </c>
    </row>
    <row r="8" spans="15:17" x14ac:dyDescent="0.25">
      <c r="O8" s="40">
        <f>IF(AND($L8="Y",$J8&lt;&gt;""),$J8+'설정 Settings'!$C$18,"")</f>
      </c>
      <c r="P8" s="41">
        <f>IF($H8="","",$H8-ROUND(IFERROR($H8*VLOOKUP($G8,'설정 Settings'!$A$122:$F$130,4,0)+VLOOKUP($G8,'설정 Settings'!$A$122:$F$130,5,0),0),2))</f>
      </c>
      <c r="Q8" s="42">
        <f>IF(AND($I8="OPEN",$B8&lt;&gt;""),IF('설정 Settings'!$C$15-$B8&gt;='설정 Settings'!$C$62,"후속 연락 필요",""),"")</f>
      </c>
    </row>
    <row r="9" spans="15:17" x14ac:dyDescent="0.25">
      <c r="O9" s="40">
        <f>IF(AND($L9="Y",$J9&lt;&gt;""),$J9+'설정 Settings'!$C$18,"")</f>
      </c>
      <c r="P9" s="41">
        <f>IF($H9="","",$H9-ROUND(IFERROR($H9*VLOOKUP($G9,'설정 Settings'!$A$122:$F$130,4,0)+VLOOKUP($G9,'설정 Settings'!$A$122:$F$130,5,0),0),2))</f>
      </c>
      <c r="Q9" s="42">
        <f>IF(AND($I9="OPEN",$B9&lt;&gt;""),IF('설정 Settings'!$C$15-$B9&gt;='설정 Settings'!$C$62,"후속 연락 필요",""),"")</f>
      </c>
    </row>
    <row r="10" spans="15:17" x14ac:dyDescent="0.25">
      <c r="O10" s="40">
        <f>IF(AND($L10="Y",$J10&lt;&gt;""),$J10+'설정 Settings'!$C$18,"")</f>
      </c>
      <c r="P10" s="41">
        <f>IF($H10="","",$H10-ROUND(IFERROR($H10*VLOOKUP($G10,'설정 Settings'!$A$122:$F$130,4,0)+VLOOKUP($G10,'설정 Settings'!$A$122:$F$130,5,0),0),2))</f>
      </c>
      <c r="Q10" s="42">
        <f>IF(AND($I10="OPEN",$B10&lt;&gt;""),IF('설정 Settings'!$C$15-$B10&gt;='설정 Settings'!$C$62,"후속 연락 필요",""),"")</f>
      </c>
    </row>
    <row r="11" spans="15:17" x14ac:dyDescent="0.25">
      <c r="O11" s="40">
        <f>IF(AND($L11="Y",$J11&lt;&gt;""),$J11+'설정 Settings'!$C$18,"")</f>
      </c>
      <c r="P11" s="41">
        <f>IF($H11="","",$H11-ROUND(IFERROR($H11*VLOOKUP($G11,'설정 Settings'!$A$122:$F$130,4,0)+VLOOKUP($G11,'설정 Settings'!$A$122:$F$130,5,0),0),2))</f>
      </c>
      <c r="Q11" s="42">
        <f>IF(AND($I11="OPEN",$B11&lt;&gt;""),IF('설정 Settings'!$C$15-$B11&gt;='설정 Settings'!$C$62,"후속 연락 필요",""),"")</f>
      </c>
    </row>
    <row r="12" spans="15:17" x14ac:dyDescent="0.25">
      <c r="O12" s="40">
        <f>IF(AND($L12="Y",$J12&lt;&gt;""),$J12+'설정 Settings'!$C$18,"")</f>
      </c>
      <c r="P12" s="41">
        <f>IF($H12="","",$H12-ROUND(IFERROR($H12*VLOOKUP($G12,'설정 Settings'!$A$122:$F$130,4,0)+VLOOKUP($G12,'설정 Settings'!$A$122:$F$130,5,0),0),2))</f>
      </c>
      <c r="Q12" s="42">
        <f>IF(AND($I12="OPEN",$B12&lt;&gt;""),IF('설정 Settings'!$C$15-$B12&gt;='설정 Settings'!$C$62,"후속 연락 필요",""),"")</f>
      </c>
    </row>
    <row r="13" spans="15:17" x14ac:dyDescent="0.25">
      <c r="O13" s="40">
        <f>IF(AND($L13="Y",$J13&lt;&gt;""),$J13+'설정 Settings'!$C$18,"")</f>
      </c>
      <c r="P13" s="41">
        <f>IF($H13="","",$H13-ROUND(IFERROR($H13*VLOOKUP($G13,'설정 Settings'!$A$122:$F$130,4,0)+VLOOKUP($G13,'설정 Settings'!$A$122:$F$130,5,0),0),2))</f>
      </c>
      <c r="Q13" s="42">
        <f>IF(AND($I13="OPEN",$B13&lt;&gt;""),IF('설정 Settings'!$C$15-$B13&gt;='설정 Settings'!$C$62,"후속 연락 필요",""),"")</f>
      </c>
    </row>
    <row r="14" spans="15:17" x14ac:dyDescent="0.25">
      <c r="O14" s="40">
        <f>IF(AND($L14="Y",$J14&lt;&gt;""),$J14+'설정 Settings'!$C$18,"")</f>
      </c>
      <c r="P14" s="41">
        <f>IF($H14="","",$H14-ROUND(IFERROR($H14*VLOOKUP($G14,'설정 Settings'!$A$122:$F$130,4,0)+VLOOKUP($G14,'설정 Settings'!$A$122:$F$130,5,0),0),2))</f>
      </c>
      <c r="Q14" s="42">
        <f>IF(AND($I14="OPEN",$B14&lt;&gt;""),IF('설정 Settings'!$C$15-$B14&gt;='설정 Settings'!$C$62,"후속 연락 필요",""),"")</f>
      </c>
    </row>
    <row r="15" spans="15:17" x14ac:dyDescent="0.25">
      <c r="O15" s="40">
        <f>IF(AND($L15="Y",$J15&lt;&gt;""),$J15+'설정 Settings'!$C$18,"")</f>
      </c>
      <c r="P15" s="41">
        <f>IF($H15="","",$H15-ROUND(IFERROR($H15*VLOOKUP($G15,'설정 Settings'!$A$122:$F$130,4,0)+VLOOKUP($G15,'설정 Settings'!$A$122:$F$130,5,0),0),2))</f>
      </c>
      <c r="Q15" s="42">
        <f>IF(AND($I15="OPEN",$B15&lt;&gt;""),IF('설정 Settings'!$C$15-$B15&gt;='설정 Settings'!$C$62,"후속 연락 필요",""),"")</f>
      </c>
    </row>
    <row r="16" spans="15:17" x14ac:dyDescent="0.25">
      <c r="O16" s="40">
        <f>IF(AND($L16="Y",$J16&lt;&gt;""),$J16+'설정 Settings'!$C$18,"")</f>
      </c>
      <c r="P16" s="41">
        <f>IF($H16="","",$H16-ROUND(IFERROR($H16*VLOOKUP($G16,'설정 Settings'!$A$122:$F$130,4,0)+VLOOKUP($G16,'설정 Settings'!$A$122:$F$130,5,0),0),2))</f>
      </c>
      <c r="Q16" s="42">
        <f>IF(AND($I16="OPEN",$B16&lt;&gt;""),IF('설정 Settings'!$C$15-$B16&gt;='설정 Settings'!$C$62,"후속 연락 필요",""),"")</f>
      </c>
    </row>
    <row r="17" spans="15:17" x14ac:dyDescent="0.25">
      <c r="O17" s="40">
        <f>IF(AND($L17="Y",$J17&lt;&gt;""),$J17+'설정 Settings'!$C$18,"")</f>
      </c>
      <c r="P17" s="41">
        <f>IF($H17="","",$H17-ROUND(IFERROR($H17*VLOOKUP($G17,'설정 Settings'!$A$122:$F$130,4,0)+VLOOKUP($G17,'설정 Settings'!$A$122:$F$130,5,0),0),2))</f>
      </c>
      <c r="Q17" s="42">
        <f>IF(AND($I17="OPEN",$B17&lt;&gt;""),IF('설정 Settings'!$C$15-$B17&gt;='설정 Settings'!$C$62,"후속 연락 필요",""),"")</f>
      </c>
    </row>
    <row r="18" spans="15:17" x14ac:dyDescent="0.25">
      <c r="O18" s="40">
        <f>IF(AND($L18="Y",$J18&lt;&gt;""),$J18+'설정 Settings'!$C$18,"")</f>
      </c>
      <c r="P18" s="41">
        <f>IF($H18="","",$H18-ROUND(IFERROR($H18*VLOOKUP($G18,'설정 Settings'!$A$122:$F$130,4,0)+VLOOKUP($G18,'설정 Settings'!$A$122:$F$130,5,0),0),2))</f>
      </c>
      <c r="Q18" s="42">
        <f>IF(AND($I18="OPEN",$B18&lt;&gt;""),IF('설정 Settings'!$C$15-$B18&gt;='설정 Settings'!$C$62,"후속 연락 필요",""),"")</f>
      </c>
    </row>
    <row r="19" spans="15:17" x14ac:dyDescent="0.25">
      <c r="O19" s="40">
        <f>IF(AND($L19="Y",$J19&lt;&gt;""),$J19+'설정 Settings'!$C$18,"")</f>
      </c>
      <c r="P19" s="41">
        <f>IF($H19="","",$H19-ROUND(IFERROR($H19*VLOOKUP($G19,'설정 Settings'!$A$122:$F$130,4,0)+VLOOKUP($G19,'설정 Settings'!$A$122:$F$130,5,0),0),2))</f>
      </c>
      <c r="Q19" s="42">
        <f>IF(AND($I19="OPEN",$B19&lt;&gt;""),IF('설정 Settings'!$C$15-$B19&gt;='설정 Settings'!$C$62,"후속 연락 필요",""),"")</f>
      </c>
    </row>
    <row r="20" spans="15:17" x14ac:dyDescent="0.25">
      <c r="O20" s="40">
        <f>IF(AND($L20="Y",$J20&lt;&gt;""),$J20+'설정 Settings'!$C$18,"")</f>
      </c>
      <c r="P20" s="41">
        <f>IF($H20="","",$H20-ROUND(IFERROR($H20*VLOOKUP($G20,'설정 Settings'!$A$122:$F$130,4,0)+VLOOKUP($G20,'설정 Settings'!$A$122:$F$130,5,0),0),2))</f>
      </c>
      <c r="Q20" s="42">
        <f>IF(AND($I20="OPEN",$B20&lt;&gt;""),IF('설정 Settings'!$C$15-$B20&gt;='설정 Settings'!$C$62,"후속 연락 필요",""),"")</f>
      </c>
    </row>
    <row r="21" spans="15:17" x14ac:dyDescent="0.25">
      <c r="O21" s="40">
        <f>IF(AND($L21="Y",$J21&lt;&gt;""),$J21+'설정 Settings'!$C$18,"")</f>
      </c>
      <c r="P21" s="41">
        <f>IF($H21="","",$H21-ROUND(IFERROR($H21*VLOOKUP($G21,'설정 Settings'!$A$122:$F$130,4,0)+VLOOKUP($G21,'설정 Settings'!$A$122:$F$130,5,0),0),2))</f>
      </c>
      <c r="Q21" s="42">
        <f>IF(AND($I21="OPEN",$B21&lt;&gt;""),IF('설정 Settings'!$C$15-$B21&gt;='설정 Settings'!$C$62,"후속 연락 필요",""),"")</f>
      </c>
    </row>
    <row r="22" spans="15:17" x14ac:dyDescent="0.25">
      <c r="O22" s="40">
        <f>IF(AND($L22="Y",$J22&lt;&gt;""),$J22+'설정 Settings'!$C$18,"")</f>
      </c>
      <c r="P22" s="41">
        <f>IF($H22="","",$H22-ROUND(IFERROR($H22*VLOOKUP($G22,'설정 Settings'!$A$122:$F$130,4,0)+VLOOKUP($G22,'설정 Settings'!$A$122:$F$130,5,0),0),2))</f>
      </c>
      <c r="Q22" s="42">
        <f>IF(AND($I22="OPEN",$B22&lt;&gt;""),IF('설정 Settings'!$C$15-$B22&gt;='설정 Settings'!$C$62,"후속 연락 필요",""),"")</f>
      </c>
    </row>
    <row r="23" spans="15:17" x14ac:dyDescent="0.25">
      <c r="O23" s="40">
        <f>IF(AND($L23="Y",$J23&lt;&gt;""),$J23+'설정 Settings'!$C$18,"")</f>
      </c>
      <c r="P23" s="41">
        <f>IF($H23="","",$H23-ROUND(IFERROR($H23*VLOOKUP($G23,'설정 Settings'!$A$122:$F$130,4,0)+VLOOKUP($G23,'설정 Settings'!$A$122:$F$130,5,0),0),2))</f>
      </c>
      <c r="Q23" s="42">
        <f>IF(AND($I23="OPEN",$B23&lt;&gt;""),IF('설정 Settings'!$C$15-$B23&gt;='설정 Settings'!$C$62,"후속 연락 필요",""),"")</f>
      </c>
    </row>
    <row r="24" spans="15:17" x14ac:dyDescent="0.25">
      <c r="O24" s="40">
        <f>IF(AND($L24="Y",$J24&lt;&gt;""),$J24+'설정 Settings'!$C$18,"")</f>
      </c>
      <c r="P24" s="41">
        <f>IF($H24="","",$H24-ROUND(IFERROR($H24*VLOOKUP($G24,'설정 Settings'!$A$122:$F$130,4,0)+VLOOKUP($G24,'설정 Settings'!$A$122:$F$130,5,0),0),2))</f>
      </c>
      <c r="Q24" s="42">
        <f>IF(AND($I24="OPEN",$B24&lt;&gt;""),IF('설정 Settings'!$C$15-$B24&gt;='설정 Settings'!$C$62,"후속 연락 필요",""),"")</f>
      </c>
    </row>
    <row r="25" spans="15:17" x14ac:dyDescent="0.25">
      <c r="O25" s="40">
        <f>IF(AND($L25="Y",$J25&lt;&gt;""),$J25+'설정 Settings'!$C$18,"")</f>
      </c>
      <c r="P25" s="41">
        <f>IF($H25="","",$H25-ROUND(IFERROR($H25*VLOOKUP($G25,'설정 Settings'!$A$122:$F$130,4,0)+VLOOKUP($G25,'설정 Settings'!$A$122:$F$130,5,0),0),2))</f>
      </c>
      <c r="Q25" s="42">
        <f>IF(AND($I25="OPEN",$B25&lt;&gt;""),IF('설정 Settings'!$C$15-$B25&gt;='설정 Settings'!$C$62,"후속 연락 필요",""),"")</f>
      </c>
    </row>
    <row r="26" spans="15:17" x14ac:dyDescent="0.25">
      <c r="O26" s="40">
        <f>IF(AND($L26="Y",$J26&lt;&gt;""),$J26+'설정 Settings'!$C$18,"")</f>
      </c>
      <c r="P26" s="41">
        <f>IF($H26="","",$H26-ROUND(IFERROR($H26*VLOOKUP($G26,'설정 Settings'!$A$122:$F$130,4,0)+VLOOKUP($G26,'설정 Settings'!$A$122:$F$130,5,0),0),2))</f>
      </c>
      <c r="Q26" s="42">
        <f>IF(AND($I26="OPEN",$B26&lt;&gt;""),IF('설정 Settings'!$C$15-$B26&gt;='설정 Settings'!$C$62,"후속 연락 필요",""),"")</f>
      </c>
    </row>
    <row r="27" spans="15:17" x14ac:dyDescent="0.25">
      <c r="O27" s="40">
        <f>IF(AND($L27="Y",$J27&lt;&gt;""),$J27+'설정 Settings'!$C$18,"")</f>
      </c>
      <c r="P27" s="41">
        <f>IF($H27="","",$H27-ROUND(IFERROR($H27*VLOOKUP($G27,'설정 Settings'!$A$122:$F$130,4,0)+VLOOKUP($G27,'설정 Settings'!$A$122:$F$130,5,0),0),2))</f>
      </c>
      <c r="Q27" s="42">
        <f>IF(AND($I27="OPEN",$B27&lt;&gt;""),IF('설정 Settings'!$C$15-$B27&gt;='설정 Settings'!$C$62,"후속 연락 필요",""),"")</f>
      </c>
    </row>
    <row r="28" spans="15:17" x14ac:dyDescent="0.25">
      <c r="O28" s="40">
        <f>IF(AND($L28="Y",$J28&lt;&gt;""),$J28+'설정 Settings'!$C$18,"")</f>
      </c>
      <c r="P28" s="41">
        <f>IF($H28="","",$H28-ROUND(IFERROR($H28*VLOOKUP($G28,'설정 Settings'!$A$122:$F$130,4,0)+VLOOKUP($G28,'설정 Settings'!$A$122:$F$130,5,0),0),2))</f>
      </c>
      <c r="Q28" s="42">
        <f>IF(AND($I28="OPEN",$B28&lt;&gt;""),IF('설정 Settings'!$C$15-$B28&gt;='설정 Settings'!$C$62,"후속 연락 필요",""),"")</f>
      </c>
    </row>
    <row r="29" spans="15:17" x14ac:dyDescent="0.25">
      <c r="O29" s="40">
        <f>IF(AND($L29="Y",$J29&lt;&gt;""),$J29+'설정 Settings'!$C$18,"")</f>
      </c>
      <c r="P29" s="41">
        <f>IF($H29="","",$H29-ROUND(IFERROR($H29*VLOOKUP($G29,'설정 Settings'!$A$122:$F$130,4,0)+VLOOKUP($G29,'설정 Settings'!$A$122:$F$130,5,0),0),2))</f>
      </c>
      <c r="Q29" s="42">
        <f>IF(AND($I29="OPEN",$B29&lt;&gt;""),IF('설정 Settings'!$C$15-$B29&gt;='설정 Settings'!$C$62,"후속 연락 필요",""),"")</f>
      </c>
    </row>
    <row r="30" spans="15:17" x14ac:dyDescent="0.25">
      <c r="O30" s="40">
        <f>IF(AND($L30="Y",$J30&lt;&gt;""),$J30+'설정 Settings'!$C$18,"")</f>
      </c>
      <c r="P30" s="41">
        <f>IF($H30="","",$H30-ROUND(IFERROR($H30*VLOOKUP($G30,'설정 Settings'!$A$122:$F$130,4,0)+VLOOKUP($G30,'설정 Settings'!$A$122:$F$130,5,0),0),2))</f>
      </c>
      <c r="Q30" s="42">
        <f>IF(AND($I30="OPEN",$B30&lt;&gt;""),IF('설정 Settings'!$C$15-$B30&gt;='설정 Settings'!$C$62,"후속 연락 필요",""),"")</f>
      </c>
    </row>
    <row r="31" spans="15:17" x14ac:dyDescent="0.25">
      <c r="O31" s="40">
        <f>IF(AND($L31="Y",$J31&lt;&gt;""),$J31+'설정 Settings'!$C$18,"")</f>
      </c>
      <c r="P31" s="41">
        <f>IF($H31="","",$H31-ROUND(IFERROR($H31*VLOOKUP($G31,'설정 Settings'!$A$122:$F$130,4,0)+VLOOKUP($G31,'설정 Settings'!$A$122:$F$130,5,0),0),2))</f>
      </c>
      <c r="Q31" s="42">
        <f>IF(AND($I31="OPEN",$B31&lt;&gt;""),IF('설정 Settings'!$C$15-$B31&gt;='설정 Settings'!$C$62,"후속 연락 필요",""),"")</f>
      </c>
    </row>
    <row r="32" spans="15:17" x14ac:dyDescent="0.25">
      <c r="O32" s="40">
        <f>IF(AND($L32="Y",$J32&lt;&gt;""),$J32+'설정 Settings'!$C$18,"")</f>
      </c>
      <c r="P32" s="41">
        <f>IF($H32="","",$H32-ROUND(IFERROR($H32*VLOOKUP($G32,'설정 Settings'!$A$122:$F$130,4,0)+VLOOKUP($G32,'설정 Settings'!$A$122:$F$130,5,0),0),2))</f>
      </c>
      <c r="Q32" s="42">
        <f>IF(AND($I32="OPEN",$B32&lt;&gt;""),IF('설정 Settings'!$C$15-$B32&gt;='설정 Settings'!$C$62,"후속 연락 필요",""),"")</f>
      </c>
    </row>
    <row r="33" spans="15:17" x14ac:dyDescent="0.25">
      <c r="O33" s="40">
        <f>IF(AND($L33="Y",$J33&lt;&gt;""),$J33+'설정 Settings'!$C$18,"")</f>
      </c>
      <c r="P33" s="41">
        <f>IF($H33="","",$H33-ROUND(IFERROR($H33*VLOOKUP($G33,'설정 Settings'!$A$122:$F$130,4,0)+VLOOKUP($G33,'설정 Settings'!$A$122:$F$130,5,0),0),2))</f>
      </c>
      <c r="Q33" s="42">
        <f>IF(AND($I33="OPEN",$B33&lt;&gt;""),IF('설정 Settings'!$C$15-$B33&gt;='설정 Settings'!$C$62,"후속 연락 필요",""),"")</f>
      </c>
    </row>
    <row r="34" spans="15:17" x14ac:dyDescent="0.25">
      <c r="O34" s="40">
        <f>IF(AND($L34="Y",$J34&lt;&gt;""),$J34+'설정 Settings'!$C$18,"")</f>
      </c>
      <c r="P34" s="41">
        <f>IF($H34="","",$H34-ROUND(IFERROR($H34*VLOOKUP($G34,'설정 Settings'!$A$122:$F$130,4,0)+VLOOKUP($G34,'설정 Settings'!$A$122:$F$130,5,0),0),2))</f>
      </c>
      <c r="Q34" s="42">
        <f>IF(AND($I34="OPEN",$B34&lt;&gt;""),IF('설정 Settings'!$C$15-$B34&gt;='설정 Settings'!$C$62,"후속 연락 필요",""),"")</f>
      </c>
    </row>
    <row r="35" spans="15:17" x14ac:dyDescent="0.25">
      <c r="O35" s="40">
        <f>IF(AND($L35="Y",$J35&lt;&gt;""),$J35+'설정 Settings'!$C$18,"")</f>
      </c>
      <c r="P35" s="41">
        <f>IF($H35="","",$H35-ROUND(IFERROR($H35*VLOOKUP($G35,'설정 Settings'!$A$122:$F$130,4,0)+VLOOKUP($G35,'설정 Settings'!$A$122:$F$130,5,0),0),2))</f>
      </c>
      <c r="Q35" s="42">
        <f>IF(AND($I35="OPEN",$B35&lt;&gt;""),IF('설정 Settings'!$C$15-$B35&gt;='설정 Settings'!$C$62,"후속 연락 필요",""),"")</f>
      </c>
    </row>
    <row r="36" spans="15:17" x14ac:dyDescent="0.25">
      <c r="O36" s="40">
        <f>IF(AND($L36="Y",$J36&lt;&gt;""),$J36+'설정 Settings'!$C$18,"")</f>
      </c>
      <c r="P36" s="41">
        <f>IF($H36="","",$H36-ROUND(IFERROR($H36*VLOOKUP($G36,'설정 Settings'!$A$122:$F$130,4,0)+VLOOKUP($G36,'설정 Settings'!$A$122:$F$130,5,0),0),2))</f>
      </c>
      <c r="Q36" s="42">
        <f>IF(AND($I36="OPEN",$B36&lt;&gt;""),IF('설정 Settings'!$C$15-$B36&gt;='설정 Settings'!$C$62,"후속 연락 필요",""),"")</f>
      </c>
    </row>
    <row r="37" spans="15:17" x14ac:dyDescent="0.25">
      <c r="O37" s="40">
        <f>IF(AND($L37="Y",$J37&lt;&gt;""),$J37+'설정 Settings'!$C$18,"")</f>
      </c>
      <c r="P37" s="41">
        <f>IF($H37="","",$H37-ROUND(IFERROR($H37*VLOOKUP($G37,'설정 Settings'!$A$122:$F$130,4,0)+VLOOKUP($G37,'설정 Settings'!$A$122:$F$130,5,0),0),2))</f>
      </c>
      <c r="Q37" s="42">
        <f>IF(AND($I37="OPEN",$B37&lt;&gt;""),IF('설정 Settings'!$C$15-$B37&gt;='설정 Settings'!$C$62,"후속 연락 필요",""),"")</f>
      </c>
    </row>
    <row r="38" spans="15:17" x14ac:dyDescent="0.25">
      <c r="O38" s="40">
        <f>IF(AND($L38="Y",$J38&lt;&gt;""),$J38+'설정 Settings'!$C$18,"")</f>
      </c>
      <c r="P38" s="41">
        <f>IF($H38="","",$H38-ROUND(IFERROR($H38*VLOOKUP($G38,'설정 Settings'!$A$122:$F$130,4,0)+VLOOKUP($G38,'설정 Settings'!$A$122:$F$130,5,0),0),2))</f>
      </c>
      <c r="Q38" s="42">
        <f>IF(AND($I38="OPEN",$B38&lt;&gt;""),IF('설정 Settings'!$C$15-$B38&gt;='설정 Settings'!$C$62,"후속 연락 필요",""),"")</f>
      </c>
    </row>
    <row r="39" spans="15:17" x14ac:dyDescent="0.25">
      <c r="O39" s="40">
        <f>IF(AND($L39="Y",$J39&lt;&gt;""),$J39+'설정 Settings'!$C$18,"")</f>
      </c>
      <c r="P39" s="41">
        <f>IF($H39="","",$H39-ROUND(IFERROR($H39*VLOOKUP($G39,'설정 Settings'!$A$122:$F$130,4,0)+VLOOKUP($G39,'설정 Settings'!$A$122:$F$130,5,0),0),2))</f>
      </c>
      <c r="Q39" s="42">
        <f>IF(AND($I39="OPEN",$B39&lt;&gt;""),IF('설정 Settings'!$C$15-$B39&gt;='설정 Settings'!$C$62,"후속 연락 필요",""),"")</f>
      </c>
    </row>
    <row r="40" spans="15:17" x14ac:dyDescent="0.25">
      <c r="O40" s="40">
        <f>IF(AND($L40="Y",$J40&lt;&gt;""),$J40+'설정 Settings'!$C$18,"")</f>
      </c>
      <c r="P40" s="41">
        <f>IF($H40="","",$H40-ROUND(IFERROR($H40*VLOOKUP($G40,'설정 Settings'!$A$122:$F$130,4,0)+VLOOKUP($G40,'설정 Settings'!$A$122:$F$130,5,0),0),2))</f>
      </c>
      <c r="Q40" s="42">
        <f>IF(AND($I40="OPEN",$B40&lt;&gt;""),IF('설정 Settings'!$C$15-$B40&gt;='설정 Settings'!$C$62,"후속 연락 필요",""),"")</f>
      </c>
    </row>
    <row r="41" spans="15:17" x14ac:dyDescent="0.25">
      <c r="O41" s="40">
        <f>IF(AND($L41="Y",$J41&lt;&gt;""),$J41+'설정 Settings'!$C$18,"")</f>
      </c>
      <c r="P41" s="41">
        <f>IF($H41="","",$H41-ROUND(IFERROR($H41*VLOOKUP($G41,'설정 Settings'!$A$122:$F$130,4,0)+VLOOKUP($G41,'설정 Settings'!$A$122:$F$130,5,0),0),2))</f>
      </c>
      <c r="Q41" s="42">
        <f>IF(AND($I41="OPEN",$B41&lt;&gt;""),IF('설정 Settings'!$C$15-$B41&gt;='설정 Settings'!$C$62,"후속 연락 필요",""),"")</f>
      </c>
    </row>
    <row r="42" spans="15:17" x14ac:dyDescent="0.25">
      <c r="O42" s="40">
        <f>IF(AND($L42="Y",$J42&lt;&gt;""),$J42+'설정 Settings'!$C$18,"")</f>
      </c>
      <c r="P42" s="41">
        <f>IF($H42="","",$H42-ROUND(IFERROR($H42*VLOOKUP($G42,'설정 Settings'!$A$122:$F$130,4,0)+VLOOKUP($G42,'설정 Settings'!$A$122:$F$130,5,0),0),2))</f>
      </c>
      <c r="Q42" s="42">
        <f>IF(AND($I42="OPEN",$B42&lt;&gt;""),IF('설정 Settings'!$C$15-$B42&gt;='설정 Settings'!$C$62,"후속 연락 필요",""),"")</f>
      </c>
    </row>
    <row r="43" spans="15:17" x14ac:dyDescent="0.25">
      <c r="O43" s="40">
        <f>IF(AND($L43="Y",$J43&lt;&gt;""),$J43+'설정 Settings'!$C$18,"")</f>
      </c>
      <c r="P43" s="41">
        <f>IF($H43="","",$H43-ROUND(IFERROR($H43*VLOOKUP($G43,'설정 Settings'!$A$122:$F$130,4,0)+VLOOKUP($G43,'설정 Settings'!$A$122:$F$130,5,0),0),2))</f>
      </c>
      <c r="Q43" s="42">
        <f>IF(AND($I43="OPEN",$B43&lt;&gt;""),IF('설정 Settings'!$C$15-$B43&gt;='설정 Settings'!$C$62,"후속 연락 필요",""),"")</f>
      </c>
    </row>
    <row r="44" spans="15:17" x14ac:dyDescent="0.25">
      <c r="O44" s="40">
        <f>IF(AND($L44="Y",$J44&lt;&gt;""),$J44+'설정 Settings'!$C$18,"")</f>
      </c>
      <c r="P44" s="41">
        <f>IF($H44="","",$H44-ROUND(IFERROR($H44*VLOOKUP($G44,'설정 Settings'!$A$122:$F$130,4,0)+VLOOKUP($G44,'설정 Settings'!$A$122:$F$130,5,0),0),2))</f>
      </c>
      <c r="Q44" s="42">
        <f>IF(AND($I44="OPEN",$B44&lt;&gt;""),IF('설정 Settings'!$C$15-$B44&gt;='설정 Settings'!$C$62,"후속 연락 필요",""),"")</f>
      </c>
    </row>
    <row r="45" spans="15:17" x14ac:dyDescent="0.25">
      <c r="O45" s="40">
        <f>IF(AND($L45="Y",$J45&lt;&gt;""),$J45+'설정 Settings'!$C$18,"")</f>
      </c>
      <c r="P45" s="41">
        <f>IF($H45="","",$H45-ROUND(IFERROR($H45*VLOOKUP($G45,'설정 Settings'!$A$122:$F$130,4,0)+VLOOKUP($G45,'설정 Settings'!$A$122:$F$130,5,0),0),2))</f>
      </c>
      <c r="Q45" s="42">
        <f>IF(AND($I45="OPEN",$B45&lt;&gt;""),IF('설정 Settings'!$C$15-$B45&gt;='설정 Settings'!$C$62,"후속 연락 필요",""),"")</f>
      </c>
    </row>
    <row r="46" spans="15:17" x14ac:dyDescent="0.25">
      <c r="O46" s="40">
        <f>IF(AND($L46="Y",$J46&lt;&gt;""),$J46+'설정 Settings'!$C$18,"")</f>
      </c>
      <c r="P46" s="41">
        <f>IF($H46="","",$H46-ROUND(IFERROR($H46*VLOOKUP($G46,'설정 Settings'!$A$122:$F$130,4,0)+VLOOKUP($G46,'설정 Settings'!$A$122:$F$130,5,0),0),2))</f>
      </c>
      <c r="Q46" s="42">
        <f>IF(AND($I46="OPEN",$B46&lt;&gt;""),IF('설정 Settings'!$C$15-$B46&gt;='설정 Settings'!$C$62,"후속 연락 필요",""),"")</f>
      </c>
    </row>
    <row r="47" spans="15:17" x14ac:dyDescent="0.25">
      <c r="O47" s="40">
        <f>IF(AND($L47="Y",$J47&lt;&gt;""),$J47+'설정 Settings'!$C$18,"")</f>
      </c>
      <c r="P47" s="41">
        <f>IF($H47="","",$H47-ROUND(IFERROR($H47*VLOOKUP($G47,'설정 Settings'!$A$122:$F$130,4,0)+VLOOKUP($G47,'설정 Settings'!$A$122:$F$130,5,0),0),2))</f>
      </c>
      <c r="Q47" s="42">
        <f>IF(AND($I47="OPEN",$B47&lt;&gt;""),IF('설정 Settings'!$C$15-$B47&gt;='설정 Settings'!$C$62,"후속 연락 필요",""),"")</f>
      </c>
    </row>
    <row r="48" spans="15:17" x14ac:dyDescent="0.25">
      <c r="O48" s="40">
        <f>IF(AND($L48="Y",$J48&lt;&gt;""),$J48+'설정 Settings'!$C$18,"")</f>
      </c>
      <c r="P48" s="41">
        <f>IF($H48="","",$H48-ROUND(IFERROR($H48*VLOOKUP($G48,'설정 Settings'!$A$122:$F$130,4,0)+VLOOKUP($G48,'설정 Settings'!$A$122:$F$130,5,0),0),2))</f>
      </c>
      <c r="Q48" s="42">
        <f>IF(AND($I48="OPEN",$B48&lt;&gt;""),IF('설정 Settings'!$C$15-$B48&gt;='설정 Settings'!$C$62,"후속 연락 필요",""),"")</f>
      </c>
    </row>
    <row r="49" spans="15:17" x14ac:dyDescent="0.25">
      <c r="O49" s="40">
        <f>IF(AND($L49="Y",$J49&lt;&gt;""),$J49+'설정 Settings'!$C$18,"")</f>
      </c>
      <c r="P49" s="41">
        <f>IF($H49="","",$H49-ROUND(IFERROR($H49*VLOOKUP($G49,'설정 Settings'!$A$122:$F$130,4,0)+VLOOKUP($G49,'설정 Settings'!$A$122:$F$130,5,0),0),2))</f>
      </c>
      <c r="Q49" s="42">
        <f>IF(AND($I49="OPEN",$B49&lt;&gt;""),IF('설정 Settings'!$C$15-$B49&gt;='설정 Settings'!$C$62,"후속 연락 필요",""),"")</f>
      </c>
    </row>
    <row r="50" spans="15:17" x14ac:dyDescent="0.25">
      <c r="O50" s="40">
        <f>IF(AND($L50="Y",$J50&lt;&gt;""),$J50+'설정 Settings'!$C$18,"")</f>
      </c>
      <c r="P50" s="41">
        <f>IF($H50="","",$H50-ROUND(IFERROR($H50*VLOOKUP($G50,'설정 Settings'!$A$122:$F$130,4,0)+VLOOKUP($G50,'설정 Settings'!$A$122:$F$130,5,0),0),2))</f>
      </c>
      <c r="Q50" s="42">
        <f>IF(AND($I50="OPEN",$B50&lt;&gt;""),IF('설정 Settings'!$C$15-$B50&gt;='설정 Settings'!$C$62,"후속 연락 필요",""),"")</f>
      </c>
    </row>
    <row r="51" spans="15:17" x14ac:dyDescent="0.25">
      <c r="O51" s="40">
        <f>IF(AND($L51="Y",$J51&lt;&gt;""),$J51+'설정 Settings'!$C$18,"")</f>
      </c>
      <c r="P51" s="41">
        <f>IF($H51="","",$H51-ROUND(IFERROR($H51*VLOOKUP($G51,'설정 Settings'!$A$122:$F$130,4,0)+VLOOKUP($G51,'설정 Settings'!$A$122:$F$130,5,0),0),2))</f>
      </c>
      <c r="Q51" s="42">
        <f>IF(AND($I51="OPEN",$B51&lt;&gt;""),IF('설정 Settings'!$C$15-$B51&gt;='설정 Settings'!$C$62,"후속 연락 필요",""),"")</f>
      </c>
    </row>
    <row r="52" spans="15:17" x14ac:dyDescent="0.25">
      <c r="O52" s="40">
        <f>IF(AND($L52="Y",$J52&lt;&gt;""),$J52+'설정 Settings'!$C$18,"")</f>
      </c>
      <c r="P52" s="41">
        <f>IF($H52="","",$H52-ROUND(IFERROR($H52*VLOOKUP($G52,'설정 Settings'!$A$122:$F$130,4,0)+VLOOKUP($G52,'설정 Settings'!$A$122:$F$130,5,0),0),2))</f>
      </c>
      <c r="Q52" s="42">
        <f>IF(AND($I52="OPEN",$B52&lt;&gt;""),IF('설정 Settings'!$C$15-$B52&gt;='설정 Settings'!$C$62,"후속 연락 필요",""),"")</f>
      </c>
    </row>
    <row r="53" spans="15:17" x14ac:dyDescent="0.25">
      <c r="O53" s="40">
        <f>IF(AND($L53="Y",$J53&lt;&gt;""),$J53+'설정 Settings'!$C$18,"")</f>
      </c>
      <c r="P53" s="41">
        <f>IF($H53="","",$H53-ROUND(IFERROR($H53*VLOOKUP($G53,'설정 Settings'!$A$122:$F$130,4,0)+VLOOKUP($G53,'설정 Settings'!$A$122:$F$130,5,0),0),2))</f>
      </c>
      <c r="Q53" s="42">
        <f>IF(AND($I53="OPEN",$B53&lt;&gt;""),IF('설정 Settings'!$C$15-$B53&gt;='설정 Settings'!$C$62,"후속 연락 필요",""),"")</f>
      </c>
    </row>
    <row r="54" spans="15:17" x14ac:dyDescent="0.25">
      <c r="O54" s="40">
        <f>IF(AND($L54="Y",$J54&lt;&gt;""),$J54+'설정 Settings'!$C$18,"")</f>
      </c>
      <c r="P54" s="41">
        <f>IF($H54="","",$H54-ROUND(IFERROR($H54*VLOOKUP($G54,'설정 Settings'!$A$122:$F$130,4,0)+VLOOKUP($G54,'설정 Settings'!$A$122:$F$130,5,0),0),2))</f>
      </c>
      <c r="Q54" s="42">
        <f>IF(AND($I54="OPEN",$B54&lt;&gt;""),IF('설정 Settings'!$C$15-$B54&gt;='설정 Settings'!$C$62,"후속 연락 필요",""),"")</f>
      </c>
    </row>
    <row r="55" spans="15:17" x14ac:dyDescent="0.25">
      <c r="O55" s="40">
        <f>IF(AND($L55="Y",$J55&lt;&gt;""),$J55+'설정 Settings'!$C$18,"")</f>
      </c>
      <c r="P55" s="41">
        <f>IF($H55="","",$H55-ROUND(IFERROR($H55*VLOOKUP($G55,'설정 Settings'!$A$122:$F$130,4,0)+VLOOKUP($G55,'설정 Settings'!$A$122:$F$130,5,0),0),2))</f>
      </c>
      <c r="Q55" s="42">
        <f>IF(AND($I55="OPEN",$B55&lt;&gt;""),IF('설정 Settings'!$C$15-$B55&gt;='설정 Settings'!$C$62,"후속 연락 필요",""),"")</f>
      </c>
    </row>
    <row r="56" spans="15:17" x14ac:dyDescent="0.25">
      <c r="O56" s="40">
        <f>IF(AND($L56="Y",$J56&lt;&gt;""),$J56+'설정 Settings'!$C$18,"")</f>
      </c>
      <c r="P56" s="41">
        <f>IF($H56="","",$H56-ROUND(IFERROR($H56*VLOOKUP($G56,'설정 Settings'!$A$122:$F$130,4,0)+VLOOKUP($G56,'설정 Settings'!$A$122:$F$130,5,0),0),2))</f>
      </c>
      <c r="Q56" s="42">
        <f>IF(AND($I56="OPEN",$B56&lt;&gt;""),IF('설정 Settings'!$C$15-$B56&gt;='설정 Settings'!$C$62,"후속 연락 필요",""),"")</f>
      </c>
    </row>
    <row r="57" spans="15:17" x14ac:dyDescent="0.25">
      <c r="O57" s="40">
        <f>IF(AND($L57="Y",$J57&lt;&gt;""),$J57+'설정 Settings'!$C$18,"")</f>
      </c>
      <c r="P57" s="41">
        <f>IF($H57="","",$H57-ROUND(IFERROR($H57*VLOOKUP($G57,'설정 Settings'!$A$122:$F$130,4,0)+VLOOKUP($G57,'설정 Settings'!$A$122:$F$130,5,0),0),2))</f>
      </c>
      <c r="Q57" s="42">
        <f>IF(AND($I57="OPEN",$B57&lt;&gt;""),IF('설정 Settings'!$C$15-$B57&gt;='설정 Settings'!$C$62,"후속 연락 필요",""),"")</f>
      </c>
    </row>
    <row r="58" spans="15:17" x14ac:dyDescent="0.25">
      <c r="O58" s="40">
        <f>IF(AND($L58="Y",$J58&lt;&gt;""),$J58+'설정 Settings'!$C$18,"")</f>
      </c>
      <c r="P58" s="41">
        <f>IF($H58="","",$H58-ROUND(IFERROR($H58*VLOOKUP($G58,'설정 Settings'!$A$122:$F$130,4,0)+VLOOKUP($G58,'설정 Settings'!$A$122:$F$130,5,0),0),2))</f>
      </c>
      <c r="Q58" s="42">
        <f>IF(AND($I58="OPEN",$B58&lt;&gt;""),IF('설정 Settings'!$C$15-$B58&gt;='설정 Settings'!$C$62,"후속 연락 필요",""),"")</f>
      </c>
    </row>
    <row r="59" spans="15:17" x14ac:dyDescent="0.25">
      <c r="O59" s="40">
        <f>IF(AND($L59="Y",$J59&lt;&gt;""),$J59+'설정 Settings'!$C$18,"")</f>
      </c>
      <c r="P59" s="41">
        <f>IF($H59="","",$H59-ROUND(IFERROR($H59*VLOOKUP($G59,'설정 Settings'!$A$122:$F$130,4,0)+VLOOKUP($G59,'설정 Settings'!$A$122:$F$130,5,0),0),2))</f>
      </c>
      <c r="Q59" s="42">
        <f>IF(AND($I59="OPEN",$B59&lt;&gt;""),IF('설정 Settings'!$C$15-$B59&gt;='설정 Settings'!$C$62,"후속 연락 필요",""),"")</f>
      </c>
    </row>
    <row r="60" spans="15:17" x14ac:dyDescent="0.25">
      <c r="O60" s="40">
        <f>IF(AND($L60="Y",$J60&lt;&gt;""),$J60+'설정 Settings'!$C$18,"")</f>
      </c>
      <c r="P60" s="41">
        <f>IF($H60="","",$H60-ROUND(IFERROR($H60*VLOOKUP($G60,'설정 Settings'!$A$122:$F$130,4,0)+VLOOKUP($G60,'설정 Settings'!$A$122:$F$130,5,0),0),2))</f>
      </c>
      <c r="Q60" s="42">
        <f>IF(AND($I60="OPEN",$B60&lt;&gt;""),IF('설정 Settings'!$C$15-$B60&gt;='설정 Settings'!$C$62,"후속 연락 필요",""),"")</f>
      </c>
    </row>
    <row r="61" spans="15:17" x14ac:dyDescent="0.25">
      <c r="O61" s="40">
        <f>IF(AND($L61="Y",$J61&lt;&gt;""),$J61+'설정 Settings'!$C$18,"")</f>
      </c>
      <c r="P61" s="41">
        <f>IF($H61="","",$H61-ROUND(IFERROR($H61*VLOOKUP($G61,'설정 Settings'!$A$122:$F$130,4,0)+VLOOKUP($G61,'설정 Settings'!$A$122:$F$130,5,0),0),2))</f>
      </c>
      <c r="Q61" s="42">
        <f>IF(AND($I61="OPEN",$B61&lt;&gt;""),IF('설정 Settings'!$C$15-$B61&gt;='설정 Settings'!$C$62,"후속 연락 필요",""),"")</f>
      </c>
    </row>
    <row r="62" spans="15:17" x14ac:dyDescent="0.25">
      <c r="O62" s="40">
        <f>IF(AND($L62="Y",$J62&lt;&gt;""),$J62+'설정 Settings'!$C$18,"")</f>
      </c>
      <c r="P62" s="41">
        <f>IF($H62="","",$H62-ROUND(IFERROR($H62*VLOOKUP($G62,'설정 Settings'!$A$122:$F$130,4,0)+VLOOKUP($G62,'설정 Settings'!$A$122:$F$130,5,0),0),2))</f>
      </c>
      <c r="Q62" s="42">
        <f>IF(AND($I62="OPEN",$B62&lt;&gt;""),IF('설정 Settings'!$C$15-$B62&gt;='설정 Settings'!$C$62,"후속 연락 필요",""),"")</f>
      </c>
    </row>
    <row r="63" spans="15:17" x14ac:dyDescent="0.25">
      <c r="O63" s="40">
        <f>IF(AND($L63="Y",$J63&lt;&gt;""),$J63+'설정 Settings'!$C$18,"")</f>
      </c>
      <c r="P63" s="41">
        <f>IF($H63="","",$H63-ROUND(IFERROR($H63*VLOOKUP($G63,'설정 Settings'!$A$122:$F$130,4,0)+VLOOKUP($G63,'설정 Settings'!$A$122:$F$130,5,0),0),2))</f>
      </c>
      <c r="Q63" s="42">
        <f>IF(AND($I63="OPEN",$B63&lt;&gt;""),IF('설정 Settings'!$C$15-$B63&gt;='설정 Settings'!$C$62,"후속 연락 필요",""),"")</f>
      </c>
    </row>
    <row r="64" spans="15:17" x14ac:dyDescent="0.25">
      <c r="O64" s="40">
        <f>IF(AND($L64="Y",$J64&lt;&gt;""),$J64+'설정 Settings'!$C$18,"")</f>
      </c>
      <c r="P64" s="41">
        <f>IF($H64="","",$H64-ROUND(IFERROR($H64*VLOOKUP($G64,'설정 Settings'!$A$122:$F$130,4,0)+VLOOKUP($G64,'설정 Settings'!$A$122:$F$130,5,0),0),2))</f>
      </c>
      <c r="Q64" s="42">
        <f>IF(AND($I64="OPEN",$B64&lt;&gt;""),IF('설정 Settings'!$C$15-$B64&gt;='설정 Settings'!$C$62,"후속 연락 필요",""),"")</f>
      </c>
    </row>
    <row r="65" spans="15:17" x14ac:dyDescent="0.25">
      <c r="O65" s="40">
        <f>IF(AND($L65="Y",$J65&lt;&gt;""),$J65+'설정 Settings'!$C$18,"")</f>
      </c>
      <c r="P65" s="41">
        <f>IF($H65="","",$H65-ROUND(IFERROR($H65*VLOOKUP($G65,'설정 Settings'!$A$122:$F$130,4,0)+VLOOKUP($G65,'설정 Settings'!$A$122:$F$130,5,0),0),2))</f>
      </c>
      <c r="Q65" s="42">
        <f>IF(AND($I65="OPEN",$B65&lt;&gt;""),IF('설정 Settings'!$C$15-$B65&gt;='설정 Settings'!$C$62,"후속 연락 필요",""),"")</f>
      </c>
    </row>
    <row r="66" spans="15:17" x14ac:dyDescent="0.25">
      <c r="O66" s="40">
        <f>IF(AND($L66="Y",$J66&lt;&gt;""),$J66+'설정 Settings'!$C$18,"")</f>
      </c>
      <c r="P66" s="41">
        <f>IF($H66="","",$H66-ROUND(IFERROR($H66*VLOOKUP($G66,'설정 Settings'!$A$122:$F$130,4,0)+VLOOKUP($G66,'설정 Settings'!$A$122:$F$130,5,0),0),2))</f>
      </c>
      <c r="Q66" s="42">
        <f>IF(AND($I66="OPEN",$B66&lt;&gt;""),IF('설정 Settings'!$C$15-$B66&gt;='설정 Settings'!$C$62,"후속 연락 필요",""),"")</f>
      </c>
    </row>
    <row r="67" spans="15:17" x14ac:dyDescent="0.25">
      <c r="O67" s="40">
        <f>IF(AND($L67="Y",$J67&lt;&gt;""),$J67+'설정 Settings'!$C$18,"")</f>
      </c>
      <c r="P67" s="41">
        <f>IF($H67="","",$H67-ROUND(IFERROR($H67*VLOOKUP($G67,'설정 Settings'!$A$122:$F$130,4,0)+VLOOKUP($G67,'설정 Settings'!$A$122:$F$130,5,0),0),2))</f>
      </c>
      <c r="Q67" s="42">
        <f>IF(AND($I67="OPEN",$B67&lt;&gt;""),IF('설정 Settings'!$C$15-$B67&gt;='설정 Settings'!$C$62,"후속 연락 필요",""),"")</f>
      </c>
    </row>
    <row r="68" spans="15:17" x14ac:dyDescent="0.25">
      <c r="O68" s="40">
        <f>IF(AND($L68="Y",$J68&lt;&gt;""),$J68+'설정 Settings'!$C$18,"")</f>
      </c>
      <c r="P68" s="41">
        <f>IF($H68="","",$H68-ROUND(IFERROR($H68*VLOOKUP($G68,'설정 Settings'!$A$122:$F$130,4,0)+VLOOKUP($G68,'설정 Settings'!$A$122:$F$130,5,0),0),2))</f>
      </c>
      <c r="Q68" s="42">
        <f>IF(AND($I68="OPEN",$B68&lt;&gt;""),IF('설정 Settings'!$C$15-$B68&gt;='설정 Settings'!$C$62,"후속 연락 필요",""),"")</f>
      </c>
    </row>
    <row r="69" spans="15:17" x14ac:dyDescent="0.25">
      <c r="O69" s="40">
        <f>IF(AND($L69="Y",$J69&lt;&gt;""),$J69+'설정 Settings'!$C$18,"")</f>
      </c>
      <c r="P69" s="41">
        <f>IF($H69="","",$H69-ROUND(IFERROR($H69*VLOOKUP($G69,'설정 Settings'!$A$122:$F$130,4,0)+VLOOKUP($G69,'설정 Settings'!$A$122:$F$130,5,0),0),2))</f>
      </c>
      <c r="Q69" s="42">
        <f>IF(AND($I69="OPEN",$B69&lt;&gt;""),IF('설정 Settings'!$C$15-$B69&gt;='설정 Settings'!$C$62,"후속 연락 필요",""),"")</f>
      </c>
    </row>
    <row r="70" spans="15:17" x14ac:dyDescent="0.25">
      <c r="O70" s="40">
        <f>IF(AND($L70="Y",$J70&lt;&gt;""),$J70+'설정 Settings'!$C$18,"")</f>
      </c>
      <c r="P70" s="41">
        <f>IF($H70="","",$H70-ROUND(IFERROR($H70*VLOOKUP($G70,'설정 Settings'!$A$122:$F$130,4,0)+VLOOKUP($G70,'설정 Settings'!$A$122:$F$130,5,0),0),2))</f>
      </c>
      <c r="Q70" s="42">
        <f>IF(AND($I70="OPEN",$B70&lt;&gt;""),IF('설정 Settings'!$C$15-$B70&gt;='설정 Settings'!$C$62,"후속 연락 필요",""),"")</f>
      </c>
    </row>
    <row r="71" spans="15:17" x14ac:dyDescent="0.25">
      <c r="O71" s="40">
        <f>IF(AND($L71="Y",$J71&lt;&gt;""),$J71+'설정 Settings'!$C$18,"")</f>
      </c>
      <c r="P71" s="41">
        <f>IF($H71="","",$H71-ROUND(IFERROR($H71*VLOOKUP($G71,'설정 Settings'!$A$122:$F$130,4,0)+VLOOKUP($G71,'설정 Settings'!$A$122:$F$130,5,0),0),2))</f>
      </c>
      <c r="Q71" s="42">
        <f>IF(AND($I71="OPEN",$B71&lt;&gt;""),IF('설정 Settings'!$C$15-$B71&gt;='설정 Settings'!$C$62,"후속 연락 필요",""),"")</f>
      </c>
    </row>
    <row r="72" spans="15:17" x14ac:dyDescent="0.25">
      <c r="O72" s="40">
        <f>IF(AND($L72="Y",$J72&lt;&gt;""),$J72+'설정 Settings'!$C$18,"")</f>
      </c>
      <c r="P72" s="41">
        <f>IF($H72="","",$H72-ROUND(IFERROR($H72*VLOOKUP($G72,'설정 Settings'!$A$122:$F$130,4,0)+VLOOKUP($G72,'설정 Settings'!$A$122:$F$130,5,0),0),2))</f>
      </c>
      <c r="Q72" s="42">
        <f>IF(AND($I72="OPEN",$B72&lt;&gt;""),IF('설정 Settings'!$C$15-$B72&gt;='설정 Settings'!$C$62,"후속 연락 필요",""),"")</f>
      </c>
    </row>
    <row r="73" spans="15:17" x14ac:dyDescent="0.25">
      <c r="O73" s="40">
        <f>IF(AND($L73="Y",$J73&lt;&gt;""),$J73+'설정 Settings'!$C$18,"")</f>
      </c>
      <c r="P73" s="41">
        <f>IF($H73="","",$H73-ROUND(IFERROR($H73*VLOOKUP($G73,'설정 Settings'!$A$122:$F$130,4,0)+VLOOKUP($G73,'설정 Settings'!$A$122:$F$130,5,0),0),2))</f>
      </c>
      <c r="Q73" s="42">
        <f>IF(AND($I73="OPEN",$B73&lt;&gt;""),IF('설정 Settings'!$C$15-$B73&gt;='설정 Settings'!$C$62,"후속 연락 필요",""),"")</f>
      </c>
    </row>
    <row r="74" spans="15:17" x14ac:dyDescent="0.25">
      <c r="O74" s="40">
        <f>IF(AND($L74="Y",$J74&lt;&gt;""),$J74+'설정 Settings'!$C$18,"")</f>
      </c>
      <c r="P74" s="41">
        <f>IF($H74="","",$H74-ROUND(IFERROR($H74*VLOOKUP($G74,'설정 Settings'!$A$122:$F$130,4,0)+VLOOKUP($G74,'설정 Settings'!$A$122:$F$130,5,0),0),2))</f>
      </c>
      <c r="Q74" s="42">
        <f>IF(AND($I74="OPEN",$B74&lt;&gt;""),IF('설정 Settings'!$C$15-$B74&gt;='설정 Settings'!$C$62,"후속 연락 필요",""),"")</f>
      </c>
    </row>
    <row r="75" spans="15:17" x14ac:dyDescent="0.25">
      <c r="O75" s="40">
        <f>IF(AND($L75="Y",$J75&lt;&gt;""),$J75+'설정 Settings'!$C$18,"")</f>
      </c>
      <c r="P75" s="41">
        <f>IF($H75="","",$H75-ROUND(IFERROR($H75*VLOOKUP($G75,'설정 Settings'!$A$122:$F$130,4,0)+VLOOKUP($G75,'설정 Settings'!$A$122:$F$130,5,0),0),2))</f>
      </c>
      <c r="Q75" s="42">
        <f>IF(AND($I75="OPEN",$B75&lt;&gt;""),IF('설정 Settings'!$C$15-$B75&gt;='설정 Settings'!$C$62,"후속 연락 필요",""),"")</f>
      </c>
    </row>
    <row r="76" spans="15:17" x14ac:dyDescent="0.25">
      <c r="O76" s="40">
        <f>IF(AND($L76="Y",$J76&lt;&gt;""),$J76+'설정 Settings'!$C$18,"")</f>
      </c>
      <c r="P76" s="41">
        <f>IF($H76="","",$H76-ROUND(IFERROR($H76*VLOOKUP($G76,'설정 Settings'!$A$122:$F$130,4,0)+VLOOKUP($G76,'설정 Settings'!$A$122:$F$130,5,0),0),2))</f>
      </c>
      <c r="Q76" s="42">
        <f>IF(AND($I76="OPEN",$B76&lt;&gt;""),IF('설정 Settings'!$C$15-$B76&gt;='설정 Settings'!$C$62,"후속 연락 필요",""),"")</f>
      </c>
    </row>
    <row r="77" spans="15:17" x14ac:dyDescent="0.25">
      <c r="O77" s="40">
        <f>IF(AND($L77="Y",$J77&lt;&gt;""),$J77+'설정 Settings'!$C$18,"")</f>
      </c>
      <c r="P77" s="41">
        <f>IF($H77="","",$H77-ROUND(IFERROR($H77*VLOOKUP($G77,'설정 Settings'!$A$122:$F$130,4,0)+VLOOKUP($G77,'설정 Settings'!$A$122:$F$130,5,0),0),2))</f>
      </c>
      <c r="Q77" s="42">
        <f>IF(AND($I77="OPEN",$B77&lt;&gt;""),IF('설정 Settings'!$C$15-$B77&gt;='설정 Settings'!$C$62,"후속 연락 필요",""),"")</f>
      </c>
    </row>
    <row r="78" spans="15:17" x14ac:dyDescent="0.25">
      <c r="O78" s="40">
        <f>IF(AND($L78="Y",$J78&lt;&gt;""),$J78+'설정 Settings'!$C$18,"")</f>
      </c>
      <c r="P78" s="41">
        <f>IF($H78="","",$H78-ROUND(IFERROR($H78*VLOOKUP($G78,'설정 Settings'!$A$122:$F$130,4,0)+VLOOKUP($G78,'설정 Settings'!$A$122:$F$130,5,0),0),2))</f>
      </c>
      <c r="Q78" s="42">
        <f>IF(AND($I78="OPEN",$B78&lt;&gt;""),IF('설정 Settings'!$C$15-$B78&gt;='설정 Settings'!$C$62,"후속 연락 필요",""),"")</f>
      </c>
    </row>
    <row r="79" spans="15:17" x14ac:dyDescent="0.25">
      <c r="O79" s="40">
        <f>IF(AND($L79="Y",$J79&lt;&gt;""),$J79+'설정 Settings'!$C$18,"")</f>
      </c>
      <c r="P79" s="41">
        <f>IF($H79="","",$H79-ROUND(IFERROR($H79*VLOOKUP($G79,'설정 Settings'!$A$122:$F$130,4,0)+VLOOKUP($G79,'설정 Settings'!$A$122:$F$130,5,0),0),2))</f>
      </c>
      <c r="Q79" s="42">
        <f>IF(AND($I79="OPEN",$B79&lt;&gt;""),IF('설정 Settings'!$C$15-$B79&gt;='설정 Settings'!$C$62,"후속 연락 필요",""),"")</f>
      </c>
    </row>
    <row r="80" spans="15:17" x14ac:dyDescent="0.25">
      <c r="O80" s="40">
        <f>IF(AND($L80="Y",$J80&lt;&gt;""),$J80+'설정 Settings'!$C$18,"")</f>
      </c>
      <c r="P80" s="41">
        <f>IF($H80="","",$H80-ROUND(IFERROR($H80*VLOOKUP($G80,'설정 Settings'!$A$122:$F$130,4,0)+VLOOKUP($G80,'설정 Settings'!$A$122:$F$130,5,0),0),2))</f>
      </c>
      <c r="Q80" s="42">
        <f>IF(AND($I80="OPEN",$B80&lt;&gt;""),IF('설정 Settings'!$C$15-$B80&gt;='설정 Settings'!$C$62,"후속 연락 필요",""),"")</f>
      </c>
    </row>
    <row r="81" spans="15:17" x14ac:dyDescent="0.25">
      <c r="O81" s="40">
        <f>IF(AND($L81="Y",$J81&lt;&gt;""),$J81+'설정 Settings'!$C$18,"")</f>
      </c>
      <c r="P81" s="41">
        <f>IF($H81="","",$H81-ROUND(IFERROR($H81*VLOOKUP($G81,'설정 Settings'!$A$122:$F$130,4,0)+VLOOKUP($G81,'설정 Settings'!$A$122:$F$130,5,0),0),2))</f>
      </c>
      <c r="Q81" s="42">
        <f>IF(AND($I81="OPEN",$B81&lt;&gt;""),IF('설정 Settings'!$C$15-$B81&gt;='설정 Settings'!$C$62,"후속 연락 필요",""),"")</f>
      </c>
    </row>
    <row r="82" spans="15:17" x14ac:dyDescent="0.25">
      <c r="O82" s="40">
        <f>IF(AND($L82="Y",$J82&lt;&gt;""),$J82+'설정 Settings'!$C$18,"")</f>
      </c>
      <c r="P82" s="41">
        <f>IF($H82="","",$H82-ROUND(IFERROR($H82*VLOOKUP($G82,'설정 Settings'!$A$122:$F$130,4,0)+VLOOKUP($G82,'설정 Settings'!$A$122:$F$130,5,0),0),2))</f>
      </c>
      <c r="Q82" s="42">
        <f>IF(AND($I82="OPEN",$B82&lt;&gt;""),IF('설정 Settings'!$C$15-$B82&gt;='설정 Settings'!$C$62,"후속 연락 필요",""),"")</f>
      </c>
    </row>
    <row r="83" spans="15:17" x14ac:dyDescent="0.25">
      <c r="O83" s="40">
        <f>IF(AND($L83="Y",$J83&lt;&gt;""),$J83+'설정 Settings'!$C$18,"")</f>
      </c>
      <c r="P83" s="41">
        <f>IF($H83="","",$H83-ROUND(IFERROR($H83*VLOOKUP($G83,'설정 Settings'!$A$122:$F$130,4,0)+VLOOKUP($G83,'설정 Settings'!$A$122:$F$130,5,0),0),2))</f>
      </c>
      <c r="Q83" s="42">
        <f>IF(AND($I83="OPEN",$B83&lt;&gt;""),IF('설정 Settings'!$C$15-$B83&gt;='설정 Settings'!$C$62,"후속 연락 필요",""),"")</f>
      </c>
    </row>
    <row r="84" spans="15:17" x14ac:dyDescent="0.25">
      <c r="O84" s="40">
        <f>IF(AND($L84="Y",$J84&lt;&gt;""),$J84+'설정 Settings'!$C$18,"")</f>
      </c>
      <c r="P84" s="41">
        <f>IF($H84="","",$H84-ROUND(IFERROR($H84*VLOOKUP($G84,'설정 Settings'!$A$122:$F$130,4,0)+VLOOKUP($G84,'설정 Settings'!$A$122:$F$130,5,0),0),2))</f>
      </c>
      <c r="Q84" s="42">
        <f>IF(AND($I84="OPEN",$B84&lt;&gt;""),IF('설정 Settings'!$C$15-$B84&gt;='설정 Settings'!$C$62,"후속 연락 필요",""),"")</f>
      </c>
    </row>
    <row r="85" spans="15:17" x14ac:dyDescent="0.25">
      <c r="O85" s="40">
        <f>IF(AND($L85="Y",$J85&lt;&gt;""),$J85+'설정 Settings'!$C$18,"")</f>
      </c>
      <c r="P85" s="41">
        <f>IF($H85="","",$H85-ROUND(IFERROR($H85*VLOOKUP($G85,'설정 Settings'!$A$122:$F$130,4,0)+VLOOKUP($G85,'설정 Settings'!$A$122:$F$130,5,0),0),2))</f>
      </c>
      <c r="Q85" s="42">
        <f>IF(AND($I85="OPEN",$B85&lt;&gt;""),IF('설정 Settings'!$C$15-$B85&gt;='설정 Settings'!$C$62,"후속 연락 필요",""),"")</f>
      </c>
    </row>
    <row r="86" spans="15:17" x14ac:dyDescent="0.25">
      <c r="O86" s="40">
        <f>IF(AND($L86="Y",$J86&lt;&gt;""),$J86+'설정 Settings'!$C$18,"")</f>
      </c>
      <c r="P86" s="41">
        <f>IF($H86="","",$H86-ROUND(IFERROR($H86*VLOOKUP($G86,'설정 Settings'!$A$122:$F$130,4,0)+VLOOKUP($G86,'설정 Settings'!$A$122:$F$130,5,0),0),2))</f>
      </c>
      <c r="Q86" s="42">
        <f>IF(AND($I86="OPEN",$B86&lt;&gt;""),IF('설정 Settings'!$C$15-$B86&gt;='설정 Settings'!$C$62,"후속 연락 필요",""),"")</f>
      </c>
    </row>
    <row r="87" spans="15:17" x14ac:dyDescent="0.25">
      <c r="O87" s="40">
        <f>IF(AND($L87="Y",$J87&lt;&gt;""),$J87+'설정 Settings'!$C$18,"")</f>
      </c>
      <c r="P87" s="41">
        <f>IF($H87="","",$H87-ROUND(IFERROR($H87*VLOOKUP($G87,'설정 Settings'!$A$122:$F$130,4,0)+VLOOKUP($G87,'설정 Settings'!$A$122:$F$130,5,0),0),2))</f>
      </c>
      <c r="Q87" s="42">
        <f>IF(AND($I87="OPEN",$B87&lt;&gt;""),IF('설정 Settings'!$C$15-$B87&gt;='설정 Settings'!$C$62,"후속 연락 필요",""),"")</f>
      </c>
    </row>
    <row r="88" spans="15:17" x14ac:dyDescent="0.25">
      <c r="O88" s="40">
        <f>IF(AND($L88="Y",$J88&lt;&gt;""),$J88+'설정 Settings'!$C$18,"")</f>
      </c>
      <c r="P88" s="41">
        <f>IF($H88="","",$H88-ROUND(IFERROR($H88*VLOOKUP($G88,'설정 Settings'!$A$122:$F$130,4,0)+VLOOKUP($G88,'설정 Settings'!$A$122:$F$130,5,0),0),2))</f>
      </c>
      <c r="Q88" s="42">
        <f>IF(AND($I88="OPEN",$B88&lt;&gt;""),IF('설정 Settings'!$C$15-$B88&gt;='설정 Settings'!$C$62,"후속 연락 필요",""),"")</f>
      </c>
    </row>
    <row r="89" spans="15:17" x14ac:dyDescent="0.25">
      <c r="O89" s="40">
        <f>IF(AND($L89="Y",$J89&lt;&gt;""),$J89+'설정 Settings'!$C$18,"")</f>
      </c>
      <c r="P89" s="41">
        <f>IF($H89="","",$H89-ROUND(IFERROR($H89*VLOOKUP($G89,'설정 Settings'!$A$122:$F$130,4,0)+VLOOKUP($G89,'설정 Settings'!$A$122:$F$130,5,0),0),2))</f>
      </c>
      <c r="Q89" s="42">
        <f>IF(AND($I89="OPEN",$B89&lt;&gt;""),IF('설정 Settings'!$C$15-$B89&gt;='설정 Settings'!$C$62,"후속 연락 필요",""),"")</f>
      </c>
    </row>
    <row r="90" spans="15:17" x14ac:dyDescent="0.25">
      <c r="O90" s="40">
        <f>IF(AND($L90="Y",$J90&lt;&gt;""),$J90+'설정 Settings'!$C$18,"")</f>
      </c>
      <c r="P90" s="41">
        <f>IF($H90="","",$H90-ROUND(IFERROR($H90*VLOOKUP($G90,'설정 Settings'!$A$122:$F$130,4,0)+VLOOKUP($G90,'설정 Settings'!$A$122:$F$130,5,0),0),2))</f>
      </c>
      <c r="Q90" s="42">
        <f>IF(AND($I90="OPEN",$B90&lt;&gt;""),IF('설정 Settings'!$C$15-$B90&gt;='설정 Settings'!$C$62,"후속 연락 필요",""),"")</f>
      </c>
    </row>
    <row r="91" spans="15:17" x14ac:dyDescent="0.25">
      <c r="O91" s="40">
        <f>IF(AND($L91="Y",$J91&lt;&gt;""),$J91+'설정 Settings'!$C$18,"")</f>
      </c>
      <c r="P91" s="41">
        <f>IF($H91="","",$H91-ROUND(IFERROR($H91*VLOOKUP($G91,'설정 Settings'!$A$122:$F$130,4,0)+VLOOKUP($G91,'설정 Settings'!$A$122:$F$130,5,0),0),2))</f>
      </c>
      <c r="Q91" s="42">
        <f>IF(AND($I91="OPEN",$B91&lt;&gt;""),IF('설정 Settings'!$C$15-$B91&gt;='설정 Settings'!$C$62,"후속 연락 필요",""),"")</f>
      </c>
    </row>
    <row r="92" spans="15:17" x14ac:dyDescent="0.25">
      <c r="O92" s="40">
        <f>IF(AND($L92="Y",$J92&lt;&gt;""),$J92+'설정 Settings'!$C$18,"")</f>
      </c>
      <c r="P92" s="41">
        <f>IF($H92="","",$H92-ROUND(IFERROR($H92*VLOOKUP($G92,'설정 Settings'!$A$122:$F$130,4,0)+VLOOKUP($G92,'설정 Settings'!$A$122:$F$130,5,0),0),2))</f>
      </c>
      <c r="Q92" s="42">
        <f>IF(AND($I92="OPEN",$B92&lt;&gt;""),IF('설정 Settings'!$C$15-$B92&gt;='설정 Settings'!$C$62,"후속 연락 필요",""),"")</f>
      </c>
    </row>
    <row r="93" spans="15:17" x14ac:dyDescent="0.25">
      <c r="O93" s="40">
        <f>IF(AND($L93="Y",$J93&lt;&gt;""),$J93+'설정 Settings'!$C$18,"")</f>
      </c>
      <c r="P93" s="41">
        <f>IF($H93="","",$H93-ROUND(IFERROR($H93*VLOOKUP($G93,'설정 Settings'!$A$122:$F$130,4,0)+VLOOKUP($G93,'설정 Settings'!$A$122:$F$130,5,0),0),2))</f>
      </c>
      <c r="Q93" s="42">
        <f>IF(AND($I93="OPEN",$B93&lt;&gt;""),IF('설정 Settings'!$C$15-$B93&gt;='설정 Settings'!$C$62,"후속 연락 필요",""),"")</f>
      </c>
    </row>
    <row r="94" spans="15:17" x14ac:dyDescent="0.25">
      <c r="O94" s="40">
        <f>IF(AND($L94="Y",$J94&lt;&gt;""),$J94+'설정 Settings'!$C$18,"")</f>
      </c>
      <c r="P94" s="41">
        <f>IF($H94="","",$H94-ROUND(IFERROR($H94*VLOOKUP($G94,'설정 Settings'!$A$122:$F$130,4,0)+VLOOKUP($G94,'설정 Settings'!$A$122:$F$130,5,0),0),2))</f>
      </c>
      <c r="Q94" s="42">
        <f>IF(AND($I94="OPEN",$B94&lt;&gt;""),IF('설정 Settings'!$C$15-$B94&gt;='설정 Settings'!$C$62,"후속 연락 필요",""),"")</f>
      </c>
    </row>
    <row r="95" spans="15:17" x14ac:dyDescent="0.25">
      <c r="O95" s="40">
        <f>IF(AND($L95="Y",$J95&lt;&gt;""),$J95+'설정 Settings'!$C$18,"")</f>
      </c>
      <c r="P95" s="41">
        <f>IF($H95="","",$H95-ROUND(IFERROR($H95*VLOOKUP($G95,'설정 Settings'!$A$122:$F$130,4,0)+VLOOKUP($G95,'설정 Settings'!$A$122:$F$130,5,0),0),2))</f>
      </c>
      <c r="Q95" s="42">
        <f>IF(AND($I95="OPEN",$B95&lt;&gt;""),IF('설정 Settings'!$C$15-$B95&gt;='설정 Settings'!$C$62,"후속 연락 필요",""),"")</f>
      </c>
    </row>
    <row r="96" spans="15:17" x14ac:dyDescent="0.25">
      <c r="O96" s="40">
        <f>IF(AND($L96="Y",$J96&lt;&gt;""),$J96+'설정 Settings'!$C$18,"")</f>
      </c>
      <c r="P96" s="41">
        <f>IF($H96="","",$H96-ROUND(IFERROR($H96*VLOOKUP($G96,'설정 Settings'!$A$122:$F$130,4,0)+VLOOKUP($G96,'설정 Settings'!$A$122:$F$130,5,0),0),2))</f>
      </c>
      <c r="Q96" s="42">
        <f>IF(AND($I96="OPEN",$B96&lt;&gt;""),IF('설정 Settings'!$C$15-$B96&gt;='설정 Settings'!$C$62,"후속 연락 필요",""),"")</f>
      </c>
    </row>
    <row r="97" spans="15:17" x14ac:dyDescent="0.25">
      <c r="O97" s="40">
        <f>IF(AND($L97="Y",$J97&lt;&gt;""),$J97+'설정 Settings'!$C$18,"")</f>
      </c>
      <c r="P97" s="41">
        <f>IF($H97="","",$H97-ROUND(IFERROR($H97*VLOOKUP($G97,'설정 Settings'!$A$122:$F$130,4,0)+VLOOKUP($G97,'설정 Settings'!$A$122:$F$130,5,0),0),2))</f>
      </c>
      <c r="Q97" s="42">
        <f>IF(AND($I97="OPEN",$B97&lt;&gt;""),IF('설정 Settings'!$C$15-$B97&gt;='설정 Settings'!$C$62,"후속 연락 필요",""),"")</f>
      </c>
    </row>
    <row r="98" spans="15:17" x14ac:dyDescent="0.25">
      <c r="O98" s="40">
        <f>IF(AND($L98="Y",$J98&lt;&gt;""),$J98+'설정 Settings'!$C$18,"")</f>
      </c>
      <c r="P98" s="41">
        <f>IF($H98="","",$H98-ROUND(IFERROR($H98*VLOOKUP($G98,'설정 Settings'!$A$122:$F$130,4,0)+VLOOKUP($G98,'설정 Settings'!$A$122:$F$130,5,0),0),2))</f>
      </c>
      <c r="Q98" s="42">
        <f>IF(AND($I98="OPEN",$B98&lt;&gt;""),IF('설정 Settings'!$C$15-$B98&gt;='설정 Settings'!$C$62,"후속 연락 필요",""),"")</f>
      </c>
    </row>
    <row r="99" spans="15:17" x14ac:dyDescent="0.25">
      <c r="O99" s="40">
        <f>IF(AND($L99="Y",$J99&lt;&gt;""),$J99+'설정 Settings'!$C$18,"")</f>
      </c>
      <c r="P99" s="41">
        <f>IF($H99="","",$H99-ROUND(IFERROR($H99*VLOOKUP($G99,'설정 Settings'!$A$122:$F$130,4,0)+VLOOKUP($G99,'설정 Settings'!$A$122:$F$130,5,0),0),2))</f>
      </c>
      <c r="Q99" s="42">
        <f>IF(AND($I99="OPEN",$B99&lt;&gt;""),IF('설정 Settings'!$C$15-$B99&gt;='설정 Settings'!$C$62,"후속 연락 필요",""),"")</f>
      </c>
    </row>
    <row r="100" spans="15:17" x14ac:dyDescent="0.25">
      <c r="O100" s="40">
        <f>IF(AND($L100="Y",$J100&lt;&gt;""),$J100+'설정 Settings'!$C$18,"")</f>
      </c>
      <c r="P100" s="41">
        <f>IF($H100="","",$H100-ROUND(IFERROR($H100*VLOOKUP($G100,'설정 Settings'!$A$122:$F$130,4,0)+VLOOKUP($G100,'설정 Settings'!$A$122:$F$130,5,0),0),2))</f>
      </c>
      <c r="Q100" s="42">
        <f>IF(AND($I100="OPEN",$B100&lt;&gt;""),IF('설정 Settings'!$C$15-$B100&gt;='설정 Settings'!$C$62,"후속 연락 필요",""),"")</f>
      </c>
    </row>
    <row r="101" spans="15:17" x14ac:dyDescent="0.25">
      <c r="O101" s="40">
        <f>IF(AND($L101="Y",$J101&lt;&gt;""),$J101+'설정 Settings'!$C$18,"")</f>
      </c>
      <c r="P101" s="41">
        <f>IF($H101="","",$H101-ROUND(IFERROR($H101*VLOOKUP($G101,'설정 Settings'!$A$122:$F$130,4,0)+VLOOKUP($G101,'설정 Settings'!$A$122:$F$130,5,0),0),2))</f>
      </c>
      <c r="Q101" s="42">
        <f>IF(AND($I101="OPEN",$B101&lt;&gt;""),IF('설정 Settings'!$C$15-$B101&gt;='설정 Settings'!$C$62,"후속 연락 필요",""),"")</f>
      </c>
    </row>
    <row r="102" spans="15:17" x14ac:dyDescent="0.25">
      <c r="O102" s="40">
        <f>IF(AND($L102="Y",$J102&lt;&gt;""),$J102+'설정 Settings'!$C$18,"")</f>
      </c>
      <c r="P102" s="41">
        <f>IF($H102="","",$H102-ROUND(IFERROR($H102*VLOOKUP($G102,'설정 Settings'!$A$122:$F$130,4,0)+VLOOKUP($G102,'설정 Settings'!$A$122:$F$130,5,0),0),2))</f>
      </c>
      <c r="Q102" s="42">
        <f>IF(AND($I102="OPEN",$B102&lt;&gt;""),IF('설정 Settings'!$C$15-$B102&gt;='설정 Settings'!$C$62,"후속 연락 필요",""),"")</f>
      </c>
    </row>
    <row r="103" spans="15:17" x14ac:dyDescent="0.25">
      <c r="O103" s="40">
        <f>IF(AND($L103="Y",$J103&lt;&gt;""),$J103+'설정 Settings'!$C$18,"")</f>
      </c>
      <c r="P103" s="41">
        <f>IF($H103="","",$H103-ROUND(IFERROR($H103*VLOOKUP($G103,'설정 Settings'!$A$122:$F$130,4,0)+VLOOKUP($G103,'설정 Settings'!$A$122:$F$130,5,0),0),2))</f>
      </c>
      <c r="Q103" s="42">
        <f>IF(AND($I103="OPEN",$B103&lt;&gt;""),IF('설정 Settings'!$C$15-$B103&gt;='설정 Settings'!$C$62,"후속 연락 필요",""),"")</f>
      </c>
    </row>
    <row r="104" spans="15:17" x14ac:dyDescent="0.25">
      <c r="O104" s="40">
        <f>IF(AND($L104="Y",$J104&lt;&gt;""),$J104+'설정 Settings'!$C$18,"")</f>
      </c>
      <c r="P104" s="41">
        <f>IF($H104="","",$H104-ROUND(IFERROR($H104*VLOOKUP($G104,'설정 Settings'!$A$122:$F$130,4,0)+VLOOKUP($G104,'설정 Settings'!$A$122:$F$130,5,0),0),2))</f>
      </c>
      <c r="Q104" s="42">
        <f>IF(AND($I104="OPEN",$B104&lt;&gt;""),IF('설정 Settings'!$C$15-$B104&gt;='설정 Settings'!$C$62,"후속 연락 필요",""),"")</f>
      </c>
    </row>
    <row r="105" spans="15:17" x14ac:dyDescent="0.25">
      <c r="O105" s="40">
        <f>IF(AND($L105="Y",$J105&lt;&gt;""),$J105+'설정 Settings'!$C$18,"")</f>
      </c>
      <c r="P105" s="41">
        <f>IF($H105="","",$H105-ROUND(IFERROR($H105*VLOOKUP($G105,'설정 Settings'!$A$122:$F$130,4,0)+VLOOKUP($G105,'설정 Settings'!$A$122:$F$130,5,0),0),2))</f>
      </c>
      <c r="Q105" s="42">
        <f>IF(AND($I105="OPEN",$B105&lt;&gt;""),IF('설정 Settings'!$C$15-$B105&gt;='설정 Settings'!$C$62,"후속 연락 필요",""),"")</f>
      </c>
    </row>
    <row r="106" spans="15:17" x14ac:dyDescent="0.25">
      <c r="O106" s="40">
        <f>IF(AND($L106="Y",$J106&lt;&gt;""),$J106+'설정 Settings'!$C$18,"")</f>
      </c>
      <c r="P106" s="41">
        <f>IF($H106="","",$H106-ROUND(IFERROR($H106*VLOOKUP($G106,'설정 Settings'!$A$122:$F$130,4,0)+VLOOKUP($G106,'설정 Settings'!$A$122:$F$130,5,0),0),2))</f>
      </c>
      <c r="Q106" s="42">
        <f>IF(AND($I106="OPEN",$B106&lt;&gt;""),IF('설정 Settings'!$C$15-$B106&gt;='설정 Settings'!$C$62,"후속 연락 필요",""),"")</f>
      </c>
    </row>
    <row r="107" spans="15:17" x14ac:dyDescent="0.25">
      <c r="O107" s="40">
        <f>IF(AND($L107="Y",$J107&lt;&gt;""),$J107+'설정 Settings'!$C$18,"")</f>
      </c>
      <c r="P107" s="41">
        <f>IF($H107="","",$H107-ROUND(IFERROR($H107*VLOOKUP($G107,'설정 Settings'!$A$122:$F$130,4,0)+VLOOKUP($G107,'설정 Settings'!$A$122:$F$130,5,0),0),2))</f>
      </c>
      <c r="Q107" s="42">
        <f>IF(AND($I107="OPEN",$B107&lt;&gt;""),IF('설정 Settings'!$C$15-$B107&gt;='설정 Settings'!$C$62,"후속 연락 필요",""),"")</f>
      </c>
    </row>
    <row r="108" spans="15:17" x14ac:dyDescent="0.25">
      <c r="O108" s="40">
        <f>IF(AND($L108="Y",$J108&lt;&gt;""),$J108+'설정 Settings'!$C$18,"")</f>
      </c>
      <c r="P108" s="41">
        <f>IF($H108="","",$H108-ROUND(IFERROR($H108*VLOOKUP($G108,'설정 Settings'!$A$122:$F$130,4,0)+VLOOKUP($G108,'설정 Settings'!$A$122:$F$130,5,0),0),2))</f>
      </c>
      <c r="Q108" s="42">
        <f>IF(AND($I108="OPEN",$B108&lt;&gt;""),IF('설정 Settings'!$C$15-$B108&gt;='설정 Settings'!$C$62,"후속 연락 필요",""),"")</f>
      </c>
    </row>
    <row r="109" spans="15:17" x14ac:dyDescent="0.25">
      <c r="O109" s="40">
        <f>IF(AND($L109="Y",$J109&lt;&gt;""),$J109+'설정 Settings'!$C$18,"")</f>
      </c>
      <c r="P109" s="41">
        <f>IF($H109="","",$H109-ROUND(IFERROR($H109*VLOOKUP($G109,'설정 Settings'!$A$122:$F$130,4,0)+VLOOKUP($G109,'설정 Settings'!$A$122:$F$130,5,0),0),2))</f>
      </c>
      <c r="Q109" s="42">
        <f>IF(AND($I109="OPEN",$B109&lt;&gt;""),IF('설정 Settings'!$C$15-$B109&gt;='설정 Settings'!$C$62,"후속 연락 필요",""),"")</f>
      </c>
    </row>
    <row r="110" spans="15:17" x14ac:dyDescent="0.25">
      <c r="O110" s="40">
        <f>IF(AND($L110="Y",$J110&lt;&gt;""),$J110+'설정 Settings'!$C$18,"")</f>
      </c>
      <c r="P110" s="41">
        <f>IF($H110="","",$H110-ROUND(IFERROR($H110*VLOOKUP($G110,'설정 Settings'!$A$122:$F$130,4,0)+VLOOKUP($G110,'설정 Settings'!$A$122:$F$130,5,0),0),2))</f>
      </c>
      <c r="Q110" s="42">
        <f>IF(AND($I110="OPEN",$B110&lt;&gt;""),IF('설정 Settings'!$C$15-$B110&gt;='설정 Settings'!$C$62,"후속 연락 필요",""),"")</f>
      </c>
    </row>
    <row r="111" spans="15:17" x14ac:dyDescent="0.25">
      <c r="O111" s="40">
        <f>IF(AND($L111="Y",$J111&lt;&gt;""),$J111+'설정 Settings'!$C$18,"")</f>
      </c>
      <c r="P111" s="41">
        <f>IF($H111="","",$H111-ROUND(IFERROR($H111*VLOOKUP($G111,'설정 Settings'!$A$122:$F$130,4,0)+VLOOKUP($G111,'설정 Settings'!$A$122:$F$130,5,0),0),2))</f>
      </c>
      <c r="Q111" s="42">
        <f>IF(AND($I111="OPEN",$B111&lt;&gt;""),IF('설정 Settings'!$C$15-$B111&gt;='설정 Settings'!$C$62,"후속 연락 필요",""),"")</f>
      </c>
    </row>
    <row r="112" spans="15:17" x14ac:dyDescent="0.25">
      <c r="O112" s="40">
        <f>IF(AND($L112="Y",$J112&lt;&gt;""),$J112+'설정 Settings'!$C$18,"")</f>
      </c>
      <c r="P112" s="41">
        <f>IF($H112="","",$H112-ROUND(IFERROR($H112*VLOOKUP($G112,'설정 Settings'!$A$122:$F$130,4,0)+VLOOKUP($G112,'설정 Settings'!$A$122:$F$130,5,0),0),2))</f>
      </c>
      <c r="Q112" s="42">
        <f>IF(AND($I112="OPEN",$B112&lt;&gt;""),IF('설정 Settings'!$C$15-$B112&gt;='설정 Settings'!$C$62,"후속 연락 필요",""),"")</f>
      </c>
    </row>
    <row r="113" spans="15:17" x14ac:dyDescent="0.25">
      <c r="O113" s="40">
        <f>IF(AND($L113="Y",$J113&lt;&gt;""),$J113+'설정 Settings'!$C$18,"")</f>
      </c>
      <c r="P113" s="41">
        <f>IF($H113="","",$H113-ROUND(IFERROR($H113*VLOOKUP($G113,'설정 Settings'!$A$122:$F$130,4,0)+VLOOKUP($G113,'설정 Settings'!$A$122:$F$130,5,0),0),2))</f>
      </c>
      <c r="Q113" s="42">
        <f>IF(AND($I113="OPEN",$B113&lt;&gt;""),IF('설정 Settings'!$C$15-$B113&gt;='설정 Settings'!$C$62,"후속 연락 필요",""),"")</f>
      </c>
    </row>
    <row r="114" spans="15:17" x14ac:dyDescent="0.25">
      <c r="O114" s="40">
        <f>IF(AND($L114="Y",$J114&lt;&gt;""),$J114+'설정 Settings'!$C$18,"")</f>
      </c>
      <c r="P114" s="41">
        <f>IF($H114="","",$H114-ROUND(IFERROR($H114*VLOOKUP($G114,'설정 Settings'!$A$122:$F$130,4,0)+VLOOKUP($G114,'설정 Settings'!$A$122:$F$130,5,0),0),2))</f>
      </c>
      <c r="Q114" s="42">
        <f>IF(AND($I114="OPEN",$B114&lt;&gt;""),IF('설정 Settings'!$C$15-$B114&gt;='설정 Settings'!$C$62,"후속 연락 필요",""),"")</f>
      </c>
    </row>
    <row r="115" spans="15:17" x14ac:dyDescent="0.25">
      <c r="O115" s="40">
        <f>IF(AND($L115="Y",$J115&lt;&gt;""),$J115+'설정 Settings'!$C$18,"")</f>
      </c>
      <c r="P115" s="41">
        <f>IF($H115="","",$H115-ROUND(IFERROR($H115*VLOOKUP($G115,'설정 Settings'!$A$122:$F$130,4,0)+VLOOKUP($G115,'설정 Settings'!$A$122:$F$130,5,0),0),2))</f>
      </c>
      <c r="Q115" s="42">
        <f>IF(AND($I115="OPEN",$B115&lt;&gt;""),IF('설정 Settings'!$C$15-$B115&gt;='설정 Settings'!$C$62,"후속 연락 필요",""),"")</f>
      </c>
    </row>
    <row r="116" spans="15:17" x14ac:dyDescent="0.25">
      <c r="O116" s="40">
        <f>IF(AND($L116="Y",$J116&lt;&gt;""),$J116+'설정 Settings'!$C$18,"")</f>
      </c>
      <c r="P116" s="41">
        <f>IF($H116="","",$H116-ROUND(IFERROR($H116*VLOOKUP($G116,'설정 Settings'!$A$122:$F$130,4,0)+VLOOKUP($G116,'설정 Settings'!$A$122:$F$130,5,0),0),2))</f>
      </c>
      <c r="Q116" s="42">
        <f>IF(AND($I116="OPEN",$B116&lt;&gt;""),IF('설정 Settings'!$C$15-$B116&gt;='설정 Settings'!$C$62,"후속 연락 필요",""),"")</f>
      </c>
    </row>
    <row r="117" spans="15:17" x14ac:dyDescent="0.25">
      <c r="O117" s="40">
        <f>IF(AND($L117="Y",$J117&lt;&gt;""),$J117+'설정 Settings'!$C$18,"")</f>
      </c>
      <c r="P117" s="41">
        <f>IF($H117="","",$H117-ROUND(IFERROR($H117*VLOOKUP($G117,'설정 Settings'!$A$122:$F$130,4,0)+VLOOKUP($G117,'설정 Settings'!$A$122:$F$130,5,0),0),2))</f>
      </c>
      <c r="Q117" s="42">
        <f>IF(AND($I117="OPEN",$B117&lt;&gt;""),IF('설정 Settings'!$C$15-$B117&gt;='설정 Settings'!$C$62,"후속 연락 필요",""),"")</f>
      </c>
    </row>
    <row r="118" spans="15:17" x14ac:dyDescent="0.25">
      <c r="O118" s="40">
        <f>IF(AND($L118="Y",$J118&lt;&gt;""),$J118+'설정 Settings'!$C$18,"")</f>
      </c>
      <c r="P118" s="41">
        <f>IF($H118="","",$H118-ROUND(IFERROR($H118*VLOOKUP($G118,'설정 Settings'!$A$122:$F$130,4,0)+VLOOKUP($G118,'설정 Settings'!$A$122:$F$130,5,0),0),2))</f>
      </c>
      <c r="Q118" s="42">
        <f>IF(AND($I118="OPEN",$B118&lt;&gt;""),IF('설정 Settings'!$C$15-$B118&gt;='설정 Settings'!$C$62,"후속 연락 필요",""),"")</f>
      </c>
    </row>
    <row r="119" spans="15:17" x14ac:dyDescent="0.25">
      <c r="O119" s="40">
        <f>IF(AND($L119="Y",$J119&lt;&gt;""),$J119+'설정 Settings'!$C$18,"")</f>
      </c>
      <c r="P119" s="41">
        <f>IF($H119="","",$H119-ROUND(IFERROR($H119*VLOOKUP($G119,'설정 Settings'!$A$122:$F$130,4,0)+VLOOKUP($G119,'설정 Settings'!$A$122:$F$130,5,0),0),2))</f>
      </c>
      <c r="Q119" s="42">
        <f>IF(AND($I119="OPEN",$B119&lt;&gt;""),IF('설정 Settings'!$C$15-$B119&gt;='설정 Settings'!$C$62,"후속 연락 필요",""),"")</f>
      </c>
    </row>
    <row r="120" spans="15:17" x14ac:dyDescent="0.25">
      <c r="O120" s="40">
        <f>IF(AND($L120="Y",$J120&lt;&gt;""),$J120+'설정 Settings'!$C$18,"")</f>
      </c>
      <c r="P120" s="41">
        <f>IF($H120="","",$H120-ROUND(IFERROR($H120*VLOOKUP($G120,'설정 Settings'!$A$122:$F$130,4,0)+VLOOKUP($G120,'설정 Settings'!$A$122:$F$130,5,0),0),2))</f>
      </c>
      <c r="Q120" s="42">
        <f>IF(AND($I120="OPEN",$B120&lt;&gt;""),IF('설정 Settings'!$C$15-$B120&gt;='설정 Settings'!$C$62,"후속 연락 필요",""),"")</f>
      </c>
    </row>
    <row r="121" spans="15:17" x14ac:dyDescent="0.25">
      <c r="O121" s="40">
        <f>IF(AND($L121="Y",$J121&lt;&gt;""),$J121+'설정 Settings'!$C$18,"")</f>
      </c>
      <c r="P121" s="41">
        <f>IF($H121="","",$H121-ROUND(IFERROR($H121*VLOOKUP($G121,'설정 Settings'!$A$122:$F$130,4,0)+VLOOKUP($G121,'설정 Settings'!$A$122:$F$130,5,0),0),2))</f>
      </c>
      <c r="Q121" s="42">
        <f>IF(AND($I121="OPEN",$B121&lt;&gt;""),IF('설정 Settings'!$C$15-$B121&gt;='설정 Settings'!$C$62,"후속 연락 필요",""),"")</f>
      </c>
    </row>
    <row r="122" spans="15:17" x14ac:dyDescent="0.25">
      <c r="O122" s="40">
        <f>IF(AND($L122="Y",$J122&lt;&gt;""),$J122+'설정 Settings'!$C$18,"")</f>
      </c>
      <c r="P122" s="41">
        <f>IF($H122="","",$H122-ROUND(IFERROR($H122*VLOOKUP($G122,'설정 Settings'!$A$122:$F$130,4,0)+VLOOKUP($G122,'설정 Settings'!$A$122:$F$130,5,0),0),2))</f>
      </c>
      <c r="Q122" s="42">
        <f>IF(AND($I122="OPEN",$B122&lt;&gt;""),IF('설정 Settings'!$C$15-$B122&gt;='설정 Settings'!$C$62,"후속 연락 필요",""),"")</f>
      </c>
    </row>
    <row r="123" spans="15:17" x14ac:dyDescent="0.25">
      <c r="O123" s="40">
        <f>IF(AND($L123="Y",$J123&lt;&gt;""),$J123+'설정 Settings'!$C$18,"")</f>
      </c>
      <c r="P123" s="41">
        <f>IF($H123="","",$H123-ROUND(IFERROR($H123*VLOOKUP($G123,'설정 Settings'!$A$122:$F$130,4,0)+VLOOKUP($G123,'설정 Settings'!$A$122:$F$130,5,0),0),2))</f>
      </c>
      <c r="Q123" s="42">
        <f>IF(AND($I123="OPEN",$B123&lt;&gt;""),IF('설정 Settings'!$C$15-$B123&gt;='설정 Settings'!$C$62,"후속 연락 필요",""),"")</f>
      </c>
    </row>
    <row r="124" spans="15:17" x14ac:dyDescent="0.25">
      <c r="O124" s="40">
        <f>IF(AND($L124="Y",$J124&lt;&gt;""),$J124+'설정 Settings'!$C$18,"")</f>
      </c>
      <c r="P124" s="41">
        <f>IF($H124="","",$H124-ROUND(IFERROR($H124*VLOOKUP($G124,'설정 Settings'!$A$122:$F$130,4,0)+VLOOKUP($G124,'설정 Settings'!$A$122:$F$130,5,0),0),2))</f>
      </c>
      <c r="Q124" s="42">
        <f>IF(AND($I124="OPEN",$B124&lt;&gt;""),IF('설정 Settings'!$C$15-$B124&gt;='설정 Settings'!$C$62,"후속 연락 필요",""),"")</f>
      </c>
    </row>
    <row r="125" spans="15:17" x14ac:dyDescent="0.25">
      <c r="O125" s="40">
        <f>IF(AND($L125="Y",$J125&lt;&gt;""),$J125+'설정 Settings'!$C$18,"")</f>
      </c>
      <c r="P125" s="41">
        <f>IF($H125="","",$H125-ROUND(IFERROR($H125*VLOOKUP($G125,'설정 Settings'!$A$122:$F$130,4,0)+VLOOKUP($G125,'설정 Settings'!$A$122:$F$130,5,0),0),2))</f>
      </c>
      <c r="Q125" s="42">
        <f>IF(AND($I125="OPEN",$B125&lt;&gt;""),IF('설정 Settings'!$C$15-$B125&gt;='설정 Settings'!$C$62,"후속 연락 필요",""),"")</f>
      </c>
    </row>
    <row r="126" spans="15:17" x14ac:dyDescent="0.25">
      <c r="O126" s="40">
        <f>IF(AND($L126="Y",$J126&lt;&gt;""),$J126+'설정 Settings'!$C$18,"")</f>
      </c>
      <c r="P126" s="41">
        <f>IF($H126="","",$H126-ROUND(IFERROR($H126*VLOOKUP($G126,'설정 Settings'!$A$122:$F$130,4,0)+VLOOKUP($G126,'설정 Settings'!$A$122:$F$130,5,0),0),2))</f>
      </c>
      <c r="Q126" s="42">
        <f>IF(AND($I126="OPEN",$B126&lt;&gt;""),IF('설정 Settings'!$C$15-$B126&gt;='설정 Settings'!$C$62,"후속 연락 필요",""),"")</f>
      </c>
    </row>
    <row r="127" spans="15:17" x14ac:dyDescent="0.25">
      <c r="O127" s="40">
        <f>IF(AND($L127="Y",$J127&lt;&gt;""),$J127+'설정 Settings'!$C$18,"")</f>
      </c>
      <c r="P127" s="41">
        <f>IF($H127="","",$H127-ROUND(IFERROR($H127*VLOOKUP($G127,'설정 Settings'!$A$122:$F$130,4,0)+VLOOKUP($G127,'설정 Settings'!$A$122:$F$130,5,0),0),2))</f>
      </c>
      <c r="Q127" s="42">
        <f>IF(AND($I127="OPEN",$B127&lt;&gt;""),IF('설정 Settings'!$C$15-$B127&gt;='설정 Settings'!$C$62,"후속 연락 필요",""),"")</f>
      </c>
    </row>
    <row r="128" spans="15:17" x14ac:dyDescent="0.25">
      <c r="O128" s="40">
        <f>IF(AND($L128="Y",$J128&lt;&gt;""),$J128+'설정 Settings'!$C$18,"")</f>
      </c>
      <c r="P128" s="41">
        <f>IF($H128="","",$H128-ROUND(IFERROR($H128*VLOOKUP($G128,'설정 Settings'!$A$122:$F$130,4,0)+VLOOKUP($G128,'설정 Settings'!$A$122:$F$130,5,0),0),2))</f>
      </c>
      <c r="Q128" s="42">
        <f>IF(AND($I128="OPEN",$B128&lt;&gt;""),IF('설정 Settings'!$C$15-$B128&gt;='설정 Settings'!$C$62,"후속 연락 필요",""),"")</f>
      </c>
    </row>
    <row r="129" spans="15:17" x14ac:dyDescent="0.25">
      <c r="O129" s="40">
        <f>IF(AND($L129="Y",$J129&lt;&gt;""),$J129+'설정 Settings'!$C$18,"")</f>
      </c>
      <c r="P129" s="41">
        <f>IF($H129="","",$H129-ROUND(IFERROR($H129*VLOOKUP($G129,'설정 Settings'!$A$122:$F$130,4,0)+VLOOKUP($G129,'설정 Settings'!$A$122:$F$130,5,0),0),2))</f>
      </c>
      <c r="Q129" s="42">
        <f>IF(AND($I129="OPEN",$B129&lt;&gt;""),IF('설정 Settings'!$C$15-$B129&gt;='설정 Settings'!$C$62,"후속 연락 필요",""),"")</f>
      </c>
    </row>
    <row r="130" spans="15:17" x14ac:dyDescent="0.25">
      <c r="O130" s="40">
        <f>IF(AND($L130="Y",$J130&lt;&gt;""),$J130+'설정 Settings'!$C$18,"")</f>
      </c>
      <c r="P130" s="41">
        <f>IF($H130="","",$H130-ROUND(IFERROR($H130*VLOOKUP($G130,'설정 Settings'!$A$122:$F$130,4,0)+VLOOKUP($G130,'설정 Settings'!$A$122:$F$130,5,0),0),2))</f>
      </c>
      <c r="Q130" s="42">
        <f>IF(AND($I130="OPEN",$B130&lt;&gt;""),IF('설정 Settings'!$C$15-$B130&gt;='설정 Settings'!$C$62,"후속 연락 필요",""),"")</f>
      </c>
    </row>
    <row r="131" spans="15:17" x14ac:dyDescent="0.25">
      <c r="O131" s="40">
        <f>IF(AND($L131="Y",$J131&lt;&gt;""),$J131+'설정 Settings'!$C$18,"")</f>
      </c>
      <c r="P131" s="41">
        <f>IF($H131="","",$H131-ROUND(IFERROR($H131*VLOOKUP($G131,'설정 Settings'!$A$122:$F$130,4,0)+VLOOKUP($G131,'설정 Settings'!$A$122:$F$130,5,0),0),2))</f>
      </c>
      <c r="Q131" s="42">
        <f>IF(AND($I131="OPEN",$B131&lt;&gt;""),IF('설정 Settings'!$C$15-$B131&gt;='설정 Settings'!$C$62,"후속 연락 필요",""),"")</f>
      </c>
    </row>
    <row r="132" spans="15:17" x14ac:dyDescent="0.25">
      <c r="O132" s="40">
        <f>IF(AND($L132="Y",$J132&lt;&gt;""),$J132+'설정 Settings'!$C$18,"")</f>
      </c>
      <c r="P132" s="41">
        <f>IF($H132="","",$H132-ROUND(IFERROR($H132*VLOOKUP($G132,'설정 Settings'!$A$122:$F$130,4,0)+VLOOKUP($G132,'설정 Settings'!$A$122:$F$130,5,0),0),2))</f>
      </c>
      <c r="Q132" s="42">
        <f>IF(AND($I132="OPEN",$B132&lt;&gt;""),IF('설정 Settings'!$C$15-$B132&gt;='설정 Settings'!$C$62,"후속 연락 필요",""),"")</f>
      </c>
    </row>
    <row r="133" spans="15:17" x14ac:dyDescent="0.25">
      <c r="O133" s="40">
        <f>IF(AND($L133="Y",$J133&lt;&gt;""),$J133+'설정 Settings'!$C$18,"")</f>
      </c>
      <c r="P133" s="41">
        <f>IF($H133="","",$H133-ROUND(IFERROR($H133*VLOOKUP($G133,'설정 Settings'!$A$122:$F$130,4,0)+VLOOKUP($G133,'설정 Settings'!$A$122:$F$130,5,0),0),2))</f>
      </c>
      <c r="Q133" s="42">
        <f>IF(AND($I133="OPEN",$B133&lt;&gt;""),IF('설정 Settings'!$C$15-$B133&gt;='설정 Settings'!$C$62,"후속 연락 필요",""),"")</f>
      </c>
    </row>
    <row r="134" spans="15:17" x14ac:dyDescent="0.25">
      <c r="O134" s="40">
        <f>IF(AND($L134="Y",$J134&lt;&gt;""),$J134+'설정 Settings'!$C$18,"")</f>
      </c>
      <c r="P134" s="41">
        <f>IF($H134="","",$H134-ROUND(IFERROR($H134*VLOOKUP($G134,'설정 Settings'!$A$122:$F$130,4,0)+VLOOKUP($G134,'설정 Settings'!$A$122:$F$130,5,0),0),2))</f>
      </c>
      <c r="Q134" s="42">
        <f>IF(AND($I134="OPEN",$B134&lt;&gt;""),IF('설정 Settings'!$C$15-$B134&gt;='설정 Settings'!$C$62,"후속 연락 필요",""),"")</f>
      </c>
    </row>
    <row r="135" spans="15:17" x14ac:dyDescent="0.25">
      <c r="O135" s="40">
        <f>IF(AND($L135="Y",$J135&lt;&gt;""),$J135+'설정 Settings'!$C$18,"")</f>
      </c>
      <c r="P135" s="41">
        <f>IF($H135="","",$H135-ROUND(IFERROR($H135*VLOOKUP($G135,'설정 Settings'!$A$122:$F$130,4,0)+VLOOKUP($G135,'설정 Settings'!$A$122:$F$130,5,0),0),2))</f>
      </c>
      <c r="Q135" s="42">
        <f>IF(AND($I135="OPEN",$B135&lt;&gt;""),IF('설정 Settings'!$C$15-$B135&gt;='설정 Settings'!$C$62,"후속 연락 필요",""),"")</f>
      </c>
    </row>
    <row r="136" spans="15:17" x14ac:dyDescent="0.25">
      <c r="O136" s="40">
        <f>IF(AND($L136="Y",$J136&lt;&gt;""),$J136+'설정 Settings'!$C$18,"")</f>
      </c>
      <c r="P136" s="41">
        <f>IF($H136="","",$H136-ROUND(IFERROR($H136*VLOOKUP($G136,'설정 Settings'!$A$122:$F$130,4,0)+VLOOKUP($G136,'설정 Settings'!$A$122:$F$130,5,0),0),2))</f>
      </c>
      <c r="Q136" s="42">
        <f>IF(AND($I136="OPEN",$B136&lt;&gt;""),IF('설정 Settings'!$C$15-$B136&gt;='설정 Settings'!$C$62,"후속 연락 필요",""),"")</f>
      </c>
    </row>
    <row r="137" spans="15:17" x14ac:dyDescent="0.25">
      <c r="O137" s="40">
        <f>IF(AND($L137="Y",$J137&lt;&gt;""),$J137+'설정 Settings'!$C$18,"")</f>
      </c>
      <c r="P137" s="41">
        <f>IF($H137="","",$H137-ROUND(IFERROR($H137*VLOOKUP($G137,'설정 Settings'!$A$122:$F$130,4,0)+VLOOKUP($G137,'설정 Settings'!$A$122:$F$130,5,0),0),2))</f>
      </c>
      <c r="Q137" s="42">
        <f>IF(AND($I137="OPEN",$B137&lt;&gt;""),IF('설정 Settings'!$C$15-$B137&gt;='설정 Settings'!$C$62,"후속 연락 필요",""),"")</f>
      </c>
    </row>
    <row r="138" spans="15:17" x14ac:dyDescent="0.25">
      <c r="O138" s="40">
        <f>IF(AND($L138="Y",$J138&lt;&gt;""),$J138+'설정 Settings'!$C$18,"")</f>
      </c>
      <c r="P138" s="41">
        <f>IF($H138="","",$H138-ROUND(IFERROR($H138*VLOOKUP($G138,'설정 Settings'!$A$122:$F$130,4,0)+VLOOKUP($G138,'설정 Settings'!$A$122:$F$130,5,0),0),2))</f>
      </c>
      <c r="Q138" s="42">
        <f>IF(AND($I138="OPEN",$B138&lt;&gt;""),IF('설정 Settings'!$C$15-$B138&gt;='설정 Settings'!$C$62,"후속 연락 필요",""),"")</f>
      </c>
    </row>
    <row r="139" spans="15:17" x14ac:dyDescent="0.25">
      <c r="O139" s="40">
        <f>IF(AND($L139="Y",$J139&lt;&gt;""),$J139+'설정 Settings'!$C$18,"")</f>
      </c>
      <c r="P139" s="41">
        <f>IF($H139="","",$H139-ROUND(IFERROR($H139*VLOOKUP($G139,'설정 Settings'!$A$122:$F$130,4,0)+VLOOKUP($G139,'설정 Settings'!$A$122:$F$130,5,0),0),2))</f>
      </c>
      <c r="Q139" s="42">
        <f>IF(AND($I139="OPEN",$B139&lt;&gt;""),IF('설정 Settings'!$C$15-$B139&gt;='설정 Settings'!$C$62,"후속 연락 필요",""),"")</f>
      </c>
    </row>
    <row r="140" spans="15:17" x14ac:dyDescent="0.25">
      <c r="O140" s="40">
        <f>IF(AND($L140="Y",$J140&lt;&gt;""),$J140+'설정 Settings'!$C$18,"")</f>
      </c>
      <c r="P140" s="41">
        <f>IF($H140="","",$H140-ROUND(IFERROR($H140*VLOOKUP($G140,'설정 Settings'!$A$122:$F$130,4,0)+VLOOKUP($G140,'설정 Settings'!$A$122:$F$130,5,0),0),2))</f>
      </c>
      <c r="Q140" s="42">
        <f>IF(AND($I140="OPEN",$B140&lt;&gt;""),IF('설정 Settings'!$C$15-$B140&gt;='설정 Settings'!$C$62,"후속 연락 필요",""),"")</f>
      </c>
    </row>
    <row r="141" spans="15:17" x14ac:dyDescent="0.25">
      <c r="O141" s="40">
        <f>IF(AND($L141="Y",$J141&lt;&gt;""),$J141+'설정 Settings'!$C$18,"")</f>
      </c>
      <c r="P141" s="41">
        <f>IF($H141="","",$H141-ROUND(IFERROR($H141*VLOOKUP($G141,'설정 Settings'!$A$122:$F$130,4,0)+VLOOKUP($G141,'설정 Settings'!$A$122:$F$130,5,0),0),2))</f>
      </c>
      <c r="Q141" s="42">
        <f>IF(AND($I141="OPEN",$B141&lt;&gt;""),IF('설정 Settings'!$C$15-$B141&gt;='설정 Settings'!$C$62,"후속 연락 필요",""),"")</f>
      </c>
    </row>
    <row r="142" spans="15:17" x14ac:dyDescent="0.25">
      <c r="O142" s="40">
        <f>IF(AND($L142="Y",$J142&lt;&gt;""),$J142+'설정 Settings'!$C$18,"")</f>
      </c>
      <c r="P142" s="41">
        <f>IF($H142="","",$H142-ROUND(IFERROR($H142*VLOOKUP($G142,'설정 Settings'!$A$122:$F$130,4,0)+VLOOKUP($G142,'설정 Settings'!$A$122:$F$130,5,0),0),2))</f>
      </c>
      <c r="Q142" s="42">
        <f>IF(AND($I142="OPEN",$B142&lt;&gt;""),IF('설정 Settings'!$C$15-$B142&gt;='설정 Settings'!$C$62,"후속 연락 필요",""),"")</f>
      </c>
    </row>
    <row r="143" spans="15:17" x14ac:dyDescent="0.25">
      <c r="O143" s="40">
        <f>IF(AND($L143="Y",$J143&lt;&gt;""),$J143+'설정 Settings'!$C$18,"")</f>
      </c>
      <c r="P143" s="41">
        <f>IF($H143="","",$H143-ROUND(IFERROR($H143*VLOOKUP($G143,'설정 Settings'!$A$122:$F$130,4,0)+VLOOKUP($G143,'설정 Settings'!$A$122:$F$130,5,0),0),2))</f>
      </c>
      <c r="Q143" s="42">
        <f>IF(AND($I143="OPEN",$B143&lt;&gt;""),IF('설정 Settings'!$C$15-$B143&gt;='설정 Settings'!$C$62,"후속 연락 필요",""),"")</f>
      </c>
    </row>
    <row r="144" spans="15:17" x14ac:dyDescent="0.25">
      <c r="O144" s="40">
        <f>IF(AND($L144="Y",$J144&lt;&gt;""),$J144+'설정 Settings'!$C$18,"")</f>
      </c>
      <c r="P144" s="41">
        <f>IF($H144="","",$H144-ROUND(IFERROR($H144*VLOOKUP($G144,'설정 Settings'!$A$122:$F$130,4,0)+VLOOKUP($G144,'설정 Settings'!$A$122:$F$130,5,0),0),2))</f>
      </c>
      <c r="Q144" s="42">
        <f>IF(AND($I144="OPEN",$B144&lt;&gt;""),IF('설정 Settings'!$C$15-$B144&gt;='설정 Settings'!$C$62,"후속 연락 필요",""),"")</f>
      </c>
    </row>
    <row r="145" spans="15:17" x14ac:dyDescent="0.25">
      <c r="O145" s="40">
        <f>IF(AND($L145="Y",$J145&lt;&gt;""),$J145+'설정 Settings'!$C$18,"")</f>
      </c>
      <c r="P145" s="41">
        <f>IF($H145="","",$H145-ROUND(IFERROR($H145*VLOOKUP($G145,'설정 Settings'!$A$122:$F$130,4,0)+VLOOKUP($G145,'설정 Settings'!$A$122:$F$130,5,0),0),2))</f>
      </c>
      <c r="Q145" s="42">
        <f>IF(AND($I145="OPEN",$B145&lt;&gt;""),IF('설정 Settings'!$C$15-$B145&gt;='설정 Settings'!$C$62,"후속 연락 필요",""),"")</f>
      </c>
    </row>
    <row r="146" spans="15:17" x14ac:dyDescent="0.25">
      <c r="O146" s="40">
        <f>IF(AND($L146="Y",$J146&lt;&gt;""),$J146+'설정 Settings'!$C$18,"")</f>
      </c>
      <c r="P146" s="41">
        <f>IF($H146="","",$H146-ROUND(IFERROR($H146*VLOOKUP($G146,'설정 Settings'!$A$122:$F$130,4,0)+VLOOKUP($G146,'설정 Settings'!$A$122:$F$130,5,0),0),2))</f>
      </c>
      <c r="Q146" s="42">
        <f>IF(AND($I146="OPEN",$B146&lt;&gt;""),IF('설정 Settings'!$C$15-$B146&gt;='설정 Settings'!$C$62,"후속 연락 필요",""),"")</f>
      </c>
    </row>
    <row r="147" spans="15:17" x14ac:dyDescent="0.25">
      <c r="O147" s="40">
        <f>IF(AND($L147="Y",$J147&lt;&gt;""),$J147+'설정 Settings'!$C$18,"")</f>
      </c>
      <c r="P147" s="41">
        <f>IF($H147="","",$H147-ROUND(IFERROR($H147*VLOOKUP($G147,'설정 Settings'!$A$122:$F$130,4,0)+VLOOKUP($G147,'설정 Settings'!$A$122:$F$130,5,0),0),2))</f>
      </c>
      <c r="Q147" s="42">
        <f>IF(AND($I147="OPEN",$B147&lt;&gt;""),IF('설정 Settings'!$C$15-$B147&gt;='설정 Settings'!$C$62,"후속 연락 필요",""),"")</f>
      </c>
    </row>
    <row r="148" spans="15:17" x14ac:dyDescent="0.25">
      <c r="O148" s="40">
        <f>IF(AND($L148="Y",$J148&lt;&gt;""),$J148+'설정 Settings'!$C$18,"")</f>
      </c>
      <c r="P148" s="41">
        <f>IF($H148="","",$H148-ROUND(IFERROR($H148*VLOOKUP($G148,'설정 Settings'!$A$122:$F$130,4,0)+VLOOKUP($G148,'설정 Settings'!$A$122:$F$130,5,0),0),2))</f>
      </c>
      <c r="Q148" s="42">
        <f>IF(AND($I148="OPEN",$B148&lt;&gt;""),IF('설정 Settings'!$C$15-$B148&gt;='설정 Settings'!$C$62,"후속 연락 필요",""),"")</f>
      </c>
    </row>
    <row r="149" spans="15:17" x14ac:dyDescent="0.25">
      <c r="O149" s="40">
        <f>IF(AND($L149="Y",$J149&lt;&gt;""),$J149+'설정 Settings'!$C$18,"")</f>
      </c>
      <c r="P149" s="41">
        <f>IF($H149="","",$H149-ROUND(IFERROR($H149*VLOOKUP($G149,'설정 Settings'!$A$122:$F$130,4,0)+VLOOKUP($G149,'설정 Settings'!$A$122:$F$130,5,0),0),2))</f>
      </c>
      <c r="Q149" s="42">
        <f>IF(AND($I149="OPEN",$B149&lt;&gt;""),IF('설정 Settings'!$C$15-$B149&gt;='설정 Settings'!$C$62,"후속 연락 필요",""),"")</f>
      </c>
    </row>
    <row r="150" spans="15:17" x14ac:dyDescent="0.25">
      <c r="O150" s="40">
        <f>IF(AND($L150="Y",$J150&lt;&gt;""),$J150+'설정 Settings'!$C$18,"")</f>
      </c>
      <c r="P150" s="41">
        <f>IF($H150="","",$H150-ROUND(IFERROR($H150*VLOOKUP($G150,'설정 Settings'!$A$122:$F$130,4,0)+VLOOKUP($G150,'설정 Settings'!$A$122:$F$130,5,0),0),2))</f>
      </c>
      <c r="Q150" s="42">
        <f>IF(AND($I150="OPEN",$B150&lt;&gt;""),IF('설정 Settings'!$C$15-$B150&gt;='설정 Settings'!$C$62,"후속 연락 필요",""),"")</f>
      </c>
    </row>
    <row r="151" spans="15:17" x14ac:dyDescent="0.25">
      <c r="O151" s="40">
        <f>IF(AND($L151="Y",$J151&lt;&gt;""),$J151+'설정 Settings'!$C$18,"")</f>
      </c>
      <c r="P151" s="41">
        <f>IF($H151="","",$H151-ROUND(IFERROR($H151*VLOOKUP($G151,'설정 Settings'!$A$122:$F$130,4,0)+VLOOKUP($G151,'설정 Settings'!$A$122:$F$130,5,0),0),2))</f>
      </c>
      <c r="Q151" s="42">
        <f>IF(AND($I151="OPEN",$B151&lt;&gt;""),IF('설정 Settings'!$C$15-$B151&gt;='설정 Settings'!$C$62,"후속 연락 필요",""),"")</f>
      </c>
    </row>
    <row r="152" spans="15:17" x14ac:dyDescent="0.25">
      <c r="O152" s="40">
        <f>IF(AND($L152="Y",$J152&lt;&gt;""),$J152+'설정 Settings'!$C$18,"")</f>
      </c>
      <c r="P152" s="41">
        <f>IF($H152="","",$H152-ROUND(IFERROR($H152*VLOOKUP($G152,'설정 Settings'!$A$122:$F$130,4,0)+VLOOKUP($G152,'설정 Settings'!$A$122:$F$130,5,0),0),2))</f>
      </c>
      <c r="Q152" s="42">
        <f>IF(AND($I152="OPEN",$B152&lt;&gt;""),IF('설정 Settings'!$C$15-$B152&gt;='설정 Settings'!$C$62,"후속 연락 필요",""),"")</f>
      </c>
    </row>
    <row r="153" spans="15:17" x14ac:dyDescent="0.25">
      <c r="O153" s="40">
        <f>IF(AND($L153="Y",$J153&lt;&gt;""),$J153+'설정 Settings'!$C$18,"")</f>
      </c>
      <c r="P153" s="41">
        <f>IF($H153="","",$H153-ROUND(IFERROR($H153*VLOOKUP($G153,'설정 Settings'!$A$122:$F$130,4,0)+VLOOKUP($G153,'설정 Settings'!$A$122:$F$130,5,0),0),2))</f>
      </c>
      <c r="Q153" s="42">
        <f>IF(AND($I153="OPEN",$B153&lt;&gt;""),IF('설정 Settings'!$C$15-$B153&gt;='설정 Settings'!$C$62,"후속 연락 필요",""),"")</f>
      </c>
    </row>
    <row r="154" spans="15:17" x14ac:dyDescent="0.25">
      <c r="O154" s="40">
        <f>IF(AND($L154="Y",$J154&lt;&gt;""),$J154+'설정 Settings'!$C$18,"")</f>
      </c>
      <c r="P154" s="41">
        <f>IF($H154="","",$H154-ROUND(IFERROR($H154*VLOOKUP($G154,'설정 Settings'!$A$122:$F$130,4,0)+VLOOKUP($G154,'설정 Settings'!$A$122:$F$130,5,0),0),2))</f>
      </c>
      <c r="Q154" s="42">
        <f>IF(AND($I154="OPEN",$B154&lt;&gt;""),IF('설정 Settings'!$C$15-$B154&gt;='설정 Settings'!$C$62,"후속 연락 필요",""),"")</f>
      </c>
    </row>
    <row r="155" spans="15:17" x14ac:dyDescent="0.25">
      <c r="O155" s="40">
        <f>IF(AND($L155="Y",$J155&lt;&gt;""),$J155+'설정 Settings'!$C$18,"")</f>
      </c>
      <c r="P155" s="41">
        <f>IF($H155="","",$H155-ROUND(IFERROR($H155*VLOOKUP($G155,'설정 Settings'!$A$122:$F$130,4,0)+VLOOKUP($G155,'설정 Settings'!$A$122:$F$130,5,0),0),2))</f>
      </c>
      <c r="Q155" s="42">
        <f>IF(AND($I155="OPEN",$B155&lt;&gt;""),IF('설정 Settings'!$C$15-$B155&gt;='설정 Settings'!$C$62,"후속 연락 필요",""),"")</f>
      </c>
    </row>
    <row r="156" spans="15:17" x14ac:dyDescent="0.25">
      <c r="O156" s="40">
        <f>IF(AND($L156="Y",$J156&lt;&gt;""),$J156+'설정 Settings'!$C$18,"")</f>
      </c>
      <c r="P156" s="41">
        <f>IF($H156="","",$H156-ROUND(IFERROR($H156*VLOOKUP($G156,'설정 Settings'!$A$122:$F$130,4,0)+VLOOKUP($G156,'설정 Settings'!$A$122:$F$130,5,0),0),2))</f>
      </c>
      <c r="Q156" s="42">
        <f>IF(AND($I156="OPEN",$B156&lt;&gt;""),IF('설정 Settings'!$C$15-$B156&gt;='설정 Settings'!$C$62,"후속 연락 필요",""),"")</f>
      </c>
    </row>
    <row r="157" spans="15:17" x14ac:dyDescent="0.25">
      <c r="O157" s="40">
        <f>IF(AND($L157="Y",$J157&lt;&gt;""),$J157+'설정 Settings'!$C$18,"")</f>
      </c>
      <c r="P157" s="41">
        <f>IF($H157="","",$H157-ROUND(IFERROR($H157*VLOOKUP($G157,'설정 Settings'!$A$122:$F$130,4,0)+VLOOKUP($G157,'설정 Settings'!$A$122:$F$130,5,0),0),2))</f>
      </c>
      <c r="Q157" s="42">
        <f>IF(AND($I157="OPEN",$B157&lt;&gt;""),IF('설정 Settings'!$C$15-$B157&gt;='설정 Settings'!$C$62,"후속 연락 필요",""),"")</f>
      </c>
    </row>
    <row r="158" spans="15:17" x14ac:dyDescent="0.25">
      <c r="O158" s="40">
        <f>IF(AND($L158="Y",$J158&lt;&gt;""),$J158+'설정 Settings'!$C$18,"")</f>
      </c>
      <c r="P158" s="41">
        <f>IF($H158="","",$H158-ROUND(IFERROR($H158*VLOOKUP($G158,'설정 Settings'!$A$122:$F$130,4,0)+VLOOKUP($G158,'설정 Settings'!$A$122:$F$130,5,0),0),2))</f>
      </c>
      <c r="Q158" s="42">
        <f>IF(AND($I158="OPEN",$B158&lt;&gt;""),IF('설정 Settings'!$C$15-$B158&gt;='설정 Settings'!$C$62,"후속 연락 필요",""),"")</f>
      </c>
    </row>
    <row r="159" spans="15:17" x14ac:dyDescent="0.25">
      <c r="O159" s="40">
        <f>IF(AND($L159="Y",$J159&lt;&gt;""),$J159+'설정 Settings'!$C$18,"")</f>
      </c>
      <c r="P159" s="41">
        <f>IF($H159="","",$H159-ROUND(IFERROR($H159*VLOOKUP($G159,'설정 Settings'!$A$122:$F$130,4,0)+VLOOKUP($G159,'설정 Settings'!$A$122:$F$130,5,0),0),2))</f>
      </c>
      <c r="Q159" s="42">
        <f>IF(AND($I159="OPEN",$B159&lt;&gt;""),IF('설정 Settings'!$C$15-$B159&gt;='설정 Settings'!$C$62,"후속 연락 필요",""),"")</f>
      </c>
    </row>
    <row r="160" spans="15:17" x14ac:dyDescent="0.25">
      <c r="O160" s="40">
        <f>IF(AND($L160="Y",$J160&lt;&gt;""),$J160+'설정 Settings'!$C$18,"")</f>
      </c>
      <c r="P160" s="41">
        <f>IF($H160="","",$H160-ROUND(IFERROR($H160*VLOOKUP($G160,'설정 Settings'!$A$122:$F$130,4,0)+VLOOKUP($G160,'설정 Settings'!$A$122:$F$130,5,0),0),2))</f>
      </c>
      <c r="Q160" s="42">
        <f>IF(AND($I160="OPEN",$B160&lt;&gt;""),IF('설정 Settings'!$C$15-$B160&gt;='설정 Settings'!$C$62,"후속 연락 필요",""),"")</f>
      </c>
    </row>
    <row r="161" spans="15:17" x14ac:dyDescent="0.25">
      <c r="O161" s="40">
        <f>IF(AND($L161="Y",$J161&lt;&gt;""),$J161+'설정 Settings'!$C$18,"")</f>
      </c>
      <c r="P161" s="41">
        <f>IF($H161="","",$H161-ROUND(IFERROR($H161*VLOOKUP($G161,'설정 Settings'!$A$122:$F$130,4,0)+VLOOKUP($G161,'설정 Settings'!$A$122:$F$130,5,0),0),2))</f>
      </c>
      <c r="Q161" s="42">
        <f>IF(AND($I161="OPEN",$B161&lt;&gt;""),IF('설정 Settings'!$C$15-$B161&gt;='설정 Settings'!$C$62,"후속 연락 필요",""),"")</f>
      </c>
    </row>
    <row r="162" spans="15:17" x14ac:dyDescent="0.25">
      <c r="O162" s="40">
        <f>IF(AND($L162="Y",$J162&lt;&gt;""),$J162+'설정 Settings'!$C$18,"")</f>
      </c>
      <c r="P162" s="41">
        <f>IF($H162="","",$H162-ROUND(IFERROR($H162*VLOOKUP($G162,'설정 Settings'!$A$122:$F$130,4,0)+VLOOKUP($G162,'설정 Settings'!$A$122:$F$130,5,0),0),2))</f>
      </c>
      <c r="Q162" s="42">
        <f>IF(AND($I162="OPEN",$B162&lt;&gt;""),IF('설정 Settings'!$C$15-$B162&gt;='설정 Settings'!$C$62,"후속 연락 필요",""),"")</f>
      </c>
    </row>
    <row r="163" spans="15:17" x14ac:dyDescent="0.25">
      <c r="O163" s="40">
        <f>IF(AND($L163="Y",$J163&lt;&gt;""),$J163+'설정 Settings'!$C$18,"")</f>
      </c>
      <c r="P163" s="41">
        <f>IF($H163="","",$H163-ROUND(IFERROR($H163*VLOOKUP($G163,'설정 Settings'!$A$122:$F$130,4,0)+VLOOKUP($G163,'설정 Settings'!$A$122:$F$130,5,0),0),2))</f>
      </c>
      <c r="Q163" s="42">
        <f>IF(AND($I163="OPEN",$B163&lt;&gt;""),IF('설정 Settings'!$C$15-$B163&gt;='설정 Settings'!$C$62,"후속 연락 필요",""),"")</f>
      </c>
    </row>
    <row r="164" spans="15:17" x14ac:dyDescent="0.25">
      <c r="O164" s="40">
        <f>IF(AND($L164="Y",$J164&lt;&gt;""),$J164+'설정 Settings'!$C$18,"")</f>
      </c>
      <c r="P164" s="41">
        <f>IF($H164="","",$H164-ROUND(IFERROR($H164*VLOOKUP($G164,'설정 Settings'!$A$122:$F$130,4,0)+VLOOKUP($G164,'설정 Settings'!$A$122:$F$130,5,0),0),2))</f>
      </c>
      <c r="Q164" s="42">
        <f>IF(AND($I164="OPEN",$B164&lt;&gt;""),IF('설정 Settings'!$C$15-$B164&gt;='설정 Settings'!$C$62,"후속 연락 필요",""),"")</f>
      </c>
    </row>
    <row r="165" spans="15:17" x14ac:dyDescent="0.25">
      <c r="O165" s="40">
        <f>IF(AND($L165="Y",$J165&lt;&gt;""),$J165+'설정 Settings'!$C$18,"")</f>
      </c>
      <c r="P165" s="41">
        <f>IF($H165="","",$H165-ROUND(IFERROR($H165*VLOOKUP($G165,'설정 Settings'!$A$122:$F$130,4,0)+VLOOKUP($G165,'설정 Settings'!$A$122:$F$130,5,0),0),2))</f>
      </c>
      <c r="Q165" s="42">
        <f>IF(AND($I165="OPEN",$B165&lt;&gt;""),IF('설정 Settings'!$C$15-$B165&gt;='설정 Settings'!$C$62,"후속 연락 필요",""),"")</f>
      </c>
    </row>
    <row r="166" spans="15:17" x14ac:dyDescent="0.25">
      <c r="O166" s="40">
        <f>IF(AND($L166="Y",$J166&lt;&gt;""),$J166+'설정 Settings'!$C$18,"")</f>
      </c>
      <c r="P166" s="41">
        <f>IF($H166="","",$H166-ROUND(IFERROR($H166*VLOOKUP($G166,'설정 Settings'!$A$122:$F$130,4,0)+VLOOKUP($G166,'설정 Settings'!$A$122:$F$130,5,0),0),2))</f>
      </c>
      <c r="Q166" s="42">
        <f>IF(AND($I166="OPEN",$B166&lt;&gt;""),IF('설정 Settings'!$C$15-$B166&gt;='설정 Settings'!$C$62,"후속 연락 필요",""),"")</f>
      </c>
    </row>
    <row r="167" spans="15:17" x14ac:dyDescent="0.25">
      <c r="O167" s="40">
        <f>IF(AND($L167="Y",$J167&lt;&gt;""),$J167+'설정 Settings'!$C$18,"")</f>
      </c>
      <c r="P167" s="41">
        <f>IF($H167="","",$H167-ROUND(IFERROR($H167*VLOOKUP($G167,'설정 Settings'!$A$122:$F$130,4,0)+VLOOKUP($G167,'설정 Settings'!$A$122:$F$130,5,0),0),2))</f>
      </c>
      <c r="Q167" s="42">
        <f>IF(AND($I167="OPEN",$B167&lt;&gt;""),IF('설정 Settings'!$C$15-$B167&gt;='설정 Settings'!$C$62,"후속 연락 필요",""),"")</f>
      </c>
    </row>
    <row r="168" spans="15:17" x14ac:dyDescent="0.25">
      <c r="O168" s="40">
        <f>IF(AND($L168="Y",$J168&lt;&gt;""),$J168+'설정 Settings'!$C$18,"")</f>
      </c>
      <c r="P168" s="41">
        <f>IF($H168="","",$H168-ROUND(IFERROR($H168*VLOOKUP($G168,'설정 Settings'!$A$122:$F$130,4,0)+VLOOKUP($G168,'설정 Settings'!$A$122:$F$130,5,0),0),2))</f>
      </c>
      <c r="Q168" s="42">
        <f>IF(AND($I168="OPEN",$B168&lt;&gt;""),IF('설정 Settings'!$C$15-$B168&gt;='설정 Settings'!$C$62,"후속 연락 필요",""),"")</f>
      </c>
    </row>
    <row r="169" spans="15:17" x14ac:dyDescent="0.25">
      <c r="O169" s="40">
        <f>IF(AND($L169="Y",$J169&lt;&gt;""),$J169+'설정 Settings'!$C$18,"")</f>
      </c>
      <c r="P169" s="41">
        <f>IF($H169="","",$H169-ROUND(IFERROR($H169*VLOOKUP($G169,'설정 Settings'!$A$122:$F$130,4,0)+VLOOKUP($G169,'설정 Settings'!$A$122:$F$130,5,0),0),2))</f>
      </c>
      <c r="Q169" s="42">
        <f>IF(AND($I169="OPEN",$B169&lt;&gt;""),IF('설정 Settings'!$C$15-$B169&gt;='설정 Settings'!$C$62,"후속 연락 필요",""),"")</f>
      </c>
    </row>
    <row r="170" spans="15:17" x14ac:dyDescent="0.25">
      <c r="O170" s="40">
        <f>IF(AND($L170="Y",$J170&lt;&gt;""),$J170+'설정 Settings'!$C$18,"")</f>
      </c>
      <c r="P170" s="41">
        <f>IF($H170="","",$H170-ROUND(IFERROR($H170*VLOOKUP($G170,'설정 Settings'!$A$122:$F$130,4,0)+VLOOKUP($G170,'설정 Settings'!$A$122:$F$130,5,0),0),2))</f>
      </c>
      <c r="Q170" s="42">
        <f>IF(AND($I170="OPEN",$B170&lt;&gt;""),IF('설정 Settings'!$C$15-$B170&gt;='설정 Settings'!$C$62,"후속 연락 필요",""),"")</f>
      </c>
    </row>
    <row r="171" spans="15:17" x14ac:dyDescent="0.25">
      <c r="O171" s="40">
        <f>IF(AND($L171="Y",$J171&lt;&gt;""),$J171+'설정 Settings'!$C$18,"")</f>
      </c>
      <c r="P171" s="41">
        <f>IF($H171="","",$H171-ROUND(IFERROR($H171*VLOOKUP($G171,'설정 Settings'!$A$122:$F$130,4,0)+VLOOKUP($G171,'설정 Settings'!$A$122:$F$130,5,0),0),2))</f>
      </c>
      <c r="Q171" s="42">
        <f>IF(AND($I171="OPEN",$B171&lt;&gt;""),IF('설정 Settings'!$C$15-$B171&gt;='설정 Settings'!$C$62,"후속 연락 필요",""),"")</f>
      </c>
    </row>
    <row r="172" spans="15:17" x14ac:dyDescent="0.25">
      <c r="O172" s="40">
        <f>IF(AND($L172="Y",$J172&lt;&gt;""),$J172+'설정 Settings'!$C$18,"")</f>
      </c>
      <c r="P172" s="41">
        <f>IF($H172="","",$H172-ROUND(IFERROR($H172*VLOOKUP($G172,'설정 Settings'!$A$122:$F$130,4,0)+VLOOKUP($G172,'설정 Settings'!$A$122:$F$130,5,0),0),2))</f>
      </c>
      <c r="Q172" s="42">
        <f>IF(AND($I172="OPEN",$B172&lt;&gt;""),IF('설정 Settings'!$C$15-$B172&gt;='설정 Settings'!$C$62,"후속 연락 필요",""),"")</f>
      </c>
    </row>
    <row r="173" spans="15:17" x14ac:dyDescent="0.25">
      <c r="O173" s="40">
        <f>IF(AND($L173="Y",$J173&lt;&gt;""),$J173+'설정 Settings'!$C$18,"")</f>
      </c>
      <c r="P173" s="41">
        <f>IF($H173="","",$H173-ROUND(IFERROR($H173*VLOOKUP($G173,'설정 Settings'!$A$122:$F$130,4,0)+VLOOKUP($G173,'설정 Settings'!$A$122:$F$130,5,0),0),2))</f>
      </c>
      <c r="Q173" s="42">
        <f>IF(AND($I173="OPEN",$B173&lt;&gt;""),IF('설정 Settings'!$C$15-$B173&gt;='설정 Settings'!$C$62,"후속 연락 필요",""),"")</f>
      </c>
    </row>
    <row r="174" spans="15:17" x14ac:dyDescent="0.25">
      <c r="O174" s="40">
        <f>IF(AND($L174="Y",$J174&lt;&gt;""),$J174+'설정 Settings'!$C$18,"")</f>
      </c>
      <c r="P174" s="41">
        <f>IF($H174="","",$H174-ROUND(IFERROR($H174*VLOOKUP($G174,'설정 Settings'!$A$122:$F$130,4,0)+VLOOKUP($G174,'설정 Settings'!$A$122:$F$130,5,0),0),2))</f>
      </c>
      <c r="Q174" s="42">
        <f>IF(AND($I174="OPEN",$B174&lt;&gt;""),IF('설정 Settings'!$C$15-$B174&gt;='설정 Settings'!$C$62,"후속 연락 필요",""),"")</f>
      </c>
    </row>
    <row r="175" spans="15:17" x14ac:dyDescent="0.25">
      <c r="O175" s="40">
        <f>IF(AND($L175="Y",$J175&lt;&gt;""),$J175+'설정 Settings'!$C$18,"")</f>
      </c>
      <c r="P175" s="41">
        <f>IF($H175="","",$H175-ROUND(IFERROR($H175*VLOOKUP($G175,'설정 Settings'!$A$122:$F$130,4,0)+VLOOKUP($G175,'설정 Settings'!$A$122:$F$130,5,0),0),2))</f>
      </c>
      <c r="Q175" s="42">
        <f>IF(AND($I175="OPEN",$B175&lt;&gt;""),IF('설정 Settings'!$C$15-$B175&gt;='설정 Settings'!$C$62,"후속 연락 필요",""),"")</f>
      </c>
    </row>
    <row r="176" spans="15:17" x14ac:dyDescent="0.25">
      <c r="O176" s="40">
        <f>IF(AND($L176="Y",$J176&lt;&gt;""),$J176+'설정 Settings'!$C$18,"")</f>
      </c>
      <c r="P176" s="41">
        <f>IF($H176="","",$H176-ROUND(IFERROR($H176*VLOOKUP($G176,'설정 Settings'!$A$122:$F$130,4,0)+VLOOKUP($G176,'설정 Settings'!$A$122:$F$130,5,0),0),2))</f>
      </c>
      <c r="Q176" s="42">
        <f>IF(AND($I176="OPEN",$B176&lt;&gt;""),IF('설정 Settings'!$C$15-$B176&gt;='설정 Settings'!$C$62,"후속 연락 필요",""),"")</f>
      </c>
    </row>
    <row r="177" spans="15:17" x14ac:dyDescent="0.25">
      <c r="O177" s="40">
        <f>IF(AND($L177="Y",$J177&lt;&gt;""),$J177+'설정 Settings'!$C$18,"")</f>
      </c>
      <c r="P177" s="41">
        <f>IF($H177="","",$H177-ROUND(IFERROR($H177*VLOOKUP($G177,'설정 Settings'!$A$122:$F$130,4,0)+VLOOKUP($G177,'설정 Settings'!$A$122:$F$130,5,0),0),2))</f>
      </c>
      <c r="Q177" s="42">
        <f>IF(AND($I177="OPEN",$B177&lt;&gt;""),IF('설정 Settings'!$C$15-$B177&gt;='설정 Settings'!$C$62,"후속 연락 필요",""),"")</f>
      </c>
    </row>
    <row r="178" spans="15:17" x14ac:dyDescent="0.25">
      <c r="O178" s="40">
        <f>IF(AND($L178="Y",$J178&lt;&gt;""),$J178+'설정 Settings'!$C$18,"")</f>
      </c>
      <c r="P178" s="41">
        <f>IF($H178="","",$H178-ROUND(IFERROR($H178*VLOOKUP($G178,'설정 Settings'!$A$122:$F$130,4,0)+VLOOKUP($G178,'설정 Settings'!$A$122:$F$130,5,0),0),2))</f>
      </c>
      <c r="Q178" s="42">
        <f>IF(AND($I178="OPEN",$B178&lt;&gt;""),IF('설정 Settings'!$C$15-$B178&gt;='설정 Settings'!$C$62,"후속 연락 필요",""),"")</f>
      </c>
    </row>
    <row r="179" spans="15:17" x14ac:dyDescent="0.25">
      <c r="O179" s="40">
        <f>IF(AND($L179="Y",$J179&lt;&gt;""),$J179+'설정 Settings'!$C$18,"")</f>
      </c>
      <c r="P179" s="41">
        <f>IF($H179="","",$H179-ROUND(IFERROR($H179*VLOOKUP($G179,'설정 Settings'!$A$122:$F$130,4,0)+VLOOKUP($G179,'설정 Settings'!$A$122:$F$130,5,0),0),2))</f>
      </c>
      <c r="Q179" s="42">
        <f>IF(AND($I179="OPEN",$B179&lt;&gt;""),IF('설정 Settings'!$C$15-$B179&gt;='설정 Settings'!$C$62,"후속 연락 필요",""),"")</f>
      </c>
    </row>
    <row r="180" spans="15:17" x14ac:dyDescent="0.25">
      <c r="O180" s="40">
        <f>IF(AND($L180="Y",$J180&lt;&gt;""),$J180+'설정 Settings'!$C$18,"")</f>
      </c>
      <c r="P180" s="41">
        <f>IF($H180="","",$H180-ROUND(IFERROR($H180*VLOOKUP($G180,'설정 Settings'!$A$122:$F$130,4,0)+VLOOKUP($G180,'설정 Settings'!$A$122:$F$130,5,0),0),2))</f>
      </c>
      <c r="Q180" s="42">
        <f>IF(AND($I180="OPEN",$B180&lt;&gt;""),IF('설정 Settings'!$C$15-$B180&gt;='설정 Settings'!$C$62,"후속 연락 필요",""),"")</f>
      </c>
    </row>
    <row r="181" spans="15:17" x14ac:dyDescent="0.25">
      <c r="O181" s="40">
        <f>IF(AND($L181="Y",$J181&lt;&gt;""),$J181+'설정 Settings'!$C$18,"")</f>
      </c>
      <c r="P181" s="41">
        <f>IF($H181="","",$H181-ROUND(IFERROR($H181*VLOOKUP($G181,'설정 Settings'!$A$122:$F$130,4,0)+VLOOKUP($G181,'설정 Settings'!$A$122:$F$130,5,0),0),2))</f>
      </c>
      <c r="Q181" s="42">
        <f>IF(AND($I181="OPEN",$B181&lt;&gt;""),IF('설정 Settings'!$C$15-$B181&gt;='설정 Settings'!$C$62,"후속 연락 필요",""),"")</f>
      </c>
    </row>
    <row r="182" spans="15:17" x14ac:dyDescent="0.25">
      <c r="O182" s="40">
        <f>IF(AND($L182="Y",$J182&lt;&gt;""),$J182+'설정 Settings'!$C$18,"")</f>
      </c>
      <c r="P182" s="41">
        <f>IF($H182="","",$H182-ROUND(IFERROR($H182*VLOOKUP($G182,'설정 Settings'!$A$122:$F$130,4,0)+VLOOKUP($G182,'설정 Settings'!$A$122:$F$130,5,0),0),2))</f>
      </c>
      <c r="Q182" s="42">
        <f>IF(AND($I182="OPEN",$B182&lt;&gt;""),IF('설정 Settings'!$C$15-$B182&gt;='설정 Settings'!$C$62,"후속 연락 필요",""),"")</f>
      </c>
    </row>
    <row r="183" spans="15:17" x14ac:dyDescent="0.25">
      <c r="O183" s="40">
        <f>IF(AND($L183="Y",$J183&lt;&gt;""),$J183+'설정 Settings'!$C$18,"")</f>
      </c>
      <c r="P183" s="41">
        <f>IF($H183="","",$H183-ROUND(IFERROR($H183*VLOOKUP($G183,'설정 Settings'!$A$122:$F$130,4,0)+VLOOKUP($G183,'설정 Settings'!$A$122:$F$130,5,0),0),2))</f>
      </c>
      <c r="Q183" s="42">
        <f>IF(AND($I183="OPEN",$B183&lt;&gt;""),IF('설정 Settings'!$C$15-$B183&gt;='설정 Settings'!$C$62,"후속 연락 필요",""),"")</f>
      </c>
    </row>
    <row r="184" spans="15:17" x14ac:dyDescent="0.25">
      <c r="O184" s="40">
        <f>IF(AND($L184="Y",$J184&lt;&gt;""),$J184+'설정 Settings'!$C$18,"")</f>
      </c>
      <c r="P184" s="41">
        <f>IF($H184="","",$H184-ROUND(IFERROR($H184*VLOOKUP($G184,'설정 Settings'!$A$122:$F$130,4,0)+VLOOKUP($G184,'설정 Settings'!$A$122:$F$130,5,0),0),2))</f>
      </c>
      <c r="Q184" s="42">
        <f>IF(AND($I184="OPEN",$B184&lt;&gt;""),IF('설정 Settings'!$C$15-$B184&gt;='설정 Settings'!$C$62,"후속 연락 필요",""),"")</f>
      </c>
    </row>
    <row r="185" spans="15:17" x14ac:dyDescent="0.25">
      <c r="O185" s="40">
        <f>IF(AND($L185="Y",$J185&lt;&gt;""),$J185+'설정 Settings'!$C$18,"")</f>
      </c>
      <c r="P185" s="41">
        <f>IF($H185="","",$H185-ROUND(IFERROR($H185*VLOOKUP($G185,'설정 Settings'!$A$122:$F$130,4,0)+VLOOKUP($G185,'설정 Settings'!$A$122:$F$130,5,0),0),2))</f>
      </c>
      <c r="Q185" s="42">
        <f>IF(AND($I185="OPEN",$B185&lt;&gt;""),IF('설정 Settings'!$C$15-$B185&gt;='설정 Settings'!$C$62,"후속 연락 필요",""),"")</f>
      </c>
    </row>
    <row r="186" spans="15:17" x14ac:dyDescent="0.25">
      <c r="O186" s="40">
        <f>IF(AND($L186="Y",$J186&lt;&gt;""),$J186+'설정 Settings'!$C$18,"")</f>
      </c>
      <c r="P186" s="41">
        <f>IF($H186="","",$H186-ROUND(IFERROR($H186*VLOOKUP($G186,'설정 Settings'!$A$122:$F$130,4,0)+VLOOKUP($G186,'설정 Settings'!$A$122:$F$130,5,0),0),2))</f>
      </c>
      <c r="Q186" s="42">
        <f>IF(AND($I186="OPEN",$B186&lt;&gt;""),IF('설정 Settings'!$C$15-$B186&gt;='설정 Settings'!$C$62,"후속 연락 필요",""),"")</f>
      </c>
    </row>
    <row r="187" spans="15:17" x14ac:dyDescent="0.25">
      <c r="O187" s="40">
        <f>IF(AND($L187="Y",$J187&lt;&gt;""),$J187+'설정 Settings'!$C$18,"")</f>
      </c>
      <c r="P187" s="41">
        <f>IF($H187="","",$H187-ROUND(IFERROR($H187*VLOOKUP($G187,'설정 Settings'!$A$122:$F$130,4,0)+VLOOKUP($G187,'설정 Settings'!$A$122:$F$130,5,0),0),2))</f>
      </c>
      <c r="Q187" s="42">
        <f>IF(AND($I187="OPEN",$B187&lt;&gt;""),IF('설정 Settings'!$C$15-$B187&gt;='설정 Settings'!$C$62,"후속 연락 필요",""),"")</f>
      </c>
    </row>
    <row r="188" spans="15:17" x14ac:dyDescent="0.25">
      <c r="O188" s="40">
        <f>IF(AND($L188="Y",$J188&lt;&gt;""),$J188+'설정 Settings'!$C$18,"")</f>
      </c>
      <c r="P188" s="41">
        <f>IF($H188="","",$H188-ROUND(IFERROR($H188*VLOOKUP($G188,'설정 Settings'!$A$122:$F$130,4,0)+VLOOKUP($G188,'설정 Settings'!$A$122:$F$130,5,0),0),2))</f>
      </c>
      <c r="Q188" s="42">
        <f>IF(AND($I188="OPEN",$B188&lt;&gt;""),IF('설정 Settings'!$C$15-$B188&gt;='설정 Settings'!$C$62,"후속 연락 필요",""),"")</f>
      </c>
    </row>
    <row r="189" spans="15:17" x14ac:dyDescent="0.25">
      <c r="O189" s="40">
        <f>IF(AND($L189="Y",$J189&lt;&gt;""),$J189+'설정 Settings'!$C$18,"")</f>
      </c>
      <c r="P189" s="41">
        <f>IF($H189="","",$H189-ROUND(IFERROR($H189*VLOOKUP($G189,'설정 Settings'!$A$122:$F$130,4,0)+VLOOKUP($G189,'설정 Settings'!$A$122:$F$130,5,0),0),2))</f>
      </c>
      <c r="Q189" s="42">
        <f>IF(AND($I189="OPEN",$B189&lt;&gt;""),IF('설정 Settings'!$C$15-$B189&gt;='설정 Settings'!$C$62,"후속 연락 필요",""),"")</f>
      </c>
    </row>
    <row r="190" spans="15:17" x14ac:dyDescent="0.25">
      <c r="O190" s="40">
        <f>IF(AND($L190="Y",$J190&lt;&gt;""),$J190+'설정 Settings'!$C$18,"")</f>
      </c>
      <c r="P190" s="41">
        <f>IF($H190="","",$H190-ROUND(IFERROR($H190*VLOOKUP($G190,'설정 Settings'!$A$122:$F$130,4,0)+VLOOKUP($G190,'설정 Settings'!$A$122:$F$130,5,0),0),2))</f>
      </c>
      <c r="Q190" s="42">
        <f>IF(AND($I190="OPEN",$B190&lt;&gt;""),IF('설정 Settings'!$C$15-$B190&gt;='설정 Settings'!$C$62,"후속 연락 필요",""),"")</f>
      </c>
    </row>
    <row r="191" spans="15:17" x14ac:dyDescent="0.25">
      <c r="O191" s="40">
        <f>IF(AND($L191="Y",$J191&lt;&gt;""),$J191+'설정 Settings'!$C$18,"")</f>
      </c>
      <c r="P191" s="41">
        <f>IF($H191="","",$H191-ROUND(IFERROR($H191*VLOOKUP($G191,'설정 Settings'!$A$122:$F$130,4,0)+VLOOKUP($G191,'설정 Settings'!$A$122:$F$130,5,0),0),2))</f>
      </c>
      <c r="Q191" s="42">
        <f>IF(AND($I191="OPEN",$B191&lt;&gt;""),IF('설정 Settings'!$C$15-$B191&gt;='설정 Settings'!$C$62,"후속 연락 필요",""),"")</f>
      </c>
    </row>
    <row r="192" spans="15:17" x14ac:dyDescent="0.25">
      <c r="O192" s="40">
        <f>IF(AND($L192="Y",$J192&lt;&gt;""),$J192+'설정 Settings'!$C$18,"")</f>
      </c>
      <c r="P192" s="41">
        <f>IF($H192="","",$H192-ROUND(IFERROR($H192*VLOOKUP($G192,'설정 Settings'!$A$122:$F$130,4,0)+VLOOKUP($G192,'설정 Settings'!$A$122:$F$130,5,0),0),2))</f>
      </c>
      <c r="Q192" s="42">
        <f>IF(AND($I192="OPEN",$B192&lt;&gt;""),IF('설정 Settings'!$C$15-$B192&gt;='설정 Settings'!$C$62,"후속 연락 필요",""),"")</f>
      </c>
    </row>
    <row r="193" spans="15:17" x14ac:dyDescent="0.25">
      <c r="O193" s="40">
        <f>IF(AND($L193="Y",$J193&lt;&gt;""),$J193+'설정 Settings'!$C$18,"")</f>
      </c>
      <c r="P193" s="41">
        <f>IF($H193="","",$H193-ROUND(IFERROR($H193*VLOOKUP($G193,'설정 Settings'!$A$122:$F$130,4,0)+VLOOKUP($G193,'설정 Settings'!$A$122:$F$130,5,0),0),2))</f>
      </c>
      <c r="Q193" s="42">
        <f>IF(AND($I193="OPEN",$B193&lt;&gt;""),IF('설정 Settings'!$C$15-$B193&gt;='설정 Settings'!$C$62,"후속 연락 필요",""),"")</f>
      </c>
    </row>
    <row r="194" spans="15:17" x14ac:dyDescent="0.25">
      <c r="O194" s="40">
        <f>IF(AND($L194="Y",$J194&lt;&gt;""),$J194+'설정 Settings'!$C$18,"")</f>
      </c>
      <c r="P194" s="41">
        <f>IF($H194="","",$H194-ROUND(IFERROR($H194*VLOOKUP($G194,'설정 Settings'!$A$122:$F$130,4,0)+VLOOKUP($G194,'설정 Settings'!$A$122:$F$130,5,0),0),2))</f>
      </c>
      <c r="Q194" s="42">
        <f>IF(AND($I194="OPEN",$B194&lt;&gt;""),IF('설정 Settings'!$C$15-$B194&gt;='설정 Settings'!$C$62,"후속 연락 필요",""),"")</f>
      </c>
    </row>
    <row r="195" spans="15:17" x14ac:dyDescent="0.25">
      <c r="O195" s="40">
        <f>IF(AND($L195="Y",$J195&lt;&gt;""),$J195+'설정 Settings'!$C$18,"")</f>
      </c>
      <c r="P195" s="41">
        <f>IF($H195="","",$H195-ROUND(IFERROR($H195*VLOOKUP($G195,'설정 Settings'!$A$122:$F$130,4,0)+VLOOKUP($G195,'설정 Settings'!$A$122:$F$130,5,0),0),2))</f>
      </c>
      <c r="Q195" s="42">
        <f>IF(AND($I195="OPEN",$B195&lt;&gt;""),IF('설정 Settings'!$C$15-$B195&gt;='설정 Settings'!$C$62,"후속 연락 필요",""),"")</f>
      </c>
    </row>
    <row r="196" spans="15:17" x14ac:dyDescent="0.25">
      <c r="O196" s="40">
        <f>IF(AND($L196="Y",$J196&lt;&gt;""),$J196+'설정 Settings'!$C$18,"")</f>
      </c>
      <c r="P196" s="41">
        <f>IF($H196="","",$H196-ROUND(IFERROR($H196*VLOOKUP($G196,'설정 Settings'!$A$122:$F$130,4,0)+VLOOKUP($G196,'설정 Settings'!$A$122:$F$130,5,0),0),2))</f>
      </c>
      <c r="Q196" s="42">
        <f>IF(AND($I196="OPEN",$B196&lt;&gt;""),IF('설정 Settings'!$C$15-$B196&gt;='설정 Settings'!$C$62,"후속 연락 필요",""),"")</f>
      </c>
    </row>
    <row r="197" spans="15:17" x14ac:dyDescent="0.25">
      <c r="O197" s="40">
        <f>IF(AND($L197="Y",$J197&lt;&gt;""),$J197+'설정 Settings'!$C$18,"")</f>
      </c>
      <c r="P197" s="41">
        <f>IF($H197="","",$H197-ROUND(IFERROR($H197*VLOOKUP($G197,'설정 Settings'!$A$122:$F$130,4,0)+VLOOKUP($G197,'설정 Settings'!$A$122:$F$130,5,0),0),2))</f>
      </c>
      <c r="Q197" s="42">
        <f>IF(AND($I197="OPEN",$B197&lt;&gt;""),IF('설정 Settings'!$C$15-$B197&gt;='설정 Settings'!$C$62,"후속 연락 필요",""),"")</f>
      </c>
    </row>
    <row r="198" spans="15:17" x14ac:dyDescent="0.25">
      <c r="O198" s="40">
        <f>IF(AND($L198="Y",$J198&lt;&gt;""),$J198+'설정 Settings'!$C$18,"")</f>
      </c>
      <c r="P198" s="41">
        <f>IF($H198="","",$H198-ROUND(IFERROR($H198*VLOOKUP($G198,'설정 Settings'!$A$122:$F$130,4,0)+VLOOKUP($G198,'설정 Settings'!$A$122:$F$130,5,0),0),2))</f>
      </c>
      <c r="Q198" s="42">
        <f>IF(AND($I198="OPEN",$B198&lt;&gt;""),IF('설정 Settings'!$C$15-$B198&gt;='설정 Settings'!$C$62,"후속 연락 필요",""),"")</f>
      </c>
    </row>
    <row r="199" spans="15:17" x14ac:dyDescent="0.25">
      <c r="O199" s="40">
        <f>IF(AND($L199="Y",$J199&lt;&gt;""),$J199+'설정 Settings'!$C$18,"")</f>
      </c>
      <c r="P199" s="41">
        <f>IF($H199="","",$H199-ROUND(IFERROR($H199*VLOOKUP($G199,'설정 Settings'!$A$122:$F$130,4,0)+VLOOKUP($G199,'설정 Settings'!$A$122:$F$130,5,0),0),2))</f>
      </c>
      <c r="Q199" s="42">
        <f>IF(AND($I199="OPEN",$B199&lt;&gt;""),IF('설정 Settings'!$C$15-$B199&gt;='설정 Settings'!$C$62,"후속 연락 필요",""),"")</f>
      </c>
    </row>
    <row r="200" spans="15:17" x14ac:dyDescent="0.25">
      <c r="O200" s="40">
        <f>IF(AND($L200="Y",$J200&lt;&gt;""),$J200+'설정 Settings'!$C$18,"")</f>
      </c>
      <c r="P200" s="41">
        <f>IF($H200="","",$H200-ROUND(IFERROR($H200*VLOOKUP($G200,'설정 Settings'!$A$122:$F$130,4,0)+VLOOKUP($G200,'설정 Settings'!$A$122:$F$130,5,0),0),2))</f>
      </c>
      <c r="Q200" s="42">
        <f>IF(AND($I200="OPEN",$B200&lt;&gt;""),IF('설정 Settings'!$C$15-$B200&gt;='설정 Settings'!$C$62,"후속 연락 필요",""),"")</f>
      </c>
    </row>
    <row r="201" spans="15:17" x14ac:dyDescent="0.25">
      <c r="O201" s="40">
        <f>IF(AND($L201="Y",$J201&lt;&gt;""),$J201+'설정 Settings'!$C$18,"")</f>
      </c>
      <c r="P201" s="41">
        <f>IF($H201="","",$H201-ROUND(IFERROR($H201*VLOOKUP($G201,'설정 Settings'!$A$122:$F$130,4,0)+VLOOKUP($G201,'설정 Settings'!$A$122:$F$130,5,0),0),2))</f>
      </c>
      <c r="Q201" s="42">
        <f>IF(AND($I201="OPEN",$B201&lt;&gt;""),IF('설정 Settings'!$C$15-$B201&gt;='설정 Settings'!$C$62,"후속 연락 필요",""),"")</f>
      </c>
    </row>
    <row r="202" spans="15:17" x14ac:dyDescent="0.25">
      <c r="O202" s="40">
        <f>IF(AND($L202="Y",$J202&lt;&gt;""),$J202+'설정 Settings'!$C$18,"")</f>
      </c>
      <c r="P202" s="41">
        <f>IF($H202="","",$H202-ROUND(IFERROR($H202*VLOOKUP($G202,'설정 Settings'!$A$122:$F$130,4,0)+VLOOKUP($G202,'설정 Settings'!$A$122:$F$130,5,0),0),2))</f>
      </c>
      <c r="Q202" s="42">
        <f>IF(AND($I202="OPEN",$B202&lt;&gt;""),IF('설정 Settings'!$C$15-$B202&gt;='설정 Settings'!$C$62,"후속 연락 필요",""),"")</f>
      </c>
    </row>
    <row r="203" spans="15:17" x14ac:dyDescent="0.25">
      <c r="O203" s="40">
        <f>IF(AND($L203="Y",$J203&lt;&gt;""),$J203+'설정 Settings'!$C$18,"")</f>
      </c>
      <c r="P203" s="41">
        <f>IF($H203="","",$H203-ROUND(IFERROR($H203*VLOOKUP($G203,'설정 Settings'!$A$122:$F$130,4,0)+VLOOKUP($G203,'설정 Settings'!$A$122:$F$130,5,0),0),2))</f>
      </c>
      <c r="Q203" s="42">
        <f>IF(AND($I203="OPEN",$B203&lt;&gt;""),IF('설정 Settings'!$C$15-$B203&gt;='설정 Settings'!$C$62,"후속 연락 필요",""),"")</f>
      </c>
    </row>
    <row r="204" spans="15:17" x14ac:dyDescent="0.25">
      <c r="O204" s="40">
        <f>IF(AND($L204="Y",$J204&lt;&gt;""),$J204+'설정 Settings'!$C$18,"")</f>
      </c>
      <c r="P204" s="41">
        <f>IF($H204="","",$H204-ROUND(IFERROR($H204*VLOOKUP($G204,'설정 Settings'!$A$122:$F$130,4,0)+VLOOKUP($G204,'설정 Settings'!$A$122:$F$130,5,0),0),2))</f>
      </c>
      <c r="Q204" s="42">
        <f>IF(AND($I204="OPEN",$B204&lt;&gt;""),IF('설정 Settings'!$C$15-$B204&gt;='설정 Settings'!$C$62,"후속 연락 필요",""),"")</f>
      </c>
    </row>
    <row r="205" spans="15:17" x14ac:dyDescent="0.25">
      <c r="O205" s="40">
        <f>IF(AND($L205="Y",$J205&lt;&gt;""),$J205+'설정 Settings'!$C$18,"")</f>
      </c>
      <c r="P205" s="41">
        <f>IF($H205="","",$H205-ROUND(IFERROR($H205*VLOOKUP($G205,'설정 Settings'!$A$122:$F$130,4,0)+VLOOKUP($G205,'설정 Settings'!$A$122:$F$130,5,0),0),2))</f>
      </c>
      <c r="Q205" s="42">
        <f>IF(AND($I205="OPEN",$B205&lt;&gt;""),IF('설정 Settings'!$C$15-$B205&gt;='설정 Settings'!$C$62,"후속 연락 필요",""),"")</f>
      </c>
    </row>
    <row r="206" spans="15:17" x14ac:dyDescent="0.25">
      <c r="O206" s="40">
        <f>IF(AND($L206="Y",$J206&lt;&gt;""),$J206+'설정 Settings'!$C$18,"")</f>
      </c>
      <c r="P206" s="41">
        <f>IF($H206="","",$H206-ROUND(IFERROR($H206*VLOOKUP($G206,'설정 Settings'!$A$122:$F$130,4,0)+VLOOKUP($G206,'설정 Settings'!$A$122:$F$130,5,0),0),2))</f>
      </c>
      <c r="Q206" s="42">
        <f>IF(AND($I206="OPEN",$B206&lt;&gt;""),IF('설정 Settings'!$C$15-$B206&gt;='설정 Settings'!$C$62,"후속 연락 필요",""),"")</f>
      </c>
    </row>
    <row r="207" spans="15:17" x14ac:dyDescent="0.25">
      <c r="O207" s="40">
        <f>IF(AND($L207="Y",$J207&lt;&gt;""),$J207+'설정 Settings'!$C$18,"")</f>
      </c>
      <c r="P207" s="41">
        <f>IF($H207="","",$H207-ROUND(IFERROR($H207*VLOOKUP($G207,'설정 Settings'!$A$122:$F$130,4,0)+VLOOKUP($G207,'설정 Settings'!$A$122:$F$130,5,0),0),2))</f>
      </c>
      <c r="Q207" s="42">
        <f>IF(AND($I207="OPEN",$B207&lt;&gt;""),IF('설정 Settings'!$C$15-$B207&gt;='설정 Settings'!$C$62,"후속 연락 필요",""),"")</f>
      </c>
    </row>
    <row r="208" spans="15:17" x14ac:dyDescent="0.25">
      <c r="O208" s="40">
        <f>IF(AND($L208="Y",$J208&lt;&gt;""),$J208+'설정 Settings'!$C$18,"")</f>
      </c>
      <c r="P208" s="41">
        <f>IF($H208="","",$H208-ROUND(IFERROR($H208*VLOOKUP($G208,'설정 Settings'!$A$122:$F$130,4,0)+VLOOKUP($G208,'설정 Settings'!$A$122:$F$130,5,0),0),2))</f>
      </c>
      <c r="Q208" s="42">
        <f>IF(AND($I208="OPEN",$B208&lt;&gt;""),IF('설정 Settings'!$C$15-$B208&gt;='설정 Settings'!$C$62,"후속 연락 필요",""),"")</f>
      </c>
    </row>
    <row r="209" spans="15:17" x14ac:dyDescent="0.25">
      <c r="O209" s="40">
        <f>IF(AND($L209="Y",$J209&lt;&gt;""),$J209+'설정 Settings'!$C$18,"")</f>
      </c>
      <c r="P209" s="41">
        <f>IF($H209="","",$H209-ROUND(IFERROR($H209*VLOOKUP($G209,'설정 Settings'!$A$122:$F$130,4,0)+VLOOKUP($G209,'설정 Settings'!$A$122:$F$130,5,0),0),2))</f>
      </c>
      <c r="Q209" s="42">
        <f>IF(AND($I209="OPEN",$B209&lt;&gt;""),IF('설정 Settings'!$C$15-$B209&gt;='설정 Settings'!$C$62,"후속 연락 필요",""),"")</f>
      </c>
    </row>
    <row r="210" spans="15:17" x14ac:dyDescent="0.25">
      <c r="O210" s="40">
        <f>IF(AND($L210="Y",$J210&lt;&gt;""),$J210+'설정 Settings'!$C$18,"")</f>
      </c>
      <c r="P210" s="41">
        <f>IF($H210="","",$H210-ROUND(IFERROR($H210*VLOOKUP($G210,'설정 Settings'!$A$122:$F$130,4,0)+VLOOKUP($G210,'설정 Settings'!$A$122:$F$130,5,0),0),2))</f>
      </c>
      <c r="Q210" s="42">
        <f>IF(AND($I210="OPEN",$B210&lt;&gt;""),IF('설정 Settings'!$C$15-$B210&gt;='설정 Settings'!$C$62,"후속 연락 필요",""),"")</f>
      </c>
    </row>
    <row r="211" spans="15:17" x14ac:dyDescent="0.25">
      <c r="O211" s="40">
        <f>IF(AND($L211="Y",$J211&lt;&gt;""),$J211+'설정 Settings'!$C$18,"")</f>
      </c>
      <c r="P211" s="41">
        <f>IF($H211="","",$H211-ROUND(IFERROR($H211*VLOOKUP($G211,'설정 Settings'!$A$122:$F$130,4,0)+VLOOKUP($G211,'설정 Settings'!$A$122:$F$130,5,0),0),2))</f>
      </c>
      <c r="Q211" s="42">
        <f>IF(AND($I211="OPEN",$B211&lt;&gt;""),IF('설정 Settings'!$C$15-$B211&gt;='설정 Settings'!$C$62,"후속 연락 필요",""),"")</f>
      </c>
    </row>
    <row r="212" spans="15:17" x14ac:dyDescent="0.25">
      <c r="O212" s="40">
        <f>IF(AND($L212="Y",$J212&lt;&gt;""),$J212+'설정 Settings'!$C$18,"")</f>
      </c>
      <c r="P212" s="41">
        <f>IF($H212="","",$H212-ROUND(IFERROR($H212*VLOOKUP($G212,'설정 Settings'!$A$122:$F$130,4,0)+VLOOKUP($G212,'설정 Settings'!$A$122:$F$130,5,0),0),2))</f>
      </c>
      <c r="Q212" s="42">
        <f>IF(AND($I212="OPEN",$B212&lt;&gt;""),IF('설정 Settings'!$C$15-$B212&gt;='설정 Settings'!$C$62,"후속 연락 필요",""),"")</f>
      </c>
    </row>
    <row r="213" spans="15:17" x14ac:dyDescent="0.25">
      <c r="O213" s="40">
        <f>IF(AND($L213="Y",$J213&lt;&gt;""),$J213+'설정 Settings'!$C$18,"")</f>
      </c>
      <c r="P213" s="41">
        <f>IF($H213="","",$H213-ROUND(IFERROR($H213*VLOOKUP($G213,'설정 Settings'!$A$122:$F$130,4,0)+VLOOKUP($G213,'설정 Settings'!$A$122:$F$130,5,0),0),2))</f>
      </c>
      <c r="Q213" s="42">
        <f>IF(AND($I213="OPEN",$B213&lt;&gt;""),IF('설정 Settings'!$C$15-$B213&gt;='설정 Settings'!$C$62,"후속 연락 필요",""),"")</f>
      </c>
    </row>
    <row r="214" spans="15:17" x14ac:dyDescent="0.25">
      <c r="O214" s="40">
        <f>IF(AND($L214="Y",$J214&lt;&gt;""),$J214+'설정 Settings'!$C$18,"")</f>
      </c>
      <c r="P214" s="41">
        <f>IF($H214="","",$H214-ROUND(IFERROR($H214*VLOOKUP($G214,'설정 Settings'!$A$122:$F$130,4,0)+VLOOKUP($G214,'설정 Settings'!$A$122:$F$130,5,0),0),2))</f>
      </c>
      <c r="Q214" s="42">
        <f>IF(AND($I214="OPEN",$B214&lt;&gt;""),IF('설정 Settings'!$C$15-$B214&gt;='설정 Settings'!$C$62,"후속 연락 필요",""),"")</f>
      </c>
    </row>
    <row r="215" spans="15:17" x14ac:dyDescent="0.25">
      <c r="O215" s="40">
        <f>IF(AND($L215="Y",$J215&lt;&gt;""),$J215+'설정 Settings'!$C$18,"")</f>
      </c>
      <c r="P215" s="41">
        <f>IF($H215="","",$H215-ROUND(IFERROR($H215*VLOOKUP($G215,'설정 Settings'!$A$122:$F$130,4,0)+VLOOKUP($G215,'설정 Settings'!$A$122:$F$130,5,0),0),2))</f>
      </c>
      <c r="Q215" s="42">
        <f>IF(AND($I215="OPEN",$B215&lt;&gt;""),IF('설정 Settings'!$C$15-$B215&gt;='설정 Settings'!$C$62,"후속 연락 필요",""),"")</f>
      </c>
    </row>
    <row r="216" spans="15:17" x14ac:dyDescent="0.25">
      <c r="O216" s="40">
        <f>IF(AND($L216="Y",$J216&lt;&gt;""),$J216+'설정 Settings'!$C$18,"")</f>
      </c>
      <c r="P216" s="41">
        <f>IF($H216="","",$H216-ROUND(IFERROR($H216*VLOOKUP($G216,'설정 Settings'!$A$122:$F$130,4,0)+VLOOKUP($G216,'설정 Settings'!$A$122:$F$130,5,0),0),2))</f>
      </c>
      <c r="Q216" s="42">
        <f>IF(AND($I216="OPEN",$B216&lt;&gt;""),IF('설정 Settings'!$C$15-$B216&gt;='설정 Settings'!$C$62,"후속 연락 필요",""),"")</f>
      </c>
    </row>
    <row r="217" spans="15:17" x14ac:dyDescent="0.25">
      <c r="O217" s="40">
        <f>IF(AND($L217="Y",$J217&lt;&gt;""),$J217+'설정 Settings'!$C$18,"")</f>
      </c>
      <c r="P217" s="41">
        <f>IF($H217="","",$H217-ROUND(IFERROR($H217*VLOOKUP($G217,'설정 Settings'!$A$122:$F$130,4,0)+VLOOKUP($G217,'설정 Settings'!$A$122:$F$130,5,0),0),2))</f>
      </c>
      <c r="Q217" s="42">
        <f>IF(AND($I217="OPEN",$B217&lt;&gt;""),IF('설정 Settings'!$C$15-$B217&gt;='설정 Settings'!$C$62,"후속 연락 필요",""),"")</f>
      </c>
    </row>
    <row r="218" spans="15:17" x14ac:dyDescent="0.25">
      <c r="O218" s="40">
        <f>IF(AND($L218="Y",$J218&lt;&gt;""),$J218+'설정 Settings'!$C$18,"")</f>
      </c>
      <c r="P218" s="41">
        <f>IF($H218="","",$H218-ROUND(IFERROR($H218*VLOOKUP($G218,'설정 Settings'!$A$122:$F$130,4,0)+VLOOKUP($G218,'설정 Settings'!$A$122:$F$130,5,0),0),2))</f>
      </c>
      <c r="Q218" s="42">
        <f>IF(AND($I218="OPEN",$B218&lt;&gt;""),IF('설정 Settings'!$C$15-$B218&gt;='설정 Settings'!$C$62,"후속 연락 필요",""),"")</f>
      </c>
    </row>
    <row r="219" spans="15:17" x14ac:dyDescent="0.25">
      <c r="O219" s="40">
        <f>IF(AND($L219="Y",$J219&lt;&gt;""),$J219+'설정 Settings'!$C$18,"")</f>
      </c>
      <c r="P219" s="41">
        <f>IF($H219="","",$H219-ROUND(IFERROR($H219*VLOOKUP($G219,'설정 Settings'!$A$122:$F$130,4,0)+VLOOKUP($G219,'설정 Settings'!$A$122:$F$130,5,0),0),2))</f>
      </c>
      <c r="Q219" s="42">
        <f>IF(AND($I219="OPEN",$B219&lt;&gt;""),IF('설정 Settings'!$C$15-$B219&gt;='설정 Settings'!$C$62,"후속 연락 필요",""),"")</f>
      </c>
    </row>
    <row r="220" spans="15:17" x14ac:dyDescent="0.25">
      <c r="O220" s="40">
        <f>IF(AND($L220="Y",$J220&lt;&gt;""),$J220+'설정 Settings'!$C$18,"")</f>
      </c>
      <c r="P220" s="41">
        <f>IF($H220="","",$H220-ROUND(IFERROR($H220*VLOOKUP($G220,'설정 Settings'!$A$122:$F$130,4,0)+VLOOKUP($G220,'설정 Settings'!$A$122:$F$130,5,0),0),2))</f>
      </c>
      <c r="Q220" s="42">
        <f>IF(AND($I220="OPEN",$B220&lt;&gt;""),IF('설정 Settings'!$C$15-$B220&gt;='설정 Settings'!$C$62,"후속 연락 필요",""),"")</f>
      </c>
    </row>
    <row r="221" spans="15:17" x14ac:dyDescent="0.25">
      <c r="O221" s="40">
        <f>IF(AND($L221="Y",$J221&lt;&gt;""),$J221+'설정 Settings'!$C$18,"")</f>
      </c>
      <c r="P221" s="41">
        <f>IF($H221="","",$H221-ROUND(IFERROR($H221*VLOOKUP($G221,'설정 Settings'!$A$122:$F$130,4,0)+VLOOKUP($G221,'설정 Settings'!$A$122:$F$130,5,0),0),2))</f>
      </c>
      <c r="Q221" s="42">
        <f>IF(AND($I221="OPEN",$B221&lt;&gt;""),IF('설정 Settings'!$C$15-$B221&gt;='설정 Settings'!$C$62,"후속 연락 필요",""),"")</f>
      </c>
    </row>
    <row r="222" spans="15:17" x14ac:dyDescent="0.25">
      <c r="O222" s="40">
        <f>IF(AND($L222="Y",$J222&lt;&gt;""),$J222+'설정 Settings'!$C$18,"")</f>
      </c>
      <c r="P222" s="41">
        <f>IF($H222="","",$H222-ROUND(IFERROR($H222*VLOOKUP($G222,'설정 Settings'!$A$122:$F$130,4,0)+VLOOKUP($G222,'설정 Settings'!$A$122:$F$130,5,0),0),2))</f>
      </c>
      <c r="Q222" s="42">
        <f>IF(AND($I222="OPEN",$B222&lt;&gt;""),IF('설정 Settings'!$C$15-$B222&gt;='설정 Settings'!$C$62,"후속 연락 필요",""),"")</f>
      </c>
    </row>
    <row r="223" spans="15:17" x14ac:dyDescent="0.25">
      <c r="O223" s="40">
        <f>IF(AND($L223="Y",$J223&lt;&gt;""),$J223+'설정 Settings'!$C$18,"")</f>
      </c>
      <c r="P223" s="41">
        <f>IF($H223="","",$H223-ROUND(IFERROR($H223*VLOOKUP($G223,'설정 Settings'!$A$122:$F$130,4,0)+VLOOKUP($G223,'설정 Settings'!$A$122:$F$130,5,0),0),2))</f>
      </c>
      <c r="Q223" s="42">
        <f>IF(AND($I223="OPEN",$B223&lt;&gt;""),IF('설정 Settings'!$C$15-$B223&gt;='설정 Settings'!$C$62,"후속 연락 필요",""),"")</f>
      </c>
    </row>
    <row r="224" spans="15:17" x14ac:dyDescent="0.25">
      <c r="O224" s="40">
        <f>IF(AND($L224="Y",$J224&lt;&gt;""),$J224+'설정 Settings'!$C$18,"")</f>
      </c>
      <c r="P224" s="41">
        <f>IF($H224="","",$H224-ROUND(IFERROR($H224*VLOOKUP($G224,'설정 Settings'!$A$122:$F$130,4,0)+VLOOKUP($G224,'설정 Settings'!$A$122:$F$130,5,0),0),2))</f>
      </c>
      <c r="Q224" s="42">
        <f>IF(AND($I224="OPEN",$B224&lt;&gt;""),IF('설정 Settings'!$C$15-$B224&gt;='설정 Settings'!$C$62,"후속 연락 필요",""),"")</f>
      </c>
    </row>
    <row r="225" spans="15:17" x14ac:dyDescent="0.25">
      <c r="O225" s="40">
        <f>IF(AND($L225="Y",$J225&lt;&gt;""),$J225+'설정 Settings'!$C$18,"")</f>
      </c>
      <c r="P225" s="41">
        <f>IF($H225="","",$H225-ROUND(IFERROR($H225*VLOOKUP($G225,'설정 Settings'!$A$122:$F$130,4,0)+VLOOKUP($G225,'설정 Settings'!$A$122:$F$130,5,0),0),2))</f>
      </c>
      <c r="Q225" s="42">
        <f>IF(AND($I225="OPEN",$B225&lt;&gt;""),IF('설정 Settings'!$C$15-$B225&gt;='설정 Settings'!$C$62,"후속 연락 필요",""),"")</f>
      </c>
    </row>
    <row r="226" spans="15:17" x14ac:dyDescent="0.25">
      <c r="O226" s="40">
        <f>IF(AND($L226="Y",$J226&lt;&gt;""),$J226+'설정 Settings'!$C$18,"")</f>
      </c>
      <c r="P226" s="41">
        <f>IF($H226="","",$H226-ROUND(IFERROR($H226*VLOOKUP($G226,'설정 Settings'!$A$122:$F$130,4,0)+VLOOKUP($G226,'설정 Settings'!$A$122:$F$130,5,0),0),2))</f>
      </c>
      <c r="Q226" s="42">
        <f>IF(AND($I226="OPEN",$B226&lt;&gt;""),IF('설정 Settings'!$C$15-$B226&gt;='설정 Settings'!$C$62,"후속 연락 필요",""),"")</f>
      </c>
    </row>
    <row r="227" spans="15:17" x14ac:dyDescent="0.25">
      <c r="O227" s="40">
        <f>IF(AND($L227="Y",$J227&lt;&gt;""),$J227+'설정 Settings'!$C$18,"")</f>
      </c>
      <c r="P227" s="41">
        <f>IF($H227="","",$H227-ROUND(IFERROR($H227*VLOOKUP($G227,'설정 Settings'!$A$122:$F$130,4,0)+VLOOKUP($G227,'설정 Settings'!$A$122:$F$130,5,0),0),2))</f>
      </c>
      <c r="Q227" s="42">
        <f>IF(AND($I227="OPEN",$B227&lt;&gt;""),IF('설정 Settings'!$C$15-$B227&gt;='설정 Settings'!$C$62,"후속 연락 필요",""),"")</f>
      </c>
    </row>
    <row r="228" spans="15:17" x14ac:dyDescent="0.25">
      <c r="O228" s="40">
        <f>IF(AND($L228="Y",$J228&lt;&gt;""),$J228+'설정 Settings'!$C$18,"")</f>
      </c>
      <c r="P228" s="41">
        <f>IF($H228="","",$H228-ROUND(IFERROR($H228*VLOOKUP($G228,'설정 Settings'!$A$122:$F$130,4,0)+VLOOKUP($G228,'설정 Settings'!$A$122:$F$130,5,0),0),2))</f>
      </c>
      <c r="Q228" s="42">
        <f>IF(AND($I228="OPEN",$B228&lt;&gt;""),IF('설정 Settings'!$C$15-$B228&gt;='설정 Settings'!$C$62,"후속 연락 필요",""),"")</f>
      </c>
    </row>
    <row r="229" spans="15:17" x14ac:dyDescent="0.25">
      <c r="O229" s="40">
        <f>IF(AND($L229="Y",$J229&lt;&gt;""),$J229+'설정 Settings'!$C$18,"")</f>
      </c>
      <c r="P229" s="41">
        <f>IF($H229="","",$H229-ROUND(IFERROR($H229*VLOOKUP($G229,'설정 Settings'!$A$122:$F$130,4,0)+VLOOKUP($G229,'설정 Settings'!$A$122:$F$130,5,0),0),2))</f>
      </c>
      <c r="Q229" s="42">
        <f>IF(AND($I229="OPEN",$B229&lt;&gt;""),IF('설정 Settings'!$C$15-$B229&gt;='설정 Settings'!$C$62,"후속 연락 필요",""),"")</f>
      </c>
    </row>
    <row r="230" spans="15:17" x14ac:dyDescent="0.25">
      <c r="O230" s="40">
        <f>IF(AND($L230="Y",$J230&lt;&gt;""),$J230+'설정 Settings'!$C$18,"")</f>
      </c>
      <c r="P230" s="41">
        <f>IF($H230="","",$H230-ROUND(IFERROR($H230*VLOOKUP($G230,'설정 Settings'!$A$122:$F$130,4,0)+VLOOKUP($G230,'설정 Settings'!$A$122:$F$130,5,0),0),2))</f>
      </c>
      <c r="Q230" s="42">
        <f>IF(AND($I230="OPEN",$B230&lt;&gt;""),IF('설정 Settings'!$C$15-$B230&gt;='설정 Settings'!$C$62,"후속 연락 필요",""),"")</f>
      </c>
    </row>
    <row r="231" spans="15:17" x14ac:dyDescent="0.25">
      <c r="O231" s="40">
        <f>IF(AND($L231="Y",$J231&lt;&gt;""),$J231+'설정 Settings'!$C$18,"")</f>
      </c>
      <c r="P231" s="41">
        <f>IF($H231="","",$H231-ROUND(IFERROR($H231*VLOOKUP($G231,'설정 Settings'!$A$122:$F$130,4,0)+VLOOKUP($G231,'설정 Settings'!$A$122:$F$130,5,0),0),2))</f>
      </c>
      <c r="Q231" s="42">
        <f>IF(AND($I231="OPEN",$B231&lt;&gt;""),IF('설정 Settings'!$C$15-$B231&gt;='설정 Settings'!$C$62,"후속 연락 필요",""),"")</f>
      </c>
    </row>
    <row r="232" spans="15:17" x14ac:dyDescent="0.25">
      <c r="O232" s="40">
        <f>IF(AND($L232="Y",$J232&lt;&gt;""),$J232+'설정 Settings'!$C$18,"")</f>
      </c>
      <c r="P232" s="41">
        <f>IF($H232="","",$H232-ROUND(IFERROR($H232*VLOOKUP($G232,'설정 Settings'!$A$122:$F$130,4,0)+VLOOKUP($G232,'설정 Settings'!$A$122:$F$130,5,0),0),2))</f>
      </c>
      <c r="Q232" s="42">
        <f>IF(AND($I232="OPEN",$B232&lt;&gt;""),IF('설정 Settings'!$C$15-$B232&gt;='설정 Settings'!$C$62,"후속 연락 필요",""),"")</f>
      </c>
    </row>
    <row r="233" spans="15:17" x14ac:dyDescent="0.25">
      <c r="O233" s="40">
        <f>IF(AND($L233="Y",$J233&lt;&gt;""),$J233+'설정 Settings'!$C$18,"")</f>
      </c>
      <c r="P233" s="41">
        <f>IF($H233="","",$H233-ROUND(IFERROR($H233*VLOOKUP($G233,'설정 Settings'!$A$122:$F$130,4,0)+VLOOKUP($G233,'설정 Settings'!$A$122:$F$130,5,0),0),2))</f>
      </c>
      <c r="Q233" s="42">
        <f>IF(AND($I233="OPEN",$B233&lt;&gt;""),IF('설정 Settings'!$C$15-$B233&gt;='설정 Settings'!$C$62,"후속 연락 필요",""),"")</f>
      </c>
    </row>
    <row r="234" spans="15:17" x14ac:dyDescent="0.25">
      <c r="O234" s="40">
        <f>IF(AND($L234="Y",$J234&lt;&gt;""),$J234+'설정 Settings'!$C$18,"")</f>
      </c>
      <c r="P234" s="41">
        <f>IF($H234="","",$H234-ROUND(IFERROR($H234*VLOOKUP($G234,'설정 Settings'!$A$122:$F$130,4,0)+VLOOKUP($G234,'설정 Settings'!$A$122:$F$130,5,0),0),2))</f>
      </c>
      <c r="Q234" s="42">
        <f>IF(AND($I234="OPEN",$B234&lt;&gt;""),IF('설정 Settings'!$C$15-$B234&gt;='설정 Settings'!$C$62,"후속 연락 필요",""),"")</f>
      </c>
    </row>
    <row r="235" spans="15:17" x14ac:dyDescent="0.25">
      <c r="O235" s="40">
        <f>IF(AND($L235="Y",$J235&lt;&gt;""),$J235+'설정 Settings'!$C$18,"")</f>
      </c>
      <c r="P235" s="41">
        <f>IF($H235="","",$H235-ROUND(IFERROR($H235*VLOOKUP($G235,'설정 Settings'!$A$122:$F$130,4,0)+VLOOKUP($G235,'설정 Settings'!$A$122:$F$130,5,0),0),2))</f>
      </c>
      <c r="Q235" s="42">
        <f>IF(AND($I235="OPEN",$B235&lt;&gt;""),IF('설정 Settings'!$C$15-$B235&gt;='설정 Settings'!$C$62,"후속 연락 필요",""),"")</f>
      </c>
    </row>
    <row r="236" spans="15:17" x14ac:dyDescent="0.25">
      <c r="O236" s="40">
        <f>IF(AND($L236="Y",$J236&lt;&gt;""),$J236+'설정 Settings'!$C$18,"")</f>
      </c>
      <c r="P236" s="41">
        <f>IF($H236="","",$H236-ROUND(IFERROR($H236*VLOOKUP($G236,'설정 Settings'!$A$122:$F$130,4,0)+VLOOKUP($G236,'설정 Settings'!$A$122:$F$130,5,0),0),2))</f>
      </c>
      <c r="Q236" s="42">
        <f>IF(AND($I236="OPEN",$B236&lt;&gt;""),IF('설정 Settings'!$C$15-$B236&gt;='설정 Settings'!$C$62,"후속 연락 필요",""),"")</f>
      </c>
    </row>
    <row r="237" spans="15:17" x14ac:dyDescent="0.25">
      <c r="O237" s="40">
        <f>IF(AND($L237="Y",$J237&lt;&gt;""),$J237+'설정 Settings'!$C$18,"")</f>
      </c>
      <c r="P237" s="41">
        <f>IF($H237="","",$H237-ROUND(IFERROR($H237*VLOOKUP($G237,'설정 Settings'!$A$122:$F$130,4,0)+VLOOKUP($G237,'설정 Settings'!$A$122:$F$130,5,0),0),2))</f>
      </c>
      <c r="Q237" s="42">
        <f>IF(AND($I237="OPEN",$B237&lt;&gt;""),IF('설정 Settings'!$C$15-$B237&gt;='설정 Settings'!$C$62,"후속 연락 필요",""),"")</f>
      </c>
    </row>
    <row r="238" spans="15:17" x14ac:dyDescent="0.25">
      <c r="O238" s="40">
        <f>IF(AND($L238="Y",$J238&lt;&gt;""),$J238+'설정 Settings'!$C$18,"")</f>
      </c>
      <c r="P238" s="41">
        <f>IF($H238="","",$H238-ROUND(IFERROR($H238*VLOOKUP($G238,'설정 Settings'!$A$122:$F$130,4,0)+VLOOKUP($G238,'설정 Settings'!$A$122:$F$130,5,0),0),2))</f>
      </c>
      <c r="Q238" s="42">
        <f>IF(AND($I238="OPEN",$B238&lt;&gt;""),IF('설정 Settings'!$C$15-$B238&gt;='설정 Settings'!$C$62,"후속 연락 필요",""),"")</f>
      </c>
    </row>
    <row r="239" spans="15:17" x14ac:dyDescent="0.25">
      <c r="O239" s="40">
        <f>IF(AND($L239="Y",$J239&lt;&gt;""),$J239+'설정 Settings'!$C$18,"")</f>
      </c>
      <c r="P239" s="41">
        <f>IF($H239="","",$H239-ROUND(IFERROR($H239*VLOOKUP($G239,'설정 Settings'!$A$122:$F$130,4,0)+VLOOKUP($G239,'설정 Settings'!$A$122:$F$130,5,0),0),2))</f>
      </c>
      <c r="Q239" s="42">
        <f>IF(AND($I239="OPEN",$B239&lt;&gt;""),IF('설정 Settings'!$C$15-$B239&gt;='설정 Settings'!$C$62,"후속 연락 필요",""),"")</f>
      </c>
    </row>
    <row r="240" spans="15:17" x14ac:dyDescent="0.25">
      <c r="O240" s="40">
        <f>IF(AND($L240="Y",$J240&lt;&gt;""),$J240+'설정 Settings'!$C$18,"")</f>
      </c>
      <c r="P240" s="41">
        <f>IF($H240="","",$H240-ROUND(IFERROR($H240*VLOOKUP($G240,'설정 Settings'!$A$122:$F$130,4,0)+VLOOKUP($G240,'설정 Settings'!$A$122:$F$130,5,0),0),2))</f>
      </c>
      <c r="Q240" s="42">
        <f>IF(AND($I240="OPEN",$B240&lt;&gt;""),IF('설정 Settings'!$C$15-$B240&gt;='설정 Settings'!$C$62,"후속 연락 필요",""),"")</f>
      </c>
    </row>
    <row r="241" spans="15:17" x14ac:dyDescent="0.25">
      <c r="O241" s="40">
        <f>IF(AND($L241="Y",$J241&lt;&gt;""),$J241+'설정 Settings'!$C$18,"")</f>
      </c>
      <c r="P241" s="41">
        <f>IF($H241="","",$H241-ROUND(IFERROR($H241*VLOOKUP($G241,'설정 Settings'!$A$122:$F$130,4,0)+VLOOKUP($G241,'설정 Settings'!$A$122:$F$130,5,0),0),2))</f>
      </c>
      <c r="Q241" s="42">
        <f>IF(AND($I241="OPEN",$B241&lt;&gt;""),IF('설정 Settings'!$C$15-$B241&gt;='설정 Settings'!$C$62,"후속 연락 필요",""),"")</f>
      </c>
    </row>
    <row r="242" spans="15:17" x14ac:dyDescent="0.25">
      <c r="O242" s="40">
        <f>IF(AND($L242="Y",$J242&lt;&gt;""),$J242+'설정 Settings'!$C$18,"")</f>
      </c>
      <c r="P242" s="41">
        <f>IF($H242="","",$H242-ROUND(IFERROR($H242*VLOOKUP($G242,'설정 Settings'!$A$122:$F$130,4,0)+VLOOKUP($G242,'설정 Settings'!$A$122:$F$130,5,0),0),2))</f>
      </c>
      <c r="Q242" s="42">
        <f>IF(AND($I242="OPEN",$B242&lt;&gt;""),IF('설정 Settings'!$C$15-$B242&gt;='설정 Settings'!$C$62,"후속 연락 필요",""),"")</f>
      </c>
    </row>
    <row r="243" spans="15:17" x14ac:dyDescent="0.25">
      <c r="O243" s="40">
        <f>IF(AND($L243="Y",$J243&lt;&gt;""),$J243+'설정 Settings'!$C$18,"")</f>
      </c>
      <c r="P243" s="41">
        <f>IF($H243="","",$H243-ROUND(IFERROR($H243*VLOOKUP($G243,'설정 Settings'!$A$122:$F$130,4,0)+VLOOKUP($G243,'설정 Settings'!$A$122:$F$130,5,0),0),2))</f>
      </c>
      <c r="Q243" s="42">
        <f>IF(AND($I243="OPEN",$B243&lt;&gt;""),IF('설정 Settings'!$C$15-$B243&gt;='설정 Settings'!$C$62,"후속 연락 필요",""),"")</f>
      </c>
    </row>
    <row r="244" spans="15:17" x14ac:dyDescent="0.25">
      <c r="O244" s="40">
        <f>IF(AND($L244="Y",$J244&lt;&gt;""),$J244+'설정 Settings'!$C$18,"")</f>
      </c>
      <c r="P244" s="41">
        <f>IF($H244="","",$H244-ROUND(IFERROR($H244*VLOOKUP($G244,'설정 Settings'!$A$122:$F$130,4,0)+VLOOKUP($G244,'설정 Settings'!$A$122:$F$130,5,0),0),2))</f>
      </c>
      <c r="Q244" s="42">
        <f>IF(AND($I244="OPEN",$B244&lt;&gt;""),IF('설정 Settings'!$C$15-$B244&gt;='설정 Settings'!$C$62,"후속 연락 필요",""),"")</f>
      </c>
    </row>
    <row r="245" spans="15:17" x14ac:dyDescent="0.25">
      <c r="O245" s="40">
        <f>IF(AND($L245="Y",$J245&lt;&gt;""),$J245+'설정 Settings'!$C$18,"")</f>
      </c>
      <c r="P245" s="41">
        <f>IF($H245="","",$H245-ROUND(IFERROR($H245*VLOOKUP($G245,'설정 Settings'!$A$122:$F$130,4,0)+VLOOKUP($G245,'설정 Settings'!$A$122:$F$130,5,0),0),2))</f>
      </c>
      <c r="Q245" s="42">
        <f>IF(AND($I245="OPEN",$B245&lt;&gt;""),IF('설정 Settings'!$C$15-$B245&gt;='설정 Settings'!$C$62,"후속 연락 필요",""),"")</f>
      </c>
    </row>
    <row r="246" spans="15:17" x14ac:dyDescent="0.25">
      <c r="O246" s="40">
        <f>IF(AND($L246="Y",$J246&lt;&gt;""),$J246+'설정 Settings'!$C$18,"")</f>
      </c>
      <c r="P246" s="41">
        <f>IF($H246="","",$H246-ROUND(IFERROR($H246*VLOOKUP($G246,'설정 Settings'!$A$122:$F$130,4,0)+VLOOKUP($G246,'설정 Settings'!$A$122:$F$130,5,0),0),2))</f>
      </c>
      <c r="Q246" s="42">
        <f>IF(AND($I246="OPEN",$B246&lt;&gt;""),IF('설정 Settings'!$C$15-$B246&gt;='설정 Settings'!$C$62,"후속 연락 필요",""),"")</f>
      </c>
    </row>
    <row r="247" spans="15:17" x14ac:dyDescent="0.25">
      <c r="O247" s="40">
        <f>IF(AND($L247="Y",$J247&lt;&gt;""),$J247+'설정 Settings'!$C$18,"")</f>
      </c>
      <c r="P247" s="41">
        <f>IF($H247="","",$H247-ROUND(IFERROR($H247*VLOOKUP($G247,'설정 Settings'!$A$122:$F$130,4,0)+VLOOKUP($G247,'설정 Settings'!$A$122:$F$130,5,0),0),2))</f>
      </c>
      <c r="Q247" s="42">
        <f>IF(AND($I247="OPEN",$B247&lt;&gt;""),IF('설정 Settings'!$C$15-$B247&gt;='설정 Settings'!$C$62,"후속 연락 필요",""),"")</f>
      </c>
    </row>
    <row r="248" spans="15:17" x14ac:dyDescent="0.25">
      <c r="O248" s="40">
        <f>IF(AND($L248="Y",$J248&lt;&gt;""),$J248+'설정 Settings'!$C$18,"")</f>
      </c>
      <c r="P248" s="41">
        <f>IF($H248="","",$H248-ROUND(IFERROR($H248*VLOOKUP($G248,'설정 Settings'!$A$122:$F$130,4,0)+VLOOKUP($G248,'설정 Settings'!$A$122:$F$130,5,0),0),2))</f>
      </c>
      <c r="Q248" s="42">
        <f>IF(AND($I248="OPEN",$B248&lt;&gt;""),IF('설정 Settings'!$C$15-$B248&gt;='설정 Settings'!$C$62,"후속 연락 필요",""),"")</f>
      </c>
    </row>
    <row r="249" spans="15:17" x14ac:dyDescent="0.25">
      <c r="O249" s="40">
        <f>IF(AND($L249="Y",$J249&lt;&gt;""),$J249+'설정 Settings'!$C$18,"")</f>
      </c>
      <c r="P249" s="41">
        <f>IF($H249="","",$H249-ROUND(IFERROR($H249*VLOOKUP($G249,'설정 Settings'!$A$122:$F$130,4,0)+VLOOKUP($G249,'설정 Settings'!$A$122:$F$130,5,0),0),2))</f>
      </c>
      <c r="Q249" s="42">
        <f>IF(AND($I249="OPEN",$B249&lt;&gt;""),IF('설정 Settings'!$C$15-$B249&gt;='설정 Settings'!$C$62,"후속 연락 필요",""),"")</f>
      </c>
    </row>
    <row r="250" spans="15:17" x14ac:dyDescent="0.25">
      <c r="O250" s="40">
        <f>IF(AND($L250="Y",$J250&lt;&gt;""),$J250+'설정 Settings'!$C$18,"")</f>
      </c>
      <c r="P250" s="41">
        <f>IF($H250="","",$H250-ROUND(IFERROR($H250*VLOOKUP($G250,'설정 Settings'!$A$122:$F$130,4,0)+VLOOKUP($G250,'설정 Settings'!$A$122:$F$130,5,0),0),2))</f>
      </c>
      <c r="Q250" s="42">
        <f>IF(AND($I250="OPEN",$B250&lt;&gt;""),IF('설정 Settings'!$C$15-$B250&gt;='설정 Settings'!$C$62,"후속 연락 필요",""),"")</f>
      </c>
    </row>
    <row r="251" spans="15:17" x14ac:dyDescent="0.25">
      <c r="O251" s="40">
        <f>IF(AND($L251="Y",$J251&lt;&gt;""),$J251+'설정 Settings'!$C$18,"")</f>
      </c>
      <c r="P251" s="41">
        <f>IF($H251="","",$H251-ROUND(IFERROR($H251*VLOOKUP($G251,'설정 Settings'!$A$122:$F$130,4,0)+VLOOKUP($G251,'설정 Settings'!$A$122:$F$130,5,0),0),2))</f>
      </c>
      <c r="Q251" s="42">
        <f>IF(AND($I251="OPEN",$B251&lt;&gt;""),IF('설정 Settings'!$C$15-$B251&gt;='설정 Settings'!$C$62,"후속 연락 필요",""),"")</f>
      </c>
    </row>
    <row r="252" spans="15:17" x14ac:dyDescent="0.25">
      <c r="O252" s="40">
        <f>IF(AND($L252="Y",$J252&lt;&gt;""),$J252+'설정 Settings'!$C$18,"")</f>
      </c>
      <c r="P252" s="41">
        <f>IF($H252="","",$H252-ROUND(IFERROR($H252*VLOOKUP($G252,'설정 Settings'!$A$122:$F$130,4,0)+VLOOKUP($G252,'설정 Settings'!$A$122:$F$130,5,0),0),2))</f>
      </c>
      <c r="Q252" s="42">
        <f>IF(AND($I252="OPEN",$B252&lt;&gt;""),IF('설정 Settings'!$C$15-$B252&gt;='설정 Settings'!$C$62,"후속 연락 필요",""),"")</f>
      </c>
    </row>
    <row r="253" spans="15:17" x14ac:dyDescent="0.25">
      <c r="O253" s="40">
        <f>IF(AND($L253="Y",$J253&lt;&gt;""),$J253+'설정 Settings'!$C$18,"")</f>
      </c>
      <c r="P253" s="41">
        <f>IF($H253="","",$H253-ROUND(IFERROR($H253*VLOOKUP($G253,'설정 Settings'!$A$122:$F$130,4,0)+VLOOKUP($G253,'설정 Settings'!$A$122:$F$130,5,0),0),2))</f>
      </c>
      <c r="Q253" s="42">
        <f>IF(AND($I253="OPEN",$B253&lt;&gt;""),IF('설정 Settings'!$C$15-$B253&gt;='설정 Settings'!$C$62,"후속 연락 필요",""),"")</f>
      </c>
    </row>
    <row r="254" spans="15:17" x14ac:dyDescent="0.25">
      <c r="O254" s="40">
        <f>IF(AND($L254="Y",$J254&lt;&gt;""),$J254+'설정 Settings'!$C$18,"")</f>
      </c>
      <c r="P254" s="41">
        <f>IF($H254="","",$H254-ROUND(IFERROR($H254*VLOOKUP($G254,'설정 Settings'!$A$122:$F$130,4,0)+VLOOKUP($G254,'설정 Settings'!$A$122:$F$130,5,0),0),2))</f>
      </c>
      <c r="Q254" s="42">
        <f>IF(AND($I254="OPEN",$B254&lt;&gt;""),IF('설정 Settings'!$C$15-$B254&gt;='설정 Settings'!$C$62,"후속 연락 필요",""),"")</f>
      </c>
    </row>
    <row r="255" spans="15:17" x14ac:dyDescent="0.25">
      <c r="O255" s="40">
        <f>IF(AND($L255="Y",$J255&lt;&gt;""),$J255+'설정 Settings'!$C$18,"")</f>
      </c>
      <c r="P255" s="41">
        <f>IF($H255="","",$H255-ROUND(IFERROR($H255*VLOOKUP($G255,'설정 Settings'!$A$122:$F$130,4,0)+VLOOKUP($G255,'설정 Settings'!$A$122:$F$130,5,0),0),2))</f>
      </c>
      <c r="Q255" s="42">
        <f>IF(AND($I255="OPEN",$B255&lt;&gt;""),IF('설정 Settings'!$C$15-$B255&gt;='설정 Settings'!$C$62,"후속 연락 필요",""),"")</f>
      </c>
    </row>
    <row r="256" spans="15:17" x14ac:dyDescent="0.25">
      <c r="O256" s="40">
        <f>IF(AND($L256="Y",$J256&lt;&gt;""),$J256+'설정 Settings'!$C$18,"")</f>
      </c>
      <c r="P256" s="41">
        <f>IF($H256="","",$H256-ROUND(IFERROR($H256*VLOOKUP($G256,'설정 Settings'!$A$122:$F$130,4,0)+VLOOKUP($G256,'설정 Settings'!$A$122:$F$130,5,0),0),2))</f>
      </c>
      <c r="Q256" s="42">
        <f>IF(AND($I256="OPEN",$B256&lt;&gt;""),IF('설정 Settings'!$C$15-$B256&gt;='설정 Settings'!$C$62,"후속 연락 필요",""),"")</f>
      </c>
    </row>
    <row r="257" spans="15:17" x14ac:dyDescent="0.25">
      <c r="O257" s="40">
        <f>IF(AND($L257="Y",$J257&lt;&gt;""),$J257+'설정 Settings'!$C$18,"")</f>
      </c>
      <c r="P257" s="41">
        <f>IF($H257="","",$H257-ROUND(IFERROR($H257*VLOOKUP($G257,'설정 Settings'!$A$122:$F$130,4,0)+VLOOKUP($G257,'설정 Settings'!$A$122:$F$130,5,0),0),2))</f>
      </c>
      <c r="Q257" s="42">
        <f>IF(AND($I257="OPEN",$B257&lt;&gt;""),IF('설정 Settings'!$C$15-$B257&gt;='설정 Settings'!$C$62,"후속 연락 필요",""),"")</f>
      </c>
    </row>
    <row r="258" spans="15:17" x14ac:dyDescent="0.25">
      <c r="O258" s="40">
        <f>IF(AND($L258="Y",$J258&lt;&gt;""),$J258+'설정 Settings'!$C$18,"")</f>
      </c>
      <c r="P258" s="41">
        <f>IF($H258="","",$H258-ROUND(IFERROR($H258*VLOOKUP($G258,'설정 Settings'!$A$122:$F$130,4,0)+VLOOKUP($G258,'설정 Settings'!$A$122:$F$130,5,0),0),2))</f>
      </c>
      <c r="Q258" s="42">
        <f>IF(AND($I258="OPEN",$B258&lt;&gt;""),IF('설정 Settings'!$C$15-$B258&gt;='설정 Settings'!$C$62,"후속 연락 필요",""),"")</f>
      </c>
    </row>
    <row r="259" spans="15:17" x14ac:dyDescent="0.25">
      <c r="O259" s="40">
        <f>IF(AND($L259="Y",$J259&lt;&gt;""),$J259+'설정 Settings'!$C$18,"")</f>
      </c>
      <c r="P259" s="41">
        <f>IF($H259="","",$H259-ROUND(IFERROR($H259*VLOOKUP($G259,'설정 Settings'!$A$122:$F$130,4,0)+VLOOKUP($G259,'설정 Settings'!$A$122:$F$130,5,0),0),2))</f>
      </c>
      <c r="Q259" s="42">
        <f>IF(AND($I259="OPEN",$B259&lt;&gt;""),IF('설정 Settings'!$C$15-$B259&gt;='설정 Settings'!$C$62,"후속 연락 필요",""),"")</f>
      </c>
    </row>
    <row r="260" spans="15:17" x14ac:dyDescent="0.25">
      <c r="O260" s="40">
        <f>IF(AND($L260="Y",$J260&lt;&gt;""),$J260+'설정 Settings'!$C$18,"")</f>
      </c>
      <c r="P260" s="41">
        <f>IF($H260="","",$H260-ROUND(IFERROR($H260*VLOOKUP($G260,'설정 Settings'!$A$122:$F$130,4,0)+VLOOKUP($G260,'설정 Settings'!$A$122:$F$130,5,0),0),2))</f>
      </c>
      <c r="Q260" s="42">
        <f>IF(AND($I260="OPEN",$B260&lt;&gt;""),IF('설정 Settings'!$C$15-$B260&gt;='설정 Settings'!$C$62,"후속 연락 필요",""),"")</f>
      </c>
    </row>
    <row r="261" spans="15:17" x14ac:dyDescent="0.25">
      <c r="O261" s="40">
        <f>IF(AND($L261="Y",$J261&lt;&gt;""),$J261+'설정 Settings'!$C$18,"")</f>
      </c>
      <c r="P261" s="41">
        <f>IF($H261="","",$H261-ROUND(IFERROR($H261*VLOOKUP($G261,'설정 Settings'!$A$122:$F$130,4,0)+VLOOKUP($G261,'설정 Settings'!$A$122:$F$130,5,0),0),2))</f>
      </c>
      <c r="Q261" s="42">
        <f>IF(AND($I261="OPEN",$B261&lt;&gt;""),IF('설정 Settings'!$C$15-$B261&gt;='설정 Settings'!$C$62,"후속 연락 필요",""),"")</f>
      </c>
    </row>
    <row r="262" spans="15:17" x14ac:dyDescent="0.25">
      <c r="O262" s="40">
        <f>IF(AND($L262="Y",$J262&lt;&gt;""),$J262+'설정 Settings'!$C$18,"")</f>
      </c>
      <c r="P262" s="41">
        <f>IF($H262="","",$H262-ROUND(IFERROR($H262*VLOOKUP($G262,'설정 Settings'!$A$122:$F$130,4,0)+VLOOKUP($G262,'설정 Settings'!$A$122:$F$130,5,0),0),2))</f>
      </c>
      <c r="Q262" s="42">
        <f>IF(AND($I262="OPEN",$B262&lt;&gt;""),IF('설정 Settings'!$C$15-$B262&gt;='설정 Settings'!$C$62,"후속 연락 필요",""),"")</f>
      </c>
    </row>
    <row r="263" spans="15:17" x14ac:dyDescent="0.25">
      <c r="O263" s="40">
        <f>IF(AND($L263="Y",$J263&lt;&gt;""),$J263+'설정 Settings'!$C$18,"")</f>
      </c>
      <c r="P263" s="41">
        <f>IF($H263="","",$H263-ROUND(IFERROR($H263*VLOOKUP($G263,'설정 Settings'!$A$122:$F$130,4,0)+VLOOKUP($G263,'설정 Settings'!$A$122:$F$130,5,0),0),2))</f>
      </c>
      <c r="Q263" s="42">
        <f>IF(AND($I263="OPEN",$B263&lt;&gt;""),IF('설정 Settings'!$C$15-$B263&gt;='설정 Settings'!$C$62,"후속 연락 필요",""),"")</f>
      </c>
    </row>
    <row r="264" spans="15:17" x14ac:dyDescent="0.25">
      <c r="O264" s="40">
        <f>IF(AND($L264="Y",$J264&lt;&gt;""),$J264+'설정 Settings'!$C$18,"")</f>
      </c>
      <c r="P264" s="41">
        <f>IF($H264="","",$H264-ROUND(IFERROR($H264*VLOOKUP($G264,'설정 Settings'!$A$122:$F$130,4,0)+VLOOKUP($G264,'설정 Settings'!$A$122:$F$130,5,0),0),2))</f>
      </c>
      <c r="Q264" s="42">
        <f>IF(AND($I264="OPEN",$B264&lt;&gt;""),IF('설정 Settings'!$C$15-$B264&gt;='설정 Settings'!$C$62,"후속 연락 필요",""),"")</f>
      </c>
    </row>
    <row r="265" spans="15:17" x14ac:dyDescent="0.25">
      <c r="O265" s="40">
        <f>IF(AND($L265="Y",$J265&lt;&gt;""),$J265+'설정 Settings'!$C$18,"")</f>
      </c>
      <c r="P265" s="41">
        <f>IF($H265="","",$H265-ROUND(IFERROR($H265*VLOOKUP($G265,'설정 Settings'!$A$122:$F$130,4,0)+VLOOKUP($G265,'설정 Settings'!$A$122:$F$130,5,0),0),2))</f>
      </c>
      <c r="Q265" s="42">
        <f>IF(AND($I265="OPEN",$B265&lt;&gt;""),IF('설정 Settings'!$C$15-$B265&gt;='설정 Settings'!$C$62,"후속 연락 필요",""),"")</f>
      </c>
    </row>
    <row r="266" spans="15:17" x14ac:dyDescent="0.25">
      <c r="O266" s="40">
        <f>IF(AND($L266="Y",$J266&lt;&gt;""),$J266+'설정 Settings'!$C$18,"")</f>
      </c>
      <c r="P266" s="41">
        <f>IF($H266="","",$H266-ROUND(IFERROR($H266*VLOOKUP($G266,'설정 Settings'!$A$122:$F$130,4,0)+VLOOKUP($G266,'설정 Settings'!$A$122:$F$130,5,0),0),2))</f>
      </c>
      <c r="Q266" s="42">
        <f>IF(AND($I266="OPEN",$B266&lt;&gt;""),IF('설정 Settings'!$C$15-$B266&gt;='설정 Settings'!$C$62,"후속 연락 필요",""),"")</f>
      </c>
    </row>
    <row r="267" spans="15:17" x14ac:dyDescent="0.25">
      <c r="O267" s="40">
        <f>IF(AND($L267="Y",$J267&lt;&gt;""),$J267+'설정 Settings'!$C$18,"")</f>
      </c>
      <c r="P267" s="41">
        <f>IF($H267="","",$H267-ROUND(IFERROR($H267*VLOOKUP($G267,'설정 Settings'!$A$122:$F$130,4,0)+VLOOKUP($G267,'설정 Settings'!$A$122:$F$130,5,0),0),2))</f>
      </c>
      <c r="Q267" s="42">
        <f>IF(AND($I267="OPEN",$B267&lt;&gt;""),IF('설정 Settings'!$C$15-$B267&gt;='설정 Settings'!$C$62,"후속 연락 필요",""),"")</f>
      </c>
    </row>
    <row r="268" spans="15:17" x14ac:dyDescent="0.25">
      <c r="O268" s="40">
        <f>IF(AND($L268="Y",$J268&lt;&gt;""),$J268+'설정 Settings'!$C$18,"")</f>
      </c>
      <c r="P268" s="41">
        <f>IF($H268="","",$H268-ROUND(IFERROR($H268*VLOOKUP($G268,'설정 Settings'!$A$122:$F$130,4,0)+VLOOKUP($G268,'설정 Settings'!$A$122:$F$130,5,0),0),2))</f>
      </c>
      <c r="Q268" s="42">
        <f>IF(AND($I268="OPEN",$B268&lt;&gt;""),IF('설정 Settings'!$C$15-$B268&gt;='설정 Settings'!$C$62,"후속 연락 필요",""),"")</f>
      </c>
    </row>
    <row r="269" spans="15:17" x14ac:dyDescent="0.25">
      <c r="O269" s="40">
        <f>IF(AND($L269="Y",$J269&lt;&gt;""),$J269+'설정 Settings'!$C$18,"")</f>
      </c>
      <c r="P269" s="41">
        <f>IF($H269="","",$H269-ROUND(IFERROR($H269*VLOOKUP($G269,'설정 Settings'!$A$122:$F$130,4,0)+VLOOKUP($G269,'설정 Settings'!$A$122:$F$130,5,0),0),2))</f>
      </c>
      <c r="Q269" s="42">
        <f>IF(AND($I269="OPEN",$B269&lt;&gt;""),IF('설정 Settings'!$C$15-$B269&gt;='설정 Settings'!$C$62,"후속 연락 필요",""),"")</f>
      </c>
    </row>
    <row r="270" spans="15:17" x14ac:dyDescent="0.25">
      <c r="O270" s="40">
        <f>IF(AND($L270="Y",$J270&lt;&gt;""),$J270+'설정 Settings'!$C$18,"")</f>
      </c>
      <c r="P270" s="41">
        <f>IF($H270="","",$H270-ROUND(IFERROR($H270*VLOOKUP($G270,'설정 Settings'!$A$122:$F$130,4,0)+VLOOKUP($G270,'설정 Settings'!$A$122:$F$130,5,0),0),2))</f>
      </c>
      <c r="Q270" s="42">
        <f>IF(AND($I270="OPEN",$B270&lt;&gt;""),IF('설정 Settings'!$C$15-$B270&gt;='설정 Settings'!$C$62,"후속 연락 필요",""),"")</f>
      </c>
    </row>
    <row r="271" spans="15:17" x14ac:dyDescent="0.25">
      <c r="O271" s="40">
        <f>IF(AND($L271="Y",$J271&lt;&gt;""),$J271+'설정 Settings'!$C$18,"")</f>
      </c>
      <c r="P271" s="41">
        <f>IF($H271="","",$H271-ROUND(IFERROR($H271*VLOOKUP($G271,'설정 Settings'!$A$122:$F$130,4,0)+VLOOKUP($G271,'설정 Settings'!$A$122:$F$130,5,0),0),2))</f>
      </c>
      <c r="Q271" s="42">
        <f>IF(AND($I271="OPEN",$B271&lt;&gt;""),IF('설정 Settings'!$C$15-$B271&gt;='설정 Settings'!$C$62,"후속 연락 필요",""),"")</f>
      </c>
    </row>
    <row r="272" spans="15:17" x14ac:dyDescent="0.25">
      <c r="O272" s="40">
        <f>IF(AND($L272="Y",$J272&lt;&gt;""),$J272+'설정 Settings'!$C$18,"")</f>
      </c>
      <c r="P272" s="41">
        <f>IF($H272="","",$H272-ROUND(IFERROR($H272*VLOOKUP($G272,'설정 Settings'!$A$122:$F$130,4,0)+VLOOKUP($G272,'설정 Settings'!$A$122:$F$130,5,0),0),2))</f>
      </c>
      <c r="Q272" s="42">
        <f>IF(AND($I272="OPEN",$B272&lt;&gt;""),IF('설정 Settings'!$C$15-$B272&gt;='설정 Settings'!$C$62,"후속 연락 필요",""),"")</f>
      </c>
    </row>
    <row r="273" spans="15:17" x14ac:dyDescent="0.25">
      <c r="O273" s="40">
        <f>IF(AND($L273="Y",$J273&lt;&gt;""),$J273+'설정 Settings'!$C$18,"")</f>
      </c>
      <c r="P273" s="41">
        <f>IF($H273="","",$H273-ROUND(IFERROR($H273*VLOOKUP($G273,'설정 Settings'!$A$122:$F$130,4,0)+VLOOKUP($G273,'설정 Settings'!$A$122:$F$130,5,0),0),2))</f>
      </c>
      <c r="Q273" s="42">
        <f>IF(AND($I273="OPEN",$B273&lt;&gt;""),IF('설정 Settings'!$C$15-$B273&gt;='설정 Settings'!$C$62,"후속 연락 필요",""),"")</f>
      </c>
    </row>
    <row r="274" spans="15:17" x14ac:dyDescent="0.25">
      <c r="O274" s="40">
        <f>IF(AND($L274="Y",$J274&lt;&gt;""),$J274+'설정 Settings'!$C$18,"")</f>
      </c>
      <c r="P274" s="41">
        <f>IF($H274="","",$H274-ROUND(IFERROR($H274*VLOOKUP($G274,'설정 Settings'!$A$122:$F$130,4,0)+VLOOKUP($G274,'설정 Settings'!$A$122:$F$130,5,0),0),2))</f>
      </c>
      <c r="Q274" s="42">
        <f>IF(AND($I274="OPEN",$B274&lt;&gt;""),IF('설정 Settings'!$C$15-$B274&gt;='설정 Settings'!$C$62,"후속 연락 필요",""),"")</f>
      </c>
    </row>
    <row r="275" spans="15:17" x14ac:dyDescent="0.25">
      <c r="O275" s="40">
        <f>IF(AND($L275="Y",$J275&lt;&gt;""),$J275+'설정 Settings'!$C$18,"")</f>
      </c>
      <c r="P275" s="41">
        <f>IF($H275="","",$H275-ROUND(IFERROR($H275*VLOOKUP($G275,'설정 Settings'!$A$122:$F$130,4,0)+VLOOKUP($G275,'설정 Settings'!$A$122:$F$130,5,0),0),2))</f>
      </c>
      <c r="Q275" s="42">
        <f>IF(AND($I275="OPEN",$B275&lt;&gt;""),IF('설정 Settings'!$C$15-$B275&gt;='설정 Settings'!$C$62,"후속 연락 필요",""),"")</f>
      </c>
    </row>
    <row r="276" spans="15:17" x14ac:dyDescent="0.25">
      <c r="O276" s="40">
        <f>IF(AND($L276="Y",$J276&lt;&gt;""),$J276+'설정 Settings'!$C$18,"")</f>
      </c>
      <c r="P276" s="41">
        <f>IF($H276="","",$H276-ROUND(IFERROR($H276*VLOOKUP($G276,'설정 Settings'!$A$122:$F$130,4,0)+VLOOKUP($G276,'설정 Settings'!$A$122:$F$130,5,0),0),2))</f>
      </c>
      <c r="Q276" s="42">
        <f>IF(AND($I276="OPEN",$B276&lt;&gt;""),IF('설정 Settings'!$C$15-$B276&gt;='설정 Settings'!$C$62,"후속 연락 필요",""),"")</f>
      </c>
    </row>
    <row r="277" spans="15:17" x14ac:dyDescent="0.25">
      <c r="O277" s="40">
        <f>IF(AND($L277="Y",$J277&lt;&gt;""),$J277+'설정 Settings'!$C$18,"")</f>
      </c>
      <c r="P277" s="41">
        <f>IF($H277="","",$H277-ROUND(IFERROR($H277*VLOOKUP($G277,'설정 Settings'!$A$122:$F$130,4,0)+VLOOKUP($G277,'설정 Settings'!$A$122:$F$130,5,0),0),2))</f>
      </c>
      <c r="Q277" s="42">
        <f>IF(AND($I277="OPEN",$B277&lt;&gt;""),IF('설정 Settings'!$C$15-$B277&gt;='설정 Settings'!$C$62,"후속 연락 필요",""),"")</f>
      </c>
    </row>
    <row r="278" spans="15:17" x14ac:dyDescent="0.25">
      <c r="O278" s="40">
        <f>IF(AND($L278="Y",$J278&lt;&gt;""),$J278+'설정 Settings'!$C$18,"")</f>
      </c>
      <c r="P278" s="41">
        <f>IF($H278="","",$H278-ROUND(IFERROR($H278*VLOOKUP($G278,'설정 Settings'!$A$122:$F$130,4,0)+VLOOKUP($G278,'설정 Settings'!$A$122:$F$130,5,0),0),2))</f>
      </c>
      <c r="Q278" s="42">
        <f>IF(AND($I278="OPEN",$B278&lt;&gt;""),IF('설정 Settings'!$C$15-$B278&gt;='설정 Settings'!$C$62,"후속 연락 필요",""),"")</f>
      </c>
    </row>
    <row r="279" spans="15:17" x14ac:dyDescent="0.25">
      <c r="O279" s="40">
        <f>IF(AND($L279="Y",$J279&lt;&gt;""),$J279+'설정 Settings'!$C$18,"")</f>
      </c>
      <c r="P279" s="41">
        <f>IF($H279="","",$H279-ROUND(IFERROR($H279*VLOOKUP($G279,'설정 Settings'!$A$122:$F$130,4,0)+VLOOKUP($G279,'설정 Settings'!$A$122:$F$130,5,0),0),2))</f>
      </c>
      <c r="Q279" s="42">
        <f>IF(AND($I279="OPEN",$B279&lt;&gt;""),IF('설정 Settings'!$C$15-$B279&gt;='설정 Settings'!$C$62,"후속 연락 필요",""),"")</f>
      </c>
    </row>
    <row r="280" spans="15:17" x14ac:dyDescent="0.25">
      <c r="O280" s="40">
        <f>IF(AND($L280="Y",$J280&lt;&gt;""),$J280+'설정 Settings'!$C$18,"")</f>
      </c>
      <c r="P280" s="41">
        <f>IF($H280="","",$H280-ROUND(IFERROR($H280*VLOOKUP($G280,'설정 Settings'!$A$122:$F$130,4,0)+VLOOKUP($G280,'설정 Settings'!$A$122:$F$130,5,0),0),2))</f>
      </c>
      <c r="Q280" s="42">
        <f>IF(AND($I280="OPEN",$B280&lt;&gt;""),IF('설정 Settings'!$C$15-$B280&gt;='설정 Settings'!$C$62,"후속 연락 필요",""),"")</f>
      </c>
    </row>
    <row r="281" spans="15:17" x14ac:dyDescent="0.25">
      <c r="O281" s="40">
        <f>IF(AND($L281="Y",$J281&lt;&gt;""),$J281+'설정 Settings'!$C$18,"")</f>
      </c>
      <c r="P281" s="41">
        <f>IF($H281="","",$H281-ROUND(IFERROR($H281*VLOOKUP($G281,'설정 Settings'!$A$122:$F$130,4,0)+VLOOKUP($G281,'설정 Settings'!$A$122:$F$130,5,0),0),2))</f>
      </c>
      <c r="Q281" s="42">
        <f>IF(AND($I281="OPEN",$B281&lt;&gt;""),IF('설정 Settings'!$C$15-$B281&gt;='설정 Settings'!$C$62,"후속 연락 필요",""),"")</f>
      </c>
    </row>
    <row r="282" spans="15:17" x14ac:dyDescent="0.25">
      <c r="O282" s="40">
        <f>IF(AND($L282="Y",$J282&lt;&gt;""),$J282+'설정 Settings'!$C$18,"")</f>
      </c>
      <c r="P282" s="41">
        <f>IF($H282="","",$H282-ROUND(IFERROR($H282*VLOOKUP($G282,'설정 Settings'!$A$122:$F$130,4,0)+VLOOKUP($G282,'설정 Settings'!$A$122:$F$130,5,0),0),2))</f>
      </c>
      <c r="Q282" s="42">
        <f>IF(AND($I282="OPEN",$B282&lt;&gt;""),IF('설정 Settings'!$C$15-$B282&gt;='설정 Settings'!$C$62,"후속 연락 필요",""),"")</f>
      </c>
    </row>
    <row r="283" spans="15:17" x14ac:dyDescent="0.25">
      <c r="O283" s="40">
        <f>IF(AND($L283="Y",$J283&lt;&gt;""),$J283+'설정 Settings'!$C$18,"")</f>
      </c>
      <c r="P283" s="41">
        <f>IF($H283="","",$H283-ROUND(IFERROR($H283*VLOOKUP($G283,'설정 Settings'!$A$122:$F$130,4,0)+VLOOKUP($G283,'설정 Settings'!$A$122:$F$130,5,0),0),2))</f>
      </c>
      <c r="Q283" s="42">
        <f>IF(AND($I283="OPEN",$B283&lt;&gt;""),IF('설정 Settings'!$C$15-$B283&gt;='설정 Settings'!$C$62,"후속 연락 필요",""),"")</f>
      </c>
    </row>
    <row r="284" spans="15:17" x14ac:dyDescent="0.25">
      <c r="O284" s="40">
        <f>IF(AND($L284="Y",$J284&lt;&gt;""),$J284+'설정 Settings'!$C$18,"")</f>
      </c>
      <c r="P284" s="41">
        <f>IF($H284="","",$H284-ROUND(IFERROR($H284*VLOOKUP($G284,'설정 Settings'!$A$122:$F$130,4,0)+VLOOKUP($G284,'설정 Settings'!$A$122:$F$130,5,0),0),2))</f>
      </c>
      <c r="Q284" s="42">
        <f>IF(AND($I284="OPEN",$B284&lt;&gt;""),IF('설정 Settings'!$C$15-$B284&gt;='설정 Settings'!$C$62,"후속 연락 필요",""),"")</f>
      </c>
    </row>
    <row r="285" spans="15:17" x14ac:dyDescent="0.25">
      <c r="O285" s="40">
        <f>IF(AND($L285="Y",$J285&lt;&gt;""),$J285+'설정 Settings'!$C$18,"")</f>
      </c>
      <c r="P285" s="41">
        <f>IF($H285="","",$H285-ROUND(IFERROR($H285*VLOOKUP($G285,'설정 Settings'!$A$122:$F$130,4,0)+VLOOKUP($G285,'설정 Settings'!$A$122:$F$130,5,0),0),2))</f>
      </c>
      <c r="Q285" s="42">
        <f>IF(AND($I285="OPEN",$B285&lt;&gt;""),IF('설정 Settings'!$C$15-$B285&gt;='설정 Settings'!$C$62,"후속 연락 필요",""),"")</f>
      </c>
    </row>
    <row r="286" spans="15:17" x14ac:dyDescent="0.25">
      <c r="O286" s="40">
        <f>IF(AND($L286="Y",$J286&lt;&gt;""),$J286+'설정 Settings'!$C$18,"")</f>
      </c>
      <c r="P286" s="41">
        <f>IF($H286="","",$H286-ROUND(IFERROR($H286*VLOOKUP($G286,'설정 Settings'!$A$122:$F$130,4,0)+VLOOKUP($G286,'설정 Settings'!$A$122:$F$130,5,0),0),2))</f>
      </c>
      <c r="Q286" s="42">
        <f>IF(AND($I286="OPEN",$B286&lt;&gt;""),IF('설정 Settings'!$C$15-$B286&gt;='설정 Settings'!$C$62,"후속 연락 필요",""),"")</f>
      </c>
    </row>
    <row r="287" spans="15:17" x14ac:dyDescent="0.25">
      <c r="O287" s="40">
        <f>IF(AND($L287="Y",$J287&lt;&gt;""),$J287+'설정 Settings'!$C$18,"")</f>
      </c>
      <c r="P287" s="41">
        <f>IF($H287="","",$H287-ROUND(IFERROR($H287*VLOOKUP($G287,'설정 Settings'!$A$122:$F$130,4,0)+VLOOKUP($G287,'설정 Settings'!$A$122:$F$130,5,0),0),2))</f>
      </c>
      <c r="Q287" s="42">
        <f>IF(AND($I287="OPEN",$B287&lt;&gt;""),IF('설정 Settings'!$C$15-$B287&gt;='설정 Settings'!$C$62,"후속 연락 필요",""),"")</f>
      </c>
    </row>
    <row r="288" spans="15:17" x14ac:dyDescent="0.25">
      <c r="O288" s="40">
        <f>IF(AND($L288="Y",$J288&lt;&gt;""),$J288+'설정 Settings'!$C$18,"")</f>
      </c>
      <c r="P288" s="41">
        <f>IF($H288="","",$H288-ROUND(IFERROR($H288*VLOOKUP($G288,'설정 Settings'!$A$122:$F$130,4,0)+VLOOKUP($G288,'설정 Settings'!$A$122:$F$130,5,0),0),2))</f>
      </c>
      <c r="Q288" s="42">
        <f>IF(AND($I288="OPEN",$B288&lt;&gt;""),IF('설정 Settings'!$C$15-$B288&gt;='설정 Settings'!$C$62,"후속 연락 필요",""),"")</f>
      </c>
    </row>
    <row r="289" spans="15:17" x14ac:dyDescent="0.25">
      <c r="O289" s="40">
        <f>IF(AND($L289="Y",$J289&lt;&gt;""),$J289+'설정 Settings'!$C$18,"")</f>
      </c>
      <c r="P289" s="41">
        <f>IF($H289="","",$H289-ROUND(IFERROR($H289*VLOOKUP($G289,'설정 Settings'!$A$122:$F$130,4,0)+VLOOKUP($G289,'설정 Settings'!$A$122:$F$130,5,0),0),2))</f>
      </c>
      <c r="Q289" s="42">
        <f>IF(AND($I289="OPEN",$B289&lt;&gt;""),IF('설정 Settings'!$C$15-$B289&gt;='설정 Settings'!$C$62,"후속 연락 필요",""),"")</f>
      </c>
    </row>
    <row r="290" spans="15:17" x14ac:dyDescent="0.25">
      <c r="O290" s="40">
        <f>IF(AND($L290="Y",$J290&lt;&gt;""),$J290+'설정 Settings'!$C$18,"")</f>
      </c>
      <c r="P290" s="41">
        <f>IF($H290="","",$H290-ROUND(IFERROR($H290*VLOOKUP($G290,'설정 Settings'!$A$122:$F$130,4,0)+VLOOKUP($G290,'설정 Settings'!$A$122:$F$130,5,0),0),2))</f>
      </c>
      <c r="Q290" s="42">
        <f>IF(AND($I290="OPEN",$B290&lt;&gt;""),IF('설정 Settings'!$C$15-$B290&gt;='설정 Settings'!$C$62,"후속 연락 필요",""),"")</f>
      </c>
    </row>
    <row r="291" spans="15:17" x14ac:dyDescent="0.25">
      <c r="O291" s="40">
        <f>IF(AND($L291="Y",$J291&lt;&gt;""),$J291+'설정 Settings'!$C$18,"")</f>
      </c>
      <c r="P291" s="41">
        <f>IF($H291="","",$H291-ROUND(IFERROR($H291*VLOOKUP($G291,'설정 Settings'!$A$122:$F$130,4,0)+VLOOKUP($G291,'설정 Settings'!$A$122:$F$130,5,0),0),2))</f>
      </c>
      <c r="Q291" s="42">
        <f>IF(AND($I291="OPEN",$B291&lt;&gt;""),IF('설정 Settings'!$C$15-$B291&gt;='설정 Settings'!$C$62,"후속 연락 필요",""),"")</f>
      </c>
    </row>
    <row r="292" spans="15:17" x14ac:dyDescent="0.25">
      <c r="O292" s="40">
        <f>IF(AND($L292="Y",$J292&lt;&gt;""),$J292+'설정 Settings'!$C$18,"")</f>
      </c>
      <c r="P292" s="41">
        <f>IF($H292="","",$H292-ROUND(IFERROR($H292*VLOOKUP($G292,'설정 Settings'!$A$122:$F$130,4,0)+VLOOKUP($G292,'설정 Settings'!$A$122:$F$130,5,0),0),2))</f>
      </c>
      <c r="Q292" s="42">
        <f>IF(AND($I292="OPEN",$B292&lt;&gt;""),IF('설정 Settings'!$C$15-$B292&gt;='설정 Settings'!$C$62,"후속 연락 필요",""),"")</f>
      </c>
    </row>
    <row r="293" spans="15:17" x14ac:dyDescent="0.25">
      <c r="O293" s="40">
        <f>IF(AND($L293="Y",$J293&lt;&gt;""),$J293+'설정 Settings'!$C$18,"")</f>
      </c>
      <c r="P293" s="41">
        <f>IF($H293="","",$H293-ROUND(IFERROR($H293*VLOOKUP($G293,'설정 Settings'!$A$122:$F$130,4,0)+VLOOKUP($G293,'설정 Settings'!$A$122:$F$130,5,0),0),2))</f>
      </c>
      <c r="Q293" s="42">
        <f>IF(AND($I293="OPEN",$B293&lt;&gt;""),IF('설정 Settings'!$C$15-$B293&gt;='설정 Settings'!$C$62,"후속 연락 필요",""),"")</f>
      </c>
    </row>
    <row r="294" spans="15:17" x14ac:dyDescent="0.25">
      <c r="O294" s="40">
        <f>IF(AND($L294="Y",$J294&lt;&gt;""),$J294+'설정 Settings'!$C$18,"")</f>
      </c>
      <c r="P294" s="41">
        <f>IF($H294="","",$H294-ROUND(IFERROR($H294*VLOOKUP($G294,'설정 Settings'!$A$122:$F$130,4,0)+VLOOKUP($G294,'설정 Settings'!$A$122:$F$130,5,0),0),2))</f>
      </c>
      <c r="Q294" s="42">
        <f>IF(AND($I294="OPEN",$B294&lt;&gt;""),IF('설정 Settings'!$C$15-$B294&gt;='설정 Settings'!$C$62,"후속 연락 필요",""),"")</f>
      </c>
    </row>
    <row r="295" spans="15:17" x14ac:dyDescent="0.25">
      <c r="O295" s="40">
        <f>IF(AND($L295="Y",$J295&lt;&gt;""),$J295+'설정 Settings'!$C$18,"")</f>
      </c>
      <c r="P295" s="41">
        <f>IF($H295="","",$H295-ROUND(IFERROR($H295*VLOOKUP($G295,'설정 Settings'!$A$122:$F$130,4,0)+VLOOKUP($G295,'설정 Settings'!$A$122:$F$130,5,0),0),2))</f>
      </c>
      <c r="Q295" s="42">
        <f>IF(AND($I295="OPEN",$B295&lt;&gt;""),IF('설정 Settings'!$C$15-$B295&gt;='설정 Settings'!$C$62,"후속 연락 필요",""),"")</f>
      </c>
    </row>
    <row r="296" spans="15:17" x14ac:dyDescent="0.25">
      <c r="O296" s="40">
        <f>IF(AND($L296="Y",$J296&lt;&gt;""),$J296+'설정 Settings'!$C$18,"")</f>
      </c>
      <c r="P296" s="41">
        <f>IF($H296="","",$H296-ROUND(IFERROR($H296*VLOOKUP($G296,'설정 Settings'!$A$122:$F$130,4,0)+VLOOKUP($G296,'설정 Settings'!$A$122:$F$130,5,0),0),2))</f>
      </c>
      <c r="Q296" s="42">
        <f>IF(AND($I296="OPEN",$B296&lt;&gt;""),IF('설정 Settings'!$C$15-$B296&gt;='설정 Settings'!$C$62,"후속 연락 필요",""),"")</f>
      </c>
    </row>
    <row r="297" spans="15:17" x14ac:dyDescent="0.25">
      <c r="O297" s="40">
        <f>IF(AND($L297="Y",$J297&lt;&gt;""),$J297+'설정 Settings'!$C$18,"")</f>
      </c>
      <c r="P297" s="41">
        <f>IF($H297="","",$H297-ROUND(IFERROR($H297*VLOOKUP($G297,'설정 Settings'!$A$122:$F$130,4,0)+VLOOKUP($G297,'설정 Settings'!$A$122:$F$130,5,0),0),2))</f>
      </c>
      <c r="Q297" s="42">
        <f>IF(AND($I297="OPEN",$B297&lt;&gt;""),IF('설정 Settings'!$C$15-$B297&gt;='설정 Settings'!$C$62,"후속 연락 필요",""),"")</f>
      </c>
    </row>
    <row r="298" spans="15:17" x14ac:dyDescent="0.25">
      <c r="O298" s="40">
        <f>IF(AND($L298="Y",$J298&lt;&gt;""),$J298+'설정 Settings'!$C$18,"")</f>
      </c>
      <c r="P298" s="41">
        <f>IF($H298="","",$H298-ROUND(IFERROR($H298*VLOOKUP($G298,'설정 Settings'!$A$122:$F$130,4,0)+VLOOKUP($G298,'설정 Settings'!$A$122:$F$130,5,0),0),2))</f>
      </c>
      <c r="Q298" s="42">
        <f>IF(AND($I298="OPEN",$B298&lt;&gt;""),IF('설정 Settings'!$C$15-$B298&gt;='설정 Settings'!$C$62,"후속 연락 필요",""),"")</f>
      </c>
    </row>
    <row r="299" spans="15:17" x14ac:dyDescent="0.25">
      <c r="O299" s="40">
        <f>IF(AND($L299="Y",$J299&lt;&gt;""),$J299+'설정 Settings'!$C$18,"")</f>
      </c>
      <c r="P299" s="41">
        <f>IF($H299="","",$H299-ROUND(IFERROR($H299*VLOOKUP($G299,'설정 Settings'!$A$122:$F$130,4,0)+VLOOKUP($G299,'설정 Settings'!$A$122:$F$130,5,0),0),2))</f>
      </c>
      <c r="Q299" s="42">
        <f>IF(AND($I299="OPEN",$B299&lt;&gt;""),IF('설정 Settings'!$C$15-$B299&gt;='설정 Settings'!$C$62,"후속 연락 필요",""),"")</f>
      </c>
    </row>
    <row r="300" spans="15:17" x14ac:dyDescent="0.25">
      <c r="O300" s="40">
        <f>IF(AND($L300="Y",$J300&lt;&gt;""),$J300+'설정 Settings'!$C$18,"")</f>
      </c>
      <c r="P300" s="41">
        <f>IF($H300="","",$H300-ROUND(IFERROR($H300*VLOOKUP($G300,'설정 Settings'!$A$122:$F$130,4,0)+VLOOKUP($G300,'설정 Settings'!$A$122:$F$130,5,0),0),2))</f>
      </c>
      <c r="Q300" s="42">
        <f>IF(AND($I300="OPEN",$B300&lt;&gt;""),IF('설정 Settings'!$C$15-$B300&gt;='설정 Settings'!$C$62,"후속 연락 필요",""),"")</f>
      </c>
    </row>
    <row r="301" spans="15:17" x14ac:dyDescent="0.25">
      <c r="O301" s="40">
        <f>IF(AND($L301="Y",$J301&lt;&gt;""),$J301+'설정 Settings'!$C$18,"")</f>
      </c>
      <c r="P301" s="41">
        <f>IF($H301="","",$H301-ROUND(IFERROR($H301*VLOOKUP($G301,'설정 Settings'!$A$122:$F$130,4,0)+VLOOKUP($G301,'설정 Settings'!$A$122:$F$130,5,0),0),2))</f>
      </c>
      <c r="Q301" s="42">
        <f>IF(AND($I301="OPEN",$B301&lt;&gt;""),IF('설정 Settings'!$C$15-$B301&gt;='설정 Settings'!$C$62,"후속 연락 필요",""),"")</f>
      </c>
    </row>
    <row r="302" spans="15:17" x14ac:dyDescent="0.25">
      <c r="O302" s="40">
        <f>IF(AND($L302="Y",$J302&lt;&gt;""),$J302+'설정 Settings'!$C$18,"")</f>
      </c>
      <c r="P302" s="41">
        <f>IF($H302="","",$H302-ROUND(IFERROR($H302*VLOOKUP($G302,'설정 Settings'!$A$122:$F$130,4,0)+VLOOKUP($G302,'설정 Settings'!$A$122:$F$130,5,0),0),2))</f>
      </c>
      <c r="Q302" s="42">
        <f>IF(AND($I302="OPEN",$B302&lt;&gt;""),IF('설정 Settings'!$C$15-$B302&gt;='설정 Settings'!$C$62,"후속 연락 필요",""),"")</f>
      </c>
    </row>
    <row r="303" spans="15:17" x14ac:dyDescent="0.25">
      <c r="O303" s="40">
        <f>IF(AND($L303="Y",$J303&lt;&gt;""),$J303+'설정 Settings'!$C$18,"")</f>
      </c>
      <c r="P303" s="41">
        <f>IF($H303="","",$H303-ROUND(IFERROR($H303*VLOOKUP($G303,'설정 Settings'!$A$122:$F$130,4,0)+VLOOKUP($G303,'설정 Settings'!$A$122:$F$130,5,0),0),2))</f>
      </c>
      <c r="Q303" s="42">
        <f>IF(AND($I303="OPEN",$B303&lt;&gt;""),IF('설정 Settings'!$C$15-$B303&gt;='설정 Settings'!$C$62,"후속 연락 필요",""),"")</f>
      </c>
    </row>
    <row r="304" spans="15:17" x14ac:dyDescent="0.25">
      <c r="O304" s="40">
        <f>IF(AND($L304="Y",$J304&lt;&gt;""),$J304+'설정 Settings'!$C$18,"")</f>
      </c>
      <c r="P304" s="41">
        <f>IF($H304="","",$H304-ROUND(IFERROR($H304*VLOOKUP($G304,'설정 Settings'!$A$122:$F$130,4,0)+VLOOKUP($G304,'설정 Settings'!$A$122:$F$130,5,0),0),2))</f>
      </c>
      <c r="Q304" s="42">
        <f>IF(AND($I304="OPEN",$B304&lt;&gt;""),IF('설정 Settings'!$C$15-$B304&gt;='설정 Settings'!$C$62,"후속 연락 필요",""),"")</f>
      </c>
    </row>
    <row r="305" spans="15:17" x14ac:dyDescent="0.25">
      <c r="O305" s="40">
        <f>IF(AND($L305="Y",$J305&lt;&gt;""),$J305+'설정 Settings'!$C$18,"")</f>
      </c>
      <c r="P305" s="41">
        <f>IF($H305="","",$H305-ROUND(IFERROR($H305*VLOOKUP($G305,'설정 Settings'!$A$122:$F$130,4,0)+VLOOKUP($G305,'설정 Settings'!$A$122:$F$130,5,0),0),2))</f>
      </c>
      <c r="Q305" s="42">
        <f>IF(AND($I305="OPEN",$B305&lt;&gt;""),IF('설정 Settings'!$C$15-$B305&gt;='설정 Settings'!$C$62,"후속 연락 필요",""),"")</f>
      </c>
    </row>
    <row r="306" spans="15:17" x14ac:dyDescent="0.25">
      <c r="O306" s="40">
        <f>IF(AND($L306="Y",$J306&lt;&gt;""),$J306+'설정 Settings'!$C$18,"")</f>
      </c>
      <c r="P306" s="41">
        <f>IF($H306="","",$H306-ROUND(IFERROR($H306*VLOOKUP($G306,'설정 Settings'!$A$122:$F$130,4,0)+VLOOKUP($G306,'설정 Settings'!$A$122:$F$130,5,0),0),2))</f>
      </c>
      <c r="Q306" s="42">
        <f>IF(AND($I306="OPEN",$B306&lt;&gt;""),IF('설정 Settings'!$C$15-$B306&gt;='설정 Settings'!$C$62,"후속 연락 필요",""),"")</f>
      </c>
    </row>
    <row r="307" spans="15:17" x14ac:dyDescent="0.25">
      <c r="O307" s="40">
        <f>IF(AND($L307="Y",$J307&lt;&gt;""),$J307+'설정 Settings'!$C$18,"")</f>
      </c>
      <c r="P307" s="41">
        <f>IF($H307="","",$H307-ROUND(IFERROR($H307*VLOOKUP($G307,'설정 Settings'!$A$122:$F$130,4,0)+VLOOKUP($G307,'설정 Settings'!$A$122:$F$130,5,0),0),2))</f>
      </c>
      <c r="Q307" s="42">
        <f>IF(AND($I307="OPEN",$B307&lt;&gt;""),IF('설정 Settings'!$C$15-$B307&gt;='설정 Settings'!$C$62,"후속 연락 필요",""),"")</f>
      </c>
    </row>
    <row r="308" spans="15:17" x14ac:dyDescent="0.25">
      <c r="O308" s="40">
        <f>IF(AND($L308="Y",$J308&lt;&gt;""),$J308+'설정 Settings'!$C$18,"")</f>
      </c>
      <c r="P308" s="41">
        <f>IF($H308="","",$H308-ROUND(IFERROR($H308*VLOOKUP($G308,'설정 Settings'!$A$122:$F$130,4,0)+VLOOKUP($G308,'설정 Settings'!$A$122:$F$130,5,0),0),2))</f>
      </c>
      <c r="Q308" s="42">
        <f>IF(AND($I308="OPEN",$B308&lt;&gt;""),IF('설정 Settings'!$C$15-$B308&gt;='설정 Settings'!$C$62,"후속 연락 필요",""),"")</f>
      </c>
    </row>
    <row r="309" spans="15:17" x14ac:dyDescent="0.25">
      <c r="O309" s="40">
        <f>IF(AND($L309="Y",$J309&lt;&gt;""),$J309+'설정 Settings'!$C$18,"")</f>
      </c>
      <c r="P309" s="41">
        <f>IF($H309="","",$H309-ROUND(IFERROR($H309*VLOOKUP($G309,'설정 Settings'!$A$122:$F$130,4,0)+VLOOKUP($G309,'설정 Settings'!$A$122:$F$130,5,0),0),2))</f>
      </c>
      <c r="Q309" s="42">
        <f>IF(AND($I309="OPEN",$B309&lt;&gt;""),IF('설정 Settings'!$C$15-$B309&gt;='설정 Settings'!$C$62,"후속 연락 필요",""),"")</f>
      </c>
    </row>
    <row r="310" spans="15:17" x14ac:dyDescent="0.25">
      <c r="O310" s="40">
        <f>IF(AND($L310="Y",$J310&lt;&gt;""),$J310+'설정 Settings'!$C$18,"")</f>
      </c>
      <c r="P310" s="41">
        <f>IF($H310="","",$H310-ROUND(IFERROR($H310*VLOOKUP($G310,'설정 Settings'!$A$122:$F$130,4,0)+VLOOKUP($G310,'설정 Settings'!$A$122:$F$130,5,0),0),2))</f>
      </c>
      <c r="Q310" s="42">
        <f>IF(AND($I310="OPEN",$B310&lt;&gt;""),IF('설정 Settings'!$C$15-$B310&gt;='설정 Settings'!$C$62,"후속 연락 필요",""),"")</f>
      </c>
    </row>
    <row r="311" spans="15:17" x14ac:dyDescent="0.25">
      <c r="O311" s="40">
        <f>IF(AND($L311="Y",$J311&lt;&gt;""),$J311+'설정 Settings'!$C$18,"")</f>
      </c>
      <c r="P311" s="41">
        <f>IF($H311="","",$H311-ROUND(IFERROR($H311*VLOOKUP($G311,'설정 Settings'!$A$122:$F$130,4,0)+VLOOKUP($G311,'설정 Settings'!$A$122:$F$130,5,0),0),2))</f>
      </c>
      <c r="Q311" s="42">
        <f>IF(AND($I311="OPEN",$B311&lt;&gt;""),IF('설정 Settings'!$C$15-$B311&gt;='설정 Settings'!$C$62,"후속 연락 필요",""),"")</f>
      </c>
    </row>
    <row r="312" spans="15:17" x14ac:dyDescent="0.25">
      <c r="O312" s="40">
        <f>IF(AND($L312="Y",$J312&lt;&gt;""),$J312+'설정 Settings'!$C$18,"")</f>
      </c>
      <c r="P312" s="41">
        <f>IF($H312="","",$H312-ROUND(IFERROR($H312*VLOOKUP($G312,'설정 Settings'!$A$122:$F$130,4,0)+VLOOKUP($G312,'설정 Settings'!$A$122:$F$130,5,0),0),2))</f>
      </c>
      <c r="Q312" s="42">
        <f>IF(AND($I312="OPEN",$B312&lt;&gt;""),IF('설정 Settings'!$C$15-$B312&gt;='설정 Settings'!$C$62,"후속 연락 필요",""),"")</f>
      </c>
    </row>
    <row r="313" spans="15:17" x14ac:dyDescent="0.25">
      <c r="O313" s="40">
        <f>IF(AND($L313="Y",$J313&lt;&gt;""),$J313+'설정 Settings'!$C$18,"")</f>
      </c>
      <c r="P313" s="41">
        <f>IF($H313="","",$H313-ROUND(IFERROR($H313*VLOOKUP($G313,'설정 Settings'!$A$122:$F$130,4,0)+VLOOKUP($G313,'설정 Settings'!$A$122:$F$130,5,0),0),2))</f>
      </c>
      <c r="Q313" s="42">
        <f>IF(AND($I313="OPEN",$B313&lt;&gt;""),IF('설정 Settings'!$C$15-$B313&gt;='설정 Settings'!$C$62,"후속 연락 필요",""),"")</f>
      </c>
    </row>
    <row r="314" spans="15:17" x14ac:dyDescent="0.25">
      <c r="O314" s="40">
        <f>IF(AND($L314="Y",$J314&lt;&gt;""),$J314+'설정 Settings'!$C$18,"")</f>
      </c>
      <c r="P314" s="41">
        <f>IF($H314="","",$H314-ROUND(IFERROR($H314*VLOOKUP($G314,'설정 Settings'!$A$122:$F$130,4,0)+VLOOKUP($G314,'설정 Settings'!$A$122:$F$130,5,0),0),2))</f>
      </c>
      <c r="Q314" s="42">
        <f>IF(AND($I314="OPEN",$B314&lt;&gt;""),IF('설정 Settings'!$C$15-$B314&gt;='설정 Settings'!$C$62,"후속 연락 필요",""),"")</f>
      </c>
    </row>
    <row r="315" spans="15:17" x14ac:dyDescent="0.25">
      <c r="O315" s="40">
        <f>IF(AND($L315="Y",$J315&lt;&gt;""),$J315+'설정 Settings'!$C$18,"")</f>
      </c>
      <c r="P315" s="41">
        <f>IF($H315="","",$H315-ROUND(IFERROR($H315*VLOOKUP($G315,'설정 Settings'!$A$122:$F$130,4,0)+VLOOKUP($G315,'설정 Settings'!$A$122:$F$130,5,0),0),2))</f>
      </c>
      <c r="Q315" s="42">
        <f>IF(AND($I315="OPEN",$B315&lt;&gt;""),IF('설정 Settings'!$C$15-$B315&gt;='설정 Settings'!$C$62,"후속 연락 필요",""),"")</f>
      </c>
    </row>
    <row r="316" spans="15:17" x14ac:dyDescent="0.25">
      <c r="O316" s="40">
        <f>IF(AND($L316="Y",$J316&lt;&gt;""),$J316+'설정 Settings'!$C$18,"")</f>
      </c>
      <c r="P316" s="41">
        <f>IF($H316="","",$H316-ROUND(IFERROR($H316*VLOOKUP($G316,'설정 Settings'!$A$122:$F$130,4,0)+VLOOKUP($G316,'설정 Settings'!$A$122:$F$130,5,0),0),2))</f>
      </c>
      <c r="Q316" s="42">
        <f>IF(AND($I316="OPEN",$B316&lt;&gt;""),IF('설정 Settings'!$C$15-$B316&gt;='설정 Settings'!$C$62,"후속 연락 필요",""),"")</f>
      </c>
    </row>
    <row r="317" spans="15:17" x14ac:dyDescent="0.25">
      <c r="O317" s="40">
        <f>IF(AND($L317="Y",$J317&lt;&gt;""),$J317+'설정 Settings'!$C$18,"")</f>
      </c>
      <c r="P317" s="41">
        <f>IF($H317="","",$H317-ROUND(IFERROR($H317*VLOOKUP($G317,'설정 Settings'!$A$122:$F$130,4,0)+VLOOKUP($G317,'설정 Settings'!$A$122:$F$130,5,0),0),2))</f>
      </c>
      <c r="Q317" s="42">
        <f>IF(AND($I317="OPEN",$B317&lt;&gt;""),IF('설정 Settings'!$C$15-$B317&gt;='설정 Settings'!$C$62,"후속 연락 필요",""),"")</f>
      </c>
    </row>
    <row r="318" spans="15:17" x14ac:dyDescent="0.25">
      <c r="O318" s="40">
        <f>IF(AND($L318="Y",$J318&lt;&gt;""),$J318+'설정 Settings'!$C$18,"")</f>
      </c>
      <c r="P318" s="41">
        <f>IF($H318="","",$H318-ROUND(IFERROR($H318*VLOOKUP($G318,'설정 Settings'!$A$122:$F$130,4,0)+VLOOKUP($G318,'설정 Settings'!$A$122:$F$130,5,0),0),2))</f>
      </c>
      <c r="Q318" s="42">
        <f>IF(AND($I318="OPEN",$B318&lt;&gt;""),IF('설정 Settings'!$C$15-$B318&gt;='설정 Settings'!$C$62,"후속 연락 필요",""),"")</f>
      </c>
    </row>
    <row r="319" spans="15:17" x14ac:dyDescent="0.25">
      <c r="O319" s="40">
        <f>IF(AND($L319="Y",$J319&lt;&gt;""),$J319+'설정 Settings'!$C$18,"")</f>
      </c>
      <c r="P319" s="41">
        <f>IF($H319="","",$H319-ROUND(IFERROR($H319*VLOOKUP($G319,'설정 Settings'!$A$122:$F$130,4,0)+VLOOKUP($G319,'설정 Settings'!$A$122:$F$130,5,0),0),2))</f>
      </c>
      <c r="Q319" s="42">
        <f>IF(AND($I319="OPEN",$B319&lt;&gt;""),IF('설정 Settings'!$C$15-$B319&gt;='설정 Settings'!$C$62,"후속 연락 필요",""),"")</f>
      </c>
    </row>
    <row r="320" spans="15:17" x14ac:dyDescent="0.25">
      <c r="O320" s="40">
        <f>IF(AND($L320="Y",$J320&lt;&gt;""),$J320+'설정 Settings'!$C$18,"")</f>
      </c>
      <c r="P320" s="41">
        <f>IF($H320="","",$H320-ROUND(IFERROR($H320*VLOOKUP($G320,'설정 Settings'!$A$122:$F$130,4,0)+VLOOKUP($G320,'설정 Settings'!$A$122:$F$130,5,0),0),2))</f>
      </c>
      <c r="Q320" s="42">
        <f>IF(AND($I320="OPEN",$B320&lt;&gt;""),IF('설정 Settings'!$C$15-$B320&gt;='설정 Settings'!$C$62,"후속 연락 필요",""),"")</f>
      </c>
    </row>
    <row r="321" spans="15:17" x14ac:dyDescent="0.25">
      <c r="O321" s="40">
        <f>IF(AND($L321="Y",$J321&lt;&gt;""),$J321+'설정 Settings'!$C$18,"")</f>
      </c>
      <c r="P321" s="41">
        <f>IF($H321="","",$H321-ROUND(IFERROR($H321*VLOOKUP($G321,'설정 Settings'!$A$122:$F$130,4,0)+VLOOKUP($G321,'설정 Settings'!$A$122:$F$130,5,0),0),2))</f>
      </c>
      <c r="Q321" s="42">
        <f>IF(AND($I321="OPEN",$B321&lt;&gt;""),IF('설정 Settings'!$C$15-$B321&gt;='설정 Settings'!$C$62,"후속 연락 필요",""),"")</f>
      </c>
    </row>
    <row r="322" spans="15:17" x14ac:dyDescent="0.25">
      <c r="O322" s="40">
        <f>IF(AND($L322="Y",$J322&lt;&gt;""),$J322+'설정 Settings'!$C$18,"")</f>
      </c>
      <c r="P322" s="41">
        <f>IF($H322="","",$H322-ROUND(IFERROR($H322*VLOOKUP($G322,'설정 Settings'!$A$122:$F$130,4,0)+VLOOKUP($G322,'설정 Settings'!$A$122:$F$130,5,0),0),2))</f>
      </c>
      <c r="Q322" s="42">
        <f>IF(AND($I322="OPEN",$B322&lt;&gt;""),IF('설정 Settings'!$C$15-$B322&gt;='설정 Settings'!$C$62,"후속 연락 필요",""),"")</f>
      </c>
    </row>
    <row r="323" spans="15:17" x14ac:dyDescent="0.25">
      <c r="O323" s="40">
        <f>IF(AND($L323="Y",$J323&lt;&gt;""),$J323+'설정 Settings'!$C$18,"")</f>
      </c>
      <c r="P323" s="41">
        <f>IF($H323="","",$H323-ROUND(IFERROR($H323*VLOOKUP($G323,'설정 Settings'!$A$122:$F$130,4,0)+VLOOKUP($G323,'설정 Settings'!$A$122:$F$130,5,0),0),2))</f>
      </c>
      <c r="Q323" s="42">
        <f>IF(AND($I323="OPEN",$B323&lt;&gt;""),IF('설정 Settings'!$C$15-$B323&gt;='설정 Settings'!$C$62,"후속 연락 필요",""),"")</f>
      </c>
    </row>
    <row r="324" spans="15:17" x14ac:dyDescent="0.25">
      <c r="O324" s="40">
        <f>IF(AND($L324="Y",$J324&lt;&gt;""),$J324+'설정 Settings'!$C$18,"")</f>
      </c>
      <c r="P324" s="41">
        <f>IF($H324="","",$H324-ROUND(IFERROR($H324*VLOOKUP($G324,'설정 Settings'!$A$122:$F$130,4,0)+VLOOKUP($G324,'설정 Settings'!$A$122:$F$130,5,0),0),2))</f>
      </c>
      <c r="Q324" s="42">
        <f>IF(AND($I324="OPEN",$B324&lt;&gt;""),IF('설정 Settings'!$C$15-$B324&gt;='설정 Settings'!$C$62,"후속 연락 필요",""),"")</f>
      </c>
    </row>
    <row r="325" spans="15:17" x14ac:dyDescent="0.25">
      <c r="O325" s="40">
        <f>IF(AND($L325="Y",$J325&lt;&gt;""),$J325+'설정 Settings'!$C$18,"")</f>
      </c>
      <c r="P325" s="41">
        <f>IF($H325="","",$H325-ROUND(IFERROR($H325*VLOOKUP($G325,'설정 Settings'!$A$122:$F$130,4,0)+VLOOKUP($G325,'설정 Settings'!$A$122:$F$130,5,0),0),2))</f>
      </c>
      <c r="Q325" s="42">
        <f>IF(AND($I325="OPEN",$B325&lt;&gt;""),IF('설정 Settings'!$C$15-$B325&gt;='설정 Settings'!$C$62,"후속 연락 필요",""),"")</f>
      </c>
    </row>
    <row r="326" spans="15:17" x14ac:dyDescent="0.25">
      <c r="O326" s="40">
        <f>IF(AND($L326="Y",$J326&lt;&gt;""),$J326+'설정 Settings'!$C$18,"")</f>
      </c>
      <c r="P326" s="41">
        <f>IF($H326="","",$H326-ROUND(IFERROR($H326*VLOOKUP($G326,'설정 Settings'!$A$122:$F$130,4,0)+VLOOKUP($G326,'설정 Settings'!$A$122:$F$130,5,0),0),2))</f>
      </c>
      <c r="Q326" s="42">
        <f>IF(AND($I326="OPEN",$B326&lt;&gt;""),IF('설정 Settings'!$C$15-$B326&gt;='설정 Settings'!$C$62,"후속 연락 필요",""),"")</f>
      </c>
    </row>
    <row r="327" spans="15:17" x14ac:dyDescent="0.25">
      <c r="O327" s="40">
        <f>IF(AND($L327="Y",$J327&lt;&gt;""),$J327+'설정 Settings'!$C$18,"")</f>
      </c>
      <c r="P327" s="41">
        <f>IF($H327="","",$H327-ROUND(IFERROR($H327*VLOOKUP($G327,'설정 Settings'!$A$122:$F$130,4,0)+VLOOKUP($G327,'설정 Settings'!$A$122:$F$130,5,0),0),2))</f>
      </c>
      <c r="Q327" s="42">
        <f>IF(AND($I327="OPEN",$B327&lt;&gt;""),IF('설정 Settings'!$C$15-$B327&gt;='설정 Settings'!$C$62,"후속 연락 필요",""),"")</f>
      </c>
    </row>
    <row r="328" spans="15:17" x14ac:dyDescent="0.25">
      <c r="O328" s="40">
        <f>IF(AND($L328="Y",$J328&lt;&gt;""),$J328+'설정 Settings'!$C$18,"")</f>
      </c>
      <c r="P328" s="41">
        <f>IF($H328="","",$H328-ROUND(IFERROR($H328*VLOOKUP($G328,'설정 Settings'!$A$122:$F$130,4,0)+VLOOKUP($G328,'설정 Settings'!$A$122:$F$130,5,0),0),2))</f>
      </c>
      <c r="Q328" s="42">
        <f>IF(AND($I328="OPEN",$B328&lt;&gt;""),IF('설정 Settings'!$C$15-$B328&gt;='설정 Settings'!$C$62,"후속 연락 필요",""),"")</f>
      </c>
    </row>
    <row r="329" spans="15:17" x14ac:dyDescent="0.25">
      <c r="O329" s="40">
        <f>IF(AND($L329="Y",$J329&lt;&gt;""),$J329+'설정 Settings'!$C$18,"")</f>
      </c>
      <c r="P329" s="41">
        <f>IF($H329="","",$H329-ROUND(IFERROR($H329*VLOOKUP($G329,'설정 Settings'!$A$122:$F$130,4,0)+VLOOKUP($G329,'설정 Settings'!$A$122:$F$130,5,0),0),2))</f>
      </c>
      <c r="Q329" s="42">
        <f>IF(AND($I329="OPEN",$B329&lt;&gt;""),IF('설정 Settings'!$C$15-$B329&gt;='설정 Settings'!$C$62,"후속 연락 필요",""),"")</f>
      </c>
    </row>
    <row r="330" spans="15:17" x14ac:dyDescent="0.25">
      <c r="O330" s="40">
        <f>IF(AND($L330="Y",$J330&lt;&gt;""),$J330+'설정 Settings'!$C$18,"")</f>
      </c>
      <c r="P330" s="41">
        <f>IF($H330="","",$H330-ROUND(IFERROR($H330*VLOOKUP($G330,'설정 Settings'!$A$122:$F$130,4,0)+VLOOKUP($G330,'설정 Settings'!$A$122:$F$130,5,0),0),2))</f>
      </c>
      <c r="Q330" s="42">
        <f>IF(AND($I330="OPEN",$B330&lt;&gt;""),IF('설정 Settings'!$C$15-$B330&gt;='설정 Settings'!$C$62,"후속 연락 필요",""),"")</f>
      </c>
    </row>
    <row r="331" spans="15:17" x14ac:dyDescent="0.25">
      <c r="O331" s="40">
        <f>IF(AND($L331="Y",$J331&lt;&gt;""),$J331+'설정 Settings'!$C$18,"")</f>
      </c>
      <c r="P331" s="41">
        <f>IF($H331="","",$H331-ROUND(IFERROR($H331*VLOOKUP($G331,'설정 Settings'!$A$122:$F$130,4,0)+VLOOKUP($G331,'설정 Settings'!$A$122:$F$130,5,0),0),2))</f>
      </c>
      <c r="Q331" s="42">
        <f>IF(AND($I331="OPEN",$B331&lt;&gt;""),IF('설정 Settings'!$C$15-$B331&gt;='설정 Settings'!$C$62,"후속 연락 필요",""),"")</f>
      </c>
    </row>
    <row r="332" spans="15:17" x14ac:dyDescent="0.25">
      <c r="O332" s="40">
        <f>IF(AND($L332="Y",$J332&lt;&gt;""),$J332+'설정 Settings'!$C$18,"")</f>
      </c>
      <c r="P332" s="41">
        <f>IF($H332="","",$H332-ROUND(IFERROR($H332*VLOOKUP($G332,'설정 Settings'!$A$122:$F$130,4,0)+VLOOKUP($G332,'설정 Settings'!$A$122:$F$130,5,0),0),2))</f>
      </c>
      <c r="Q332" s="42">
        <f>IF(AND($I332="OPEN",$B332&lt;&gt;""),IF('설정 Settings'!$C$15-$B332&gt;='설정 Settings'!$C$62,"후속 연락 필요",""),"")</f>
      </c>
    </row>
    <row r="333" spans="15:17" x14ac:dyDescent="0.25">
      <c r="O333" s="40">
        <f>IF(AND($L333="Y",$J333&lt;&gt;""),$J333+'설정 Settings'!$C$18,"")</f>
      </c>
      <c r="P333" s="41">
        <f>IF($H333="","",$H333-ROUND(IFERROR($H333*VLOOKUP($G333,'설정 Settings'!$A$122:$F$130,4,0)+VLOOKUP($G333,'설정 Settings'!$A$122:$F$130,5,0),0),2))</f>
      </c>
      <c r="Q333" s="42">
        <f>IF(AND($I333="OPEN",$B333&lt;&gt;""),IF('설정 Settings'!$C$15-$B333&gt;='설정 Settings'!$C$62,"후속 연락 필요",""),"")</f>
      </c>
    </row>
    <row r="334" spans="15:17" x14ac:dyDescent="0.25">
      <c r="O334" s="40">
        <f>IF(AND($L334="Y",$J334&lt;&gt;""),$J334+'설정 Settings'!$C$18,"")</f>
      </c>
      <c r="P334" s="41">
        <f>IF($H334="","",$H334-ROUND(IFERROR($H334*VLOOKUP($G334,'설정 Settings'!$A$122:$F$130,4,0)+VLOOKUP($G334,'설정 Settings'!$A$122:$F$130,5,0),0),2))</f>
      </c>
      <c r="Q334" s="42">
        <f>IF(AND($I334="OPEN",$B334&lt;&gt;""),IF('설정 Settings'!$C$15-$B334&gt;='설정 Settings'!$C$62,"후속 연락 필요",""),"")</f>
      </c>
    </row>
    <row r="335" spans="15:17" x14ac:dyDescent="0.25">
      <c r="O335" s="40">
        <f>IF(AND($L335="Y",$J335&lt;&gt;""),$J335+'설정 Settings'!$C$18,"")</f>
      </c>
      <c r="P335" s="41">
        <f>IF($H335="","",$H335-ROUND(IFERROR($H335*VLOOKUP($G335,'설정 Settings'!$A$122:$F$130,4,0)+VLOOKUP($G335,'설정 Settings'!$A$122:$F$130,5,0),0),2))</f>
      </c>
      <c r="Q335" s="42">
        <f>IF(AND($I335="OPEN",$B335&lt;&gt;""),IF('설정 Settings'!$C$15-$B335&gt;='설정 Settings'!$C$62,"후속 연락 필요",""),"")</f>
      </c>
    </row>
    <row r="336" spans="15:17" x14ac:dyDescent="0.25">
      <c r="O336" s="40">
        <f>IF(AND($L336="Y",$J336&lt;&gt;""),$J336+'설정 Settings'!$C$18,"")</f>
      </c>
      <c r="P336" s="41">
        <f>IF($H336="","",$H336-ROUND(IFERROR($H336*VLOOKUP($G336,'설정 Settings'!$A$122:$F$130,4,0)+VLOOKUP($G336,'설정 Settings'!$A$122:$F$130,5,0),0),2))</f>
      </c>
      <c r="Q336" s="42">
        <f>IF(AND($I336="OPEN",$B336&lt;&gt;""),IF('설정 Settings'!$C$15-$B336&gt;='설정 Settings'!$C$62,"후속 연락 필요",""),"")</f>
      </c>
    </row>
    <row r="337" spans="15:17" x14ac:dyDescent="0.25">
      <c r="O337" s="40">
        <f>IF(AND($L337="Y",$J337&lt;&gt;""),$J337+'설정 Settings'!$C$18,"")</f>
      </c>
      <c r="P337" s="41">
        <f>IF($H337="","",$H337-ROUND(IFERROR($H337*VLOOKUP($G337,'설정 Settings'!$A$122:$F$130,4,0)+VLOOKUP($G337,'설정 Settings'!$A$122:$F$130,5,0),0),2))</f>
      </c>
      <c r="Q337" s="42">
        <f>IF(AND($I337="OPEN",$B337&lt;&gt;""),IF('설정 Settings'!$C$15-$B337&gt;='설정 Settings'!$C$62,"후속 연락 필요",""),"")</f>
      </c>
    </row>
    <row r="338" spans="15:17" x14ac:dyDescent="0.25">
      <c r="O338" s="40">
        <f>IF(AND($L338="Y",$J338&lt;&gt;""),$J338+'설정 Settings'!$C$18,"")</f>
      </c>
      <c r="P338" s="41">
        <f>IF($H338="","",$H338-ROUND(IFERROR($H338*VLOOKUP($G338,'설정 Settings'!$A$122:$F$130,4,0)+VLOOKUP($G338,'설정 Settings'!$A$122:$F$130,5,0),0),2))</f>
      </c>
      <c r="Q338" s="42">
        <f>IF(AND($I338="OPEN",$B338&lt;&gt;""),IF('설정 Settings'!$C$15-$B338&gt;='설정 Settings'!$C$62,"후속 연락 필요",""),"")</f>
      </c>
    </row>
    <row r="339" spans="15:17" x14ac:dyDescent="0.25">
      <c r="O339" s="40">
        <f>IF(AND($L339="Y",$J339&lt;&gt;""),$J339+'설정 Settings'!$C$18,"")</f>
      </c>
      <c r="P339" s="41">
        <f>IF($H339="","",$H339-ROUND(IFERROR($H339*VLOOKUP($G339,'설정 Settings'!$A$122:$F$130,4,0)+VLOOKUP($G339,'설정 Settings'!$A$122:$F$130,5,0),0),2))</f>
      </c>
      <c r="Q339" s="42">
        <f>IF(AND($I339="OPEN",$B339&lt;&gt;""),IF('설정 Settings'!$C$15-$B339&gt;='설정 Settings'!$C$62,"후속 연락 필요",""),"")</f>
      </c>
    </row>
    <row r="340" spans="15:17" x14ac:dyDescent="0.25">
      <c r="O340" s="40">
        <f>IF(AND($L340="Y",$J340&lt;&gt;""),$J340+'설정 Settings'!$C$18,"")</f>
      </c>
      <c r="P340" s="41">
        <f>IF($H340="","",$H340-ROUND(IFERROR($H340*VLOOKUP($G340,'설정 Settings'!$A$122:$F$130,4,0)+VLOOKUP($G340,'설정 Settings'!$A$122:$F$130,5,0),0),2))</f>
      </c>
      <c r="Q340" s="42">
        <f>IF(AND($I340="OPEN",$B340&lt;&gt;""),IF('설정 Settings'!$C$15-$B340&gt;='설정 Settings'!$C$62,"후속 연락 필요",""),"")</f>
      </c>
    </row>
    <row r="341" spans="15:17" x14ac:dyDescent="0.25">
      <c r="O341" s="40">
        <f>IF(AND($L341="Y",$J341&lt;&gt;""),$J341+'설정 Settings'!$C$18,"")</f>
      </c>
      <c r="P341" s="41">
        <f>IF($H341="","",$H341-ROUND(IFERROR($H341*VLOOKUP($G341,'설정 Settings'!$A$122:$F$130,4,0)+VLOOKUP($G341,'설정 Settings'!$A$122:$F$130,5,0),0),2))</f>
      </c>
      <c r="Q341" s="42">
        <f>IF(AND($I341="OPEN",$B341&lt;&gt;""),IF('설정 Settings'!$C$15-$B341&gt;='설정 Settings'!$C$62,"후속 연락 필요",""),"")</f>
      </c>
    </row>
    <row r="342" spans="15:17" x14ac:dyDescent="0.25">
      <c r="O342" s="40">
        <f>IF(AND($L342="Y",$J342&lt;&gt;""),$J342+'설정 Settings'!$C$18,"")</f>
      </c>
      <c r="P342" s="41">
        <f>IF($H342="","",$H342-ROUND(IFERROR($H342*VLOOKUP($G342,'설정 Settings'!$A$122:$F$130,4,0)+VLOOKUP($G342,'설정 Settings'!$A$122:$F$130,5,0),0),2))</f>
      </c>
      <c r="Q342" s="42">
        <f>IF(AND($I342="OPEN",$B342&lt;&gt;""),IF('설정 Settings'!$C$15-$B342&gt;='설정 Settings'!$C$62,"후속 연락 필요",""),"")</f>
      </c>
    </row>
    <row r="343" spans="15:17" x14ac:dyDescent="0.25">
      <c r="O343" s="40">
        <f>IF(AND($L343="Y",$J343&lt;&gt;""),$J343+'설정 Settings'!$C$18,"")</f>
      </c>
      <c r="P343" s="41">
        <f>IF($H343="","",$H343-ROUND(IFERROR($H343*VLOOKUP($G343,'설정 Settings'!$A$122:$F$130,4,0)+VLOOKUP($G343,'설정 Settings'!$A$122:$F$130,5,0),0),2))</f>
      </c>
      <c r="Q343" s="42">
        <f>IF(AND($I343="OPEN",$B343&lt;&gt;""),IF('설정 Settings'!$C$15-$B343&gt;='설정 Settings'!$C$62,"후속 연락 필요",""),"")</f>
      </c>
    </row>
    <row r="344" spans="15:17" x14ac:dyDescent="0.25">
      <c r="O344" s="40">
        <f>IF(AND($L344="Y",$J344&lt;&gt;""),$J344+'설정 Settings'!$C$18,"")</f>
      </c>
      <c r="P344" s="41">
        <f>IF($H344="","",$H344-ROUND(IFERROR($H344*VLOOKUP($G344,'설정 Settings'!$A$122:$F$130,4,0)+VLOOKUP($G344,'설정 Settings'!$A$122:$F$130,5,0),0),2))</f>
      </c>
      <c r="Q344" s="42">
        <f>IF(AND($I344="OPEN",$B344&lt;&gt;""),IF('설정 Settings'!$C$15-$B344&gt;='설정 Settings'!$C$62,"후속 연락 필요",""),"")</f>
      </c>
    </row>
    <row r="345" spans="15:17" x14ac:dyDescent="0.25">
      <c r="O345" s="40">
        <f>IF(AND($L345="Y",$J345&lt;&gt;""),$J345+'설정 Settings'!$C$18,"")</f>
      </c>
      <c r="P345" s="41">
        <f>IF($H345="","",$H345-ROUND(IFERROR($H345*VLOOKUP($G345,'설정 Settings'!$A$122:$F$130,4,0)+VLOOKUP($G345,'설정 Settings'!$A$122:$F$130,5,0),0),2))</f>
      </c>
      <c r="Q345" s="42">
        <f>IF(AND($I345="OPEN",$B345&lt;&gt;""),IF('설정 Settings'!$C$15-$B345&gt;='설정 Settings'!$C$62,"후속 연락 필요",""),"")</f>
      </c>
    </row>
    <row r="346" spans="15:17" x14ac:dyDescent="0.25">
      <c r="O346" s="40">
        <f>IF(AND($L346="Y",$J346&lt;&gt;""),$J346+'설정 Settings'!$C$18,"")</f>
      </c>
      <c r="P346" s="41">
        <f>IF($H346="","",$H346-ROUND(IFERROR($H346*VLOOKUP($G346,'설정 Settings'!$A$122:$F$130,4,0)+VLOOKUP($G346,'설정 Settings'!$A$122:$F$130,5,0),0),2))</f>
      </c>
      <c r="Q346" s="42">
        <f>IF(AND($I346="OPEN",$B346&lt;&gt;""),IF('설정 Settings'!$C$15-$B346&gt;='설정 Settings'!$C$62,"후속 연락 필요",""),"")</f>
      </c>
    </row>
    <row r="347" spans="15:17" x14ac:dyDescent="0.25">
      <c r="O347" s="40">
        <f>IF(AND($L347="Y",$J347&lt;&gt;""),$J347+'설정 Settings'!$C$18,"")</f>
      </c>
      <c r="P347" s="41">
        <f>IF($H347="","",$H347-ROUND(IFERROR($H347*VLOOKUP($G347,'설정 Settings'!$A$122:$F$130,4,0)+VLOOKUP($G347,'설정 Settings'!$A$122:$F$130,5,0),0),2))</f>
      </c>
      <c r="Q347" s="42">
        <f>IF(AND($I347="OPEN",$B347&lt;&gt;""),IF('설정 Settings'!$C$15-$B347&gt;='설정 Settings'!$C$62,"후속 연락 필요",""),"")</f>
      </c>
    </row>
    <row r="348" spans="15:17" x14ac:dyDescent="0.25">
      <c r="O348" s="40">
        <f>IF(AND($L348="Y",$J348&lt;&gt;""),$J348+'설정 Settings'!$C$18,"")</f>
      </c>
      <c r="P348" s="41">
        <f>IF($H348="","",$H348-ROUND(IFERROR($H348*VLOOKUP($G348,'설정 Settings'!$A$122:$F$130,4,0)+VLOOKUP($G348,'설정 Settings'!$A$122:$F$130,5,0),0),2))</f>
      </c>
      <c r="Q348" s="42">
        <f>IF(AND($I348="OPEN",$B348&lt;&gt;""),IF('설정 Settings'!$C$15-$B348&gt;='설정 Settings'!$C$62,"후속 연락 필요",""),"")</f>
      </c>
    </row>
    <row r="349" spans="15:17" x14ac:dyDescent="0.25">
      <c r="O349" s="40">
        <f>IF(AND($L349="Y",$J349&lt;&gt;""),$J349+'설정 Settings'!$C$18,"")</f>
      </c>
      <c r="P349" s="41">
        <f>IF($H349="","",$H349-ROUND(IFERROR($H349*VLOOKUP($G349,'설정 Settings'!$A$122:$F$130,4,0)+VLOOKUP($G349,'설정 Settings'!$A$122:$F$130,5,0),0),2))</f>
      </c>
      <c r="Q349" s="42">
        <f>IF(AND($I349="OPEN",$B349&lt;&gt;""),IF('설정 Settings'!$C$15-$B349&gt;='설정 Settings'!$C$62,"후속 연락 필요",""),"")</f>
      </c>
    </row>
    <row r="350" spans="15:17" x14ac:dyDescent="0.25">
      <c r="O350" s="40">
        <f>IF(AND($L350="Y",$J350&lt;&gt;""),$J350+'설정 Settings'!$C$18,"")</f>
      </c>
      <c r="P350" s="41">
        <f>IF($H350="","",$H350-ROUND(IFERROR($H350*VLOOKUP($G350,'설정 Settings'!$A$122:$F$130,4,0)+VLOOKUP($G350,'설정 Settings'!$A$122:$F$130,5,0),0),2))</f>
      </c>
      <c r="Q350" s="42">
        <f>IF(AND($I350="OPEN",$B350&lt;&gt;""),IF('설정 Settings'!$C$15-$B350&gt;='설정 Settings'!$C$62,"후속 연락 필요",""),"")</f>
      </c>
    </row>
    <row r="351" spans="15:17" x14ac:dyDescent="0.25">
      <c r="O351" s="40">
        <f>IF(AND($L351="Y",$J351&lt;&gt;""),$J351+'설정 Settings'!$C$18,"")</f>
      </c>
      <c r="P351" s="41">
        <f>IF($H351="","",$H351-ROUND(IFERROR($H351*VLOOKUP($G351,'설정 Settings'!$A$122:$F$130,4,0)+VLOOKUP($G351,'설정 Settings'!$A$122:$F$130,5,0),0),2))</f>
      </c>
      <c r="Q351" s="42">
        <f>IF(AND($I351="OPEN",$B351&lt;&gt;""),IF('설정 Settings'!$C$15-$B351&gt;='설정 Settings'!$C$62,"후속 연락 필요",""),"")</f>
      </c>
    </row>
    <row r="352" spans="15:17" x14ac:dyDescent="0.25">
      <c r="O352" s="40">
        <f>IF(AND($L352="Y",$J352&lt;&gt;""),$J352+'설정 Settings'!$C$18,"")</f>
      </c>
      <c r="P352" s="41">
        <f>IF($H352="","",$H352-ROUND(IFERROR($H352*VLOOKUP($G352,'설정 Settings'!$A$122:$F$130,4,0)+VLOOKUP($G352,'설정 Settings'!$A$122:$F$130,5,0),0),2))</f>
      </c>
      <c r="Q352" s="42">
        <f>IF(AND($I352="OPEN",$B352&lt;&gt;""),IF('설정 Settings'!$C$15-$B352&gt;='설정 Settings'!$C$62,"후속 연락 필요",""),"")</f>
      </c>
    </row>
    <row r="353" spans="15:17" x14ac:dyDescent="0.25">
      <c r="O353" s="40">
        <f>IF(AND($L353="Y",$J353&lt;&gt;""),$J353+'설정 Settings'!$C$18,"")</f>
      </c>
      <c r="P353" s="41">
        <f>IF($H353="","",$H353-ROUND(IFERROR($H353*VLOOKUP($G353,'설정 Settings'!$A$122:$F$130,4,0)+VLOOKUP($G353,'설정 Settings'!$A$122:$F$130,5,0),0),2))</f>
      </c>
      <c r="Q353" s="42">
        <f>IF(AND($I353="OPEN",$B353&lt;&gt;""),IF('설정 Settings'!$C$15-$B353&gt;='설정 Settings'!$C$62,"후속 연락 필요",""),"")</f>
      </c>
    </row>
    <row r="354" spans="15:17" x14ac:dyDescent="0.25">
      <c r="O354" s="40">
        <f>IF(AND($L354="Y",$J354&lt;&gt;""),$J354+'설정 Settings'!$C$18,"")</f>
      </c>
      <c r="P354" s="41">
        <f>IF($H354="","",$H354-ROUND(IFERROR($H354*VLOOKUP($G354,'설정 Settings'!$A$122:$F$130,4,0)+VLOOKUP($G354,'설정 Settings'!$A$122:$F$130,5,0),0),2))</f>
      </c>
      <c r="Q354" s="42">
        <f>IF(AND($I354="OPEN",$B354&lt;&gt;""),IF('설정 Settings'!$C$15-$B354&gt;='설정 Settings'!$C$62,"후속 연락 필요",""),"")</f>
      </c>
    </row>
    <row r="355" spans="15:17" x14ac:dyDescent="0.25">
      <c r="O355" s="40">
        <f>IF(AND($L355="Y",$J355&lt;&gt;""),$J355+'설정 Settings'!$C$18,"")</f>
      </c>
      <c r="P355" s="41">
        <f>IF($H355="","",$H355-ROUND(IFERROR($H355*VLOOKUP($G355,'설정 Settings'!$A$122:$F$130,4,0)+VLOOKUP($G355,'설정 Settings'!$A$122:$F$130,5,0),0),2))</f>
      </c>
      <c r="Q355" s="42">
        <f>IF(AND($I355="OPEN",$B355&lt;&gt;""),IF('설정 Settings'!$C$15-$B355&gt;='설정 Settings'!$C$62,"후속 연락 필요",""),"")</f>
      </c>
    </row>
    <row r="356" spans="15:17" x14ac:dyDescent="0.25">
      <c r="O356" s="40">
        <f>IF(AND($L356="Y",$J356&lt;&gt;""),$J356+'설정 Settings'!$C$18,"")</f>
      </c>
      <c r="P356" s="41">
        <f>IF($H356="","",$H356-ROUND(IFERROR($H356*VLOOKUP($G356,'설정 Settings'!$A$122:$F$130,4,0)+VLOOKUP($G356,'설정 Settings'!$A$122:$F$130,5,0),0),2))</f>
      </c>
      <c r="Q356" s="42">
        <f>IF(AND($I356="OPEN",$B356&lt;&gt;""),IF('설정 Settings'!$C$15-$B356&gt;='설정 Settings'!$C$62,"후속 연락 필요",""),"")</f>
      </c>
    </row>
    <row r="357" spans="15:17" x14ac:dyDescent="0.25">
      <c r="O357" s="40">
        <f>IF(AND($L357="Y",$J357&lt;&gt;""),$J357+'설정 Settings'!$C$18,"")</f>
      </c>
      <c r="P357" s="41">
        <f>IF($H357="","",$H357-ROUND(IFERROR($H357*VLOOKUP($G357,'설정 Settings'!$A$122:$F$130,4,0)+VLOOKUP($G357,'설정 Settings'!$A$122:$F$130,5,0),0),2))</f>
      </c>
      <c r="Q357" s="42">
        <f>IF(AND($I357="OPEN",$B357&lt;&gt;""),IF('설정 Settings'!$C$15-$B357&gt;='설정 Settings'!$C$62,"후속 연락 필요",""),"")</f>
      </c>
    </row>
    <row r="358" spans="15:17" x14ac:dyDescent="0.25">
      <c r="O358" s="40">
        <f>IF(AND($L358="Y",$J358&lt;&gt;""),$J358+'설정 Settings'!$C$18,"")</f>
      </c>
      <c r="P358" s="41">
        <f>IF($H358="","",$H358-ROUND(IFERROR($H358*VLOOKUP($G358,'설정 Settings'!$A$122:$F$130,4,0)+VLOOKUP($G358,'설정 Settings'!$A$122:$F$130,5,0),0),2))</f>
      </c>
      <c r="Q358" s="42">
        <f>IF(AND($I358="OPEN",$B358&lt;&gt;""),IF('설정 Settings'!$C$15-$B358&gt;='설정 Settings'!$C$62,"후속 연락 필요",""),"")</f>
      </c>
    </row>
    <row r="359" spans="15:17" x14ac:dyDescent="0.25">
      <c r="O359" s="40">
        <f>IF(AND($L359="Y",$J359&lt;&gt;""),$J359+'설정 Settings'!$C$18,"")</f>
      </c>
      <c r="P359" s="41">
        <f>IF($H359="","",$H359-ROUND(IFERROR($H359*VLOOKUP($G359,'설정 Settings'!$A$122:$F$130,4,0)+VLOOKUP($G359,'설정 Settings'!$A$122:$F$130,5,0),0),2))</f>
      </c>
      <c r="Q359" s="42">
        <f>IF(AND($I359="OPEN",$B359&lt;&gt;""),IF('설정 Settings'!$C$15-$B359&gt;='설정 Settings'!$C$62,"후속 연락 필요",""),"")</f>
      </c>
    </row>
    <row r="360" spans="15:17" x14ac:dyDescent="0.25">
      <c r="O360" s="40">
        <f>IF(AND($L360="Y",$J360&lt;&gt;""),$J360+'설정 Settings'!$C$18,"")</f>
      </c>
      <c r="P360" s="41">
        <f>IF($H360="","",$H360-ROUND(IFERROR($H360*VLOOKUP($G360,'설정 Settings'!$A$122:$F$130,4,0)+VLOOKUP($G360,'설정 Settings'!$A$122:$F$130,5,0),0),2))</f>
      </c>
      <c r="Q360" s="42">
        <f>IF(AND($I360="OPEN",$B360&lt;&gt;""),IF('설정 Settings'!$C$15-$B360&gt;='설정 Settings'!$C$62,"후속 연락 필요",""),"")</f>
      </c>
    </row>
    <row r="361" spans="15:17" x14ac:dyDescent="0.25">
      <c r="O361" s="40">
        <f>IF(AND($L361="Y",$J361&lt;&gt;""),$J361+'설정 Settings'!$C$18,"")</f>
      </c>
      <c r="P361" s="41">
        <f>IF($H361="","",$H361-ROUND(IFERROR($H361*VLOOKUP($G361,'설정 Settings'!$A$122:$F$130,4,0)+VLOOKUP($G361,'설정 Settings'!$A$122:$F$130,5,0),0),2))</f>
      </c>
      <c r="Q361" s="42">
        <f>IF(AND($I361="OPEN",$B361&lt;&gt;""),IF('설정 Settings'!$C$15-$B361&gt;='설정 Settings'!$C$62,"후속 연락 필요",""),"")</f>
      </c>
    </row>
    <row r="362" spans="15:17" x14ac:dyDescent="0.25">
      <c r="O362" s="40">
        <f>IF(AND($L362="Y",$J362&lt;&gt;""),$J362+'설정 Settings'!$C$18,"")</f>
      </c>
      <c r="P362" s="41">
        <f>IF($H362="","",$H362-ROUND(IFERROR($H362*VLOOKUP($G362,'설정 Settings'!$A$122:$F$130,4,0)+VLOOKUP($G362,'설정 Settings'!$A$122:$F$130,5,0),0),2))</f>
      </c>
      <c r="Q362" s="42">
        <f>IF(AND($I362="OPEN",$B362&lt;&gt;""),IF('설정 Settings'!$C$15-$B362&gt;='설정 Settings'!$C$62,"후속 연락 필요",""),"")</f>
      </c>
    </row>
    <row r="363" spans="15:17" x14ac:dyDescent="0.25">
      <c r="O363" s="40">
        <f>IF(AND($L363="Y",$J363&lt;&gt;""),$J363+'설정 Settings'!$C$18,"")</f>
      </c>
      <c r="P363" s="41">
        <f>IF($H363="","",$H363-ROUND(IFERROR($H363*VLOOKUP($G363,'설정 Settings'!$A$122:$F$130,4,0)+VLOOKUP($G363,'설정 Settings'!$A$122:$F$130,5,0),0),2))</f>
      </c>
      <c r="Q363" s="42">
        <f>IF(AND($I363="OPEN",$B363&lt;&gt;""),IF('설정 Settings'!$C$15-$B363&gt;='설정 Settings'!$C$62,"후속 연락 필요",""),"")</f>
      </c>
    </row>
    <row r="364" spans="15:17" x14ac:dyDescent="0.25">
      <c r="O364" s="40">
        <f>IF(AND($L364="Y",$J364&lt;&gt;""),$J364+'설정 Settings'!$C$18,"")</f>
      </c>
      <c r="P364" s="41">
        <f>IF($H364="","",$H364-ROUND(IFERROR($H364*VLOOKUP($G364,'설정 Settings'!$A$122:$F$130,4,0)+VLOOKUP($G364,'설정 Settings'!$A$122:$F$130,5,0),0),2))</f>
      </c>
      <c r="Q364" s="42">
        <f>IF(AND($I364="OPEN",$B364&lt;&gt;""),IF('설정 Settings'!$C$15-$B364&gt;='설정 Settings'!$C$62,"후속 연락 필요",""),"")</f>
      </c>
    </row>
    <row r="365" spans="15:17" x14ac:dyDescent="0.25">
      <c r="O365" s="40">
        <f>IF(AND($L365="Y",$J365&lt;&gt;""),$J365+'설정 Settings'!$C$18,"")</f>
      </c>
      <c r="P365" s="41">
        <f>IF($H365="","",$H365-ROUND(IFERROR($H365*VLOOKUP($G365,'설정 Settings'!$A$122:$F$130,4,0)+VLOOKUP($G365,'설정 Settings'!$A$122:$F$130,5,0),0),2))</f>
      </c>
      <c r="Q365" s="42">
        <f>IF(AND($I365="OPEN",$B365&lt;&gt;""),IF('설정 Settings'!$C$15-$B365&gt;='설정 Settings'!$C$62,"후속 연락 필요",""),"")</f>
      </c>
    </row>
    <row r="366" spans="15:17" x14ac:dyDescent="0.25">
      <c r="O366" s="40">
        <f>IF(AND($L366="Y",$J366&lt;&gt;""),$J366+'설정 Settings'!$C$18,"")</f>
      </c>
      <c r="P366" s="41">
        <f>IF($H366="","",$H366-ROUND(IFERROR($H366*VLOOKUP($G366,'설정 Settings'!$A$122:$F$130,4,0)+VLOOKUP($G366,'설정 Settings'!$A$122:$F$130,5,0),0),2))</f>
      </c>
      <c r="Q366" s="42">
        <f>IF(AND($I366="OPEN",$B366&lt;&gt;""),IF('설정 Settings'!$C$15-$B366&gt;='설정 Settings'!$C$62,"후속 연락 필요",""),"")</f>
      </c>
    </row>
    <row r="367" spans="15:17" x14ac:dyDescent="0.25">
      <c r="O367" s="40">
        <f>IF(AND($L367="Y",$J367&lt;&gt;""),$J367+'설정 Settings'!$C$18,"")</f>
      </c>
      <c r="P367" s="41">
        <f>IF($H367="","",$H367-ROUND(IFERROR($H367*VLOOKUP($G367,'설정 Settings'!$A$122:$F$130,4,0)+VLOOKUP($G367,'설정 Settings'!$A$122:$F$130,5,0),0),2))</f>
      </c>
      <c r="Q367" s="42">
        <f>IF(AND($I367="OPEN",$B367&lt;&gt;""),IF('설정 Settings'!$C$15-$B367&gt;='설정 Settings'!$C$62,"후속 연락 필요",""),"")</f>
      </c>
    </row>
    <row r="368" spans="15:17" x14ac:dyDescent="0.25">
      <c r="O368" s="40">
        <f>IF(AND($L368="Y",$J368&lt;&gt;""),$J368+'설정 Settings'!$C$18,"")</f>
      </c>
      <c r="P368" s="41">
        <f>IF($H368="","",$H368-ROUND(IFERROR($H368*VLOOKUP($G368,'설정 Settings'!$A$122:$F$130,4,0)+VLOOKUP($G368,'설정 Settings'!$A$122:$F$130,5,0),0),2))</f>
      </c>
      <c r="Q368" s="42">
        <f>IF(AND($I368="OPEN",$B368&lt;&gt;""),IF('설정 Settings'!$C$15-$B368&gt;='설정 Settings'!$C$62,"후속 연락 필요",""),"")</f>
      </c>
    </row>
    <row r="369" spans="15:17" x14ac:dyDescent="0.25">
      <c r="O369" s="40">
        <f>IF(AND($L369="Y",$J369&lt;&gt;""),$J369+'설정 Settings'!$C$18,"")</f>
      </c>
      <c r="P369" s="41">
        <f>IF($H369="","",$H369-ROUND(IFERROR($H369*VLOOKUP($G369,'설정 Settings'!$A$122:$F$130,4,0)+VLOOKUP($G369,'설정 Settings'!$A$122:$F$130,5,0),0),2))</f>
      </c>
      <c r="Q369" s="42">
        <f>IF(AND($I369="OPEN",$B369&lt;&gt;""),IF('설정 Settings'!$C$15-$B369&gt;='설정 Settings'!$C$62,"후속 연락 필요",""),"")</f>
      </c>
    </row>
    <row r="370" spans="15:17" x14ac:dyDescent="0.25">
      <c r="O370" s="40">
        <f>IF(AND($L370="Y",$J370&lt;&gt;""),$J370+'설정 Settings'!$C$18,"")</f>
      </c>
      <c r="P370" s="41">
        <f>IF($H370="","",$H370-ROUND(IFERROR($H370*VLOOKUP($G370,'설정 Settings'!$A$122:$F$130,4,0)+VLOOKUP($G370,'설정 Settings'!$A$122:$F$130,5,0),0),2))</f>
      </c>
      <c r="Q370" s="42">
        <f>IF(AND($I370="OPEN",$B370&lt;&gt;""),IF('설정 Settings'!$C$15-$B370&gt;='설정 Settings'!$C$62,"후속 연락 필요",""),"")</f>
      </c>
    </row>
    <row r="371" spans="15:17" x14ac:dyDescent="0.25">
      <c r="O371" s="40">
        <f>IF(AND($L371="Y",$J371&lt;&gt;""),$J371+'설정 Settings'!$C$18,"")</f>
      </c>
      <c r="P371" s="41">
        <f>IF($H371="","",$H371-ROUND(IFERROR($H371*VLOOKUP($G371,'설정 Settings'!$A$122:$F$130,4,0)+VLOOKUP($G371,'설정 Settings'!$A$122:$F$130,5,0),0),2))</f>
      </c>
      <c r="Q371" s="42">
        <f>IF(AND($I371="OPEN",$B371&lt;&gt;""),IF('설정 Settings'!$C$15-$B371&gt;='설정 Settings'!$C$62,"후속 연락 필요",""),"")</f>
      </c>
    </row>
    <row r="372" spans="15:17" x14ac:dyDescent="0.25">
      <c r="O372" s="40">
        <f>IF(AND($L372="Y",$J372&lt;&gt;""),$J372+'설정 Settings'!$C$18,"")</f>
      </c>
      <c r="P372" s="41">
        <f>IF($H372="","",$H372-ROUND(IFERROR($H372*VLOOKUP($G372,'설정 Settings'!$A$122:$F$130,4,0)+VLOOKUP($G372,'설정 Settings'!$A$122:$F$130,5,0),0),2))</f>
      </c>
      <c r="Q372" s="42">
        <f>IF(AND($I372="OPEN",$B372&lt;&gt;""),IF('설정 Settings'!$C$15-$B372&gt;='설정 Settings'!$C$62,"후속 연락 필요",""),"")</f>
      </c>
    </row>
    <row r="373" spans="15:17" x14ac:dyDescent="0.25">
      <c r="O373" s="40">
        <f>IF(AND($L373="Y",$J373&lt;&gt;""),$J373+'설정 Settings'!$C$18,"")</f>
      </c>
      <c r="P373" s="41">
        <f>IF($H373="","",$H373-ROUND(IFERROR($H373*VLOOKUP($G373,'설정 Settings'!$A$122:$F$130,4,0)+VLOOKUP($G373,'설정 Settings'!$A$122:$F$130,5,0),0),2))</f>
      </c>
      <c r="Q373" s="42">
        <f>IF(AND($I373="OPEN",$B373&lt;&gt;""),IF('설정 Settings'!$C$15-$B373&gt;='설정 Settings'!$C$62,"후속 연락 필요",""),"")</f>
      </c>
    </row>
    <row r="374" spans="15:17" x14ac:dyDescent="0.25">
      <c r="O374" s="40">
        <f>IF(AND($L374="Y",$J374&lt;&gt;""),$J374+'설정 Settings'!$C$18,"")</f>
      </c>
      <c r="P374" s="41">
        <f>IF($H374="","",$H374-ROUND(IFERROR($H374*VLOOKUP($G374,'설정 Settings'!$A$122:$F$130,4,0)+VLOOKUP($G374,'설정 Settings'!$A$122:$F$130,5,0),0),2))</f>
      </c>
      <c r="Q374" s="42">
        <f>IF(AND($I374="OPEN",$B374&lt;&gt;""),IF('설정 Settings'!$C$15-$B374&gt;='설정 Settings'!$C$62,"후속 연락 필요",""),"")</f>
      </c>
    </row>
    <row r="375" spans="15:17" x14ac:dyDescent="0.25">
      <c r="O375" s="40">
        <f>IF(AND($L375="Y",$J375&lt;&gt;""),$J375+'설정 Settings'!$C$18,"")</f>
      </c>
      <c r="P375" s="41">
        <f>IF($H375="","",$H375-ROUND(IFERROR($H375*VLOOKUP($G375,'설정 Settings'!$A$122:$F$130,4,0)+VLOOKUP($G375,'설정 Settings'!$A$122:$F$130,5,0),0),2))</f>
      </c>
      <c r="Q375" s="42">
        <f>IF(AND($I375="OPEN",$B375&lt;&gt;""),IF('설정 Settings'!$C$15-$B375&gt;='설정 Settings'!$C$62,"후속 연락 필요",""),"")</f>
      </c>
    </row>
    <row r="376" spans="15:17" x14ac:dyDescent="0.25">
      <c r="O376" s="40">
        <f>IF(AND($L376="Y",$J376&lt;&gt;""),$J376+'설정 Settings'!$C$18,"")</f>
      </c>
      <c r="P376" s="41">
        <f>IF($H376="","",$H376-ROUND(IFERROR($H376*VLOOKUP($G376,'설정 Settings'!$A$122:$F$130,4,0)+VLOOKUP($G376,'설정 Settings'!$A$122:$F$130,5,0),0),2))</f>
      </c>
      <c r="Q376" s="42">
        <f>IF(AND($I376="OPEN",$B376&lt;&gt;""),IF('설정 Settings'!$C$15-$B376&gt;='설정 Settings'!$C$62,"후속 연락 필요",""),"")</f>
      </c>
    </row>
    <row r="377" spans="15:17" x14ac:dyDescent="0.25">
      <c r="O377" s="40">
        <f>IF(AND($L377="Y",$J377&lt;&gt;""),$J377+'설정 Settings'!$C$18,"")</f>
      </c>
      <c r="P377" s="41">
        <f>IF($H377="","",$H377-ROUND(IFERROR($H377*VLOOKUP($G377,'설정 Settings'!$A$122:$F$130,4,0)+VLOOKUP($G377,'설정 Settings'!$A$122:$F$130,5,0),0),2))</f>
      </c>
      <c r="Q377" s="42">
        <f>IF(AND($I377="OPEN",$B377&lt;&gt;""),IF('설정 Settings'!$C$15-$B377&gt;='설정 Settings'!$C$62,"후속 연락 필요",""),"")</f>
      </c>
    </row>
    <row r="378" spans="15:17" x14ac:dyDescent="0.25">
      <c r="O378" s="40">
        <f>IF(AND($L378="Y",$J378&lt;&gt;""),$J378+'설정 Settings'!$C$18,"")</f>
      </c>
      <c r="P378" s="41">
        <f>IF($H378="","",$H378-ROUND(IFERROR($H378*VLOOKUP($G378,'설정 Settings'!$A$122:$F$130,4,0)+VLOOKUP($G378,'설정 Settings'!$A$122:$F$130,5,0),0),2))</f>
      </c>
      <c r="Q378" s="42">
        <f>IF(AND($I378="OPEN",$B378&lt;&gt;""),IF('설정 Settings'!$C$15-$B378&gt;='설정 Settings'!$C$62,"후속 연락 필요",""),"")</f>
      </c>
    </row>
    <row r="379" spans="15:17" x14ac:dyDescent="0.25">
      <c r="O379" s="40">
        <f>IF(AND($L379="Y",$J379&lt;&gt;""),$J379+'설정 Settings'!$C$18,"")</f>
      </c>
      <c r="P379" s="41">
        <f>IF($H379="","",$H379-ROUND(IFERROR($H379*VLOOKUP($G379,'설정 Settings'!$A$122:$F$130,4,0)+VLOOKUP($G379,'설정 Settings'!$A$122:$F$130,5,0),0),2))</f>
      </c>
      <c r="Q379" s="42">
        <f>IF(AND($I379="OPEN",$B379&lt;&gt;""),IF('설정 Settings'!$C$15-$B379&gt;='설정 Settings'!$C$62,"후속 연락 필요",""),"")</f>
      </c>
    </row>
    <row r="380" spans="15:17" x14ac:dyDescent="0.25">
      <c r="O380" s="40">
        <f>IF(AND($L380="Y",$J380&lt;&gt;""),$J380+'설정 Settings'!$C$18,"")</f>
      </c>
      <c r="P380" s="41">
        <f>IF($H380="","",$H380-ROUND(IFERROR($H380*VLOOKUP($G380,'설정 Settings'!$A$122:$F$130,4,0)+VLOOKUP($G380,'설정 Settings'!$A$122:$F$130,5,0),0),2))</f>
      </c>
      <c r="Q380" s="42">
        <f>IF(AND($I380="OPEN",$B380&lt;&gt;""),IF('설정 Settings'!$C$15-$B380&gt;='설정 Settings'!$C$62,"후속 연락 필요",""),"")</f>
      </c>
    </row>
    <row r="381" spans="15:17" x14ac:dyDescent="0.25">
      <c r="O381" s="40">
        <f>IF(AND($L381="Y",$J381&lt;&gt;""),$J381+'설정 Settings'!$C$18,"")</f>
      </c>
      <c r="P381" s="41">
        <f>IF($H381="","",$H381-ROUND(IFERROR($H381*VLOOKUP($G381,'설정 Settings'!$A$122:$F$130,4,0)+VLOOKUP($G381,'설정 Settings'!$A$122:$F$130,5,0),0),2))</f>
      </c>
      <c r="Q381" s="42">
        <f>IF(AND($I381="OPEN",$B381&lt;&gt;""),IF('설정 Settings'!$C$15-$B381&gt;='설정 Settings'!$C$62,"후속 연락 필요",""),"")</f>
      </c>
    </row>
    <row r="382" spans="15:17" x14ac:dyDescent="0.25">
      <c r="O382" s="40">
        <f>IF(AND($L382="Y",$J382&lt;&gt;""),$J382+'설정 Settings'!$C$18,"")</f>
      </c>
      <c r="P382" s="41">
        <f>IF($H382="","",$H382-ROUND(IFERROR($H382*VLOOKUP($G382,'설정 Settings'!$A$122:$F$130,4,0)+VLOOKUP($G382,'설정 Settings'!$A$122:$F$130,5,0),0),2))</f>
      </c>
      <c r="Q382" s="42">
        <f>IF(AND($I382="OPEN",$B382&lt;&gt;""),IF('설정 Settings'!$C$15-$B382&gt;='설정 Settings'!$C$62,"후속 연락 필요",""),"")</f>
      </c>
    </row>
    <row r="383" spans="15:17" x14ac:dyDescent="0.25">
      <c r="O383" s="40">
        <f>IF(AND($L383="Y",$J383&lt;&gt;""),$J383+'설정 Settings'!$C$18,"")</f>
      </c>
      <c r="P383" s="41">
        <f>IF($H383="","",$H383-ROUND(IFERROR($H383*VLOOKUP($G383,'설정 Settings'!$A$122:$F$130,4,0)+VLOOKUP($G383,'설정 Settings'!$A$122:$F$130,5,0),0),2))</f>
      </c>
      <c r="Q383" s="42">
        <f>IF(AND($I383="OPEN",$B383&lt;&gt;""),IF('설정 Settings'!$C$15-$B383&gt;='설정 Settings'!$C$62,"후속 연락 필요",""),"")</f>
      </c>
    </row>
    <row r="384" spans="15:17" x14ac:dyDescent="0.25">
      <c r="O384" s="40">
        <f>IF(AND($L384="Y",$J384&lt;&gt;""),$J384+'설정 Settings'!$C$18,"")</f>
      </c>
      <c r="P384" s="41">
        <f>IF($H384="","",$H384-ROUND(IFERROR($H384*VLOOKUP($G384,'설정 Settings'!$A$122:$F$130,4,0)+VLOOKUP($G384,'설정 Settings'!$A$122:$F$130,5,0),0),2))</f>
      </c>
      <c r="Q384" s="42">
        <f>IF(AND($I384="OPEN",$B384&lt;&gt;""),IF('설정 Settings'!$C$15-$B384&gt;='설정 Settings'!$C$62,"후속 연락 필요",""),"")</f>
      </c>
    </row>
    <row r="385" spans="15:17" x14ac:dyDescent="0.25">
      <c r="O385" s="40">
        <f>IF(AND($L385="Y",$J385&lt;&gt;""),$J385+'설정 Settings'!$C$18,"")</f>
      </c>
      <c r="P385" s="41">
        <f>IF($H385="","",$H385-ROUND(IFERROR($H385*VLOOKUP($G385,'설정 Settings'!$A$122:$F$130,4,0)+VLOOKUP($G385,'설정 Settings'!$A$122:$F$130,5,0),0),2))</f>
      </c>
      <c r="Q385" s="42">
        <f>IF(AND($I385="OPEN",$B385&lt;&gt;""),IF('설정 Settings'!$C$15-$B385&gt;='설정 Settings'!$C$62,"후속 연락 필요",""),"")</f>
      </c>
    </row>
    <row r="386" spans="15:17" x14ac:dyDescent="0.25">
      <c r="O386" s="40">
        <f>IF(AND($L386="Y",$J386&lt;&gt;""),$J386+'설정 Settings'!$C$18,"")</f>
      </c>
      <c r="P386" s="41">
        <f>IF($H386="","",$H386-ROUND(IFERROR($H386*VLOOKUP($G386,'설정 Settings'!$A$122:$F$130,4,0)+VLOOKUP($G386,'설정 Settings'!$A$122:$F$130,5,0),0),2))</f>
      </c>
      <c r="Q386" s="42">
        <f>IF(AND($I386="OPEN",$B386&lt;&gt;""),IF('설정 Settings'!$C$15-$B386&gt;='설정 Settings'!$C$62,"후속 연락 필요",""),"")</f>
      </c>
    </row>
    <row r="387" spans="15:17" x14ac:dyDescent="0.25">
      <c r="O387" s="40">
        <f>IF(AND($L387="Y",$J387&lt;&gt;""),$J387+'설정 Settings'!$C$18,"")</f>
      </c>
      <c r="P387" s="41">
        <f>IF($H387="","",$H387-ROUND(IFERROR($H387*VLOOKUP($G387,'설정 Settings'!$A$122:$F$130,4,0)+VLOOKUP($G387,'설정 Settings'!$A$122:$F$130,5,0),0),2))</f>
      </c>
      <c r="Q387" s="42">
        <f>IF(AND($I387="OPEN",$B387&lt;&gt;""),IF('설정 Settings'!$C$15-$B387&gt;='설정 Settings'!$C$62,"후속 연락 필요",""),"")</f>
      </c>
    </row>
    <row r="388" spans="15:17" x14ac:dyDescent="0.25">
      <c r="O388" s="40">
        <f>IF(AND($L388="Y",$J388&lt;&gt;""),$J388+'설정 Settings'!$C$18,"")</f>
      </c>
      <c r="P388" s="41">
        <f>IF($H388="","",$H388-ROUND(IFERROR($H388*VLOOKUP($G388,'설정 Settings'!$A$122:$F$130,4,0)+VLOOKUP($G388,'설정 Settings'!$A$122:$F$130,5,0),0),2))</f>
      </c>
      <c r="Q388" s="42">
        <f>IF(AND($I388="OPEN",$B388&lt;&gt;""),IF('설정 Settings'!$C$15-$B388&gt;='설정 Settings'!$C$62,"후속 연락 필요",""),"")</f>
      </c>
    </row>
    <row r="389" spans="15:17" x14ac:dyDescent="0.25">
      <c r="O389" s="40">
        <f>IF(AND($L389="Y",$J389&lt;&gt;""),$J389+'설정 Settings'!$C$18,"")</f>
      </c>
      <c r="P389" s="41">
        <f>IF($H389="","",$H389-ROUND(IFERROR($H389*VLOOKUP($G389,'설정 Settings'!$A$122:$F$130,4,0)+VLOOKUP($G389,'설정 Settings'!$A$122:$F$130,5,0),0),2))</f>
      </c>
      <c r="Q389" s="42">
        <f>IF(AND($I389="OPEN",$B389&lt;&gt;""),IF('설정 Settings'!$C$15-$B389&gt;='설정 Settings'!$C$62,"후속 연락 필요",""),"")</f>
      </c>
    </row>
    <row r="390" spans="15:17" x14ac:dyDescent="0.25">
      <c r="O390" s="40">
        <f>IF(AND($L390="Y",$J390&lt;&gt;""),$J390+'설정 Settings'!$C$18,"")</f>
      </c>
      <c r="P390" s="41">
        <f>IF($H390="","",$H390-ROUND(IFERROR($H390*VLOOKUP($G390,'설정 Settings'!$A$122:$F$130,4,0)+VLOOKUP($G390,'설정 Settings'!$A$122:$F$130,5,0),0),2))</f>
      </c>
      <c r="Q390" s="42">
        <f>IF(AND($I390="OPEN",$B390&lt;&gt;""),IF('설정 Settings'!$C$15-$B390&gt;='설정 Settings'!$C$62,"후속 연락 필요",""),"")</f>
      </c>
    </row>
    <row r="391" spans="15:17" x14ac:dyDescent="0.25">
      <c r="O391" s="40">
        <f>IF(AND($L391="Y",$J391&lt;&gt;""),$J391+'설정 Settings'!$C$18,"")</f>
      </c>
      <c r="P391" s="41">
        <f>IF($H391="","",$H391-ROUND(IFERROR($H391*VLOOKUP($G391,'설정 Settings'!$A$122:$F$130,4,0)+VLOOKUP($G391,'설정 Settings'!$A$122:$F$130,5,0),0),2))</f>
      </c>
      <c r="Q391" s="42">
        <f>IF(AND($I391="OPEN",$B391&lt;&gt;""),IF('설정 Settings'!$C$15-$B391&gt;='설정 Settings'!$C$62,"후속 연락 필요",""),"")</f>
      </c>
    </row>
    <row r="392" spans="15:17" x14ac:dyDescent="0.25">
      <c r="O392" s="40">
        <f>IF(AND($L392="Y",$J392&lt;&gt;""),$J392+'설정 Settings'!$C$18,"")</f>
      </c>
      <c r="P392" s="41">
        <f>IF($H392="","",$H392-ROUND(IFERROR($H392*VLOOKUP($G392,'설정 Settings'!$A$122:$F$130,4,0)+VLOOKUP($G392,'설정 Settings'!$A$122:$F$130,5,0),0),2))</f>
      </c>
      <c r="Q392" s="42">
        <f>IF(AND($I392="OPEN",$B392&lt;&gt;""),IF('설정 Settings'!$C$15-$B392&gt;='설정 Settings'!$C$62,"후속 연락 필요",""),"")</f>
      </c>
    </row>
    <row r="393" spans="15:17" x14ac:dyDescent="0.25">
      <c r="O393" s="40">
        <f>IF(AND($L393="Y",$J393&lt;&gt;""),$J393+'설정 Settings'!$C$18,"")</f>
      </c>
      <c r="P393" s="41">
        <f>IF($H393="","",$H393-ROUND(IFERROR($H393*VLOOKUP($G393,'설정 Settings'!$A$122:$F$130,4,0)+VLOOKUP($G393,'설정 Settings'!$A$122:$F$130,5,0),0),2))</f>
      </c>
      <c r="Q393" s="42">
        <f>IF(AND($I393="OPEN",$B393&lt;&gt;""),IF('설정 Settings'!$C$15-$B393&gt;='설정 Settings'!$C$62,"후속 연락 필요",""),"")</f>
      </c>
    </row>
    <row r="394" spans="15:17" x14ac:dyDescent="0.25">
      <c r="O394" s="40">
        <f>IF(AND($L394="Y",$J394&lt;&gt;""),$J394+'설정 Settings'!$C$18,"")</f>
      </c>
      <c r="P394" s="41">
        <f>IF($H394="","",$H394-ROUND(IFERROR($H394*VLOOKUP($G394,'설정 Settings'!$A$122:$F$130,4,0)+VLOOKUP($G394,'설정 Settings'!$A$122:$F$130,5,0),0),2))</f>
      </c>
      <c r="Q394" s="42">
        <f>IF(AND($I394="OPEN",$B394&lt;&gt;""),IF('설정 Settings'!$C$15-$B394&gt;='설정 Settings'!$C$62,"후속 연락 필요",""),"")</f>
      </c>
    </row>
    <row r="395" spans="15:17" x14ac:dyDescent="0.25">
      <c r="O395" s="40">
        <f>IF(AND($L395="Y",$J395&lt;&gt;""),$J395+'설정 Settings'!$C$18,"")</f>
      </c>
      <c r="P395" s="41">
        <f>IF($H395="","",$H395-ROUND(IFERROR($H395*VLOOKUP($G395,'설정 Settings'!$A$122:$F$130,4,0)+VLOOKUP($G395,'설정 Settings'!$A$122:$F$130,5,0),0),2))</f>
      </c>
      <c r="Q395" s="42">
        <f>IF(AND($I395="OPEN",$B395&lt;&gt;""),IF('설정 Settings'!$C$15-$B395&gt;='설정 Settings'!$C$62,"후속 연락 필요",""),"")</f>
      </c>
    </row>
    <row r="396" spans="15:17" x14ac:dyDescent="0.25">
      <c r="O396" s="40">
        <f>IF(AND($L396="Y",$J396&lt;&gt;""),$J396+'설정 Settings'!$C$18,"")</f>
      </c>
      <c r="P396" s="41">
        <f>IF($H396="","",$H396-ROUND(IFERROR($H396*VLOOKUP($G396,'설정 Settings'!$A$122:$F$130,4,0)+VLOOKUP($G396,'설정 Settings'!$A$122:$F$130,5,0),0),2))</f>
      </c>
      <c r="Q396" s="42">
        <f>IF(AND($I396="OPEN",$B396&lt;&gt;""),IF('설정 Settings'!$C$15-$B396&gt;='설정 Settings'!$C$62,"후속 연락 필요",""),"")</f>
      </c>
    </row>
    <row r="397" spans="15:17" x14ac:dyDescent="0.25">
      <c r="O397" s="40">
        <f>IF(AND($L397="Y",$J397&lt;&gt;""),$J397+'설정 Settings'!$C$18,"")</f>
      </c>
      <c r="P397" s="41">
        <f>IF($H397="","",$H397-ROUND(IFERROR($H397*VLOOKUP($G397,'설정 Settings'!$A$122:$F$130,4,0)+VLOOKUP($G397,'설정 Settings'!$A$122:$F$130,5,0),0),2))</f>
      </c>
      <c r="Q397" s="42">
        <f>IF(AND($I397="OPEN",$B397&lt;&gt;""),IF('설정 Settings'!$C$15-$B397&gt;='설정 Settings'!$C$62,"후속 연락 필요",""),"")</f>
      </c>
    </row>
    <row r="398" spans="15:17" x14ac:dyDescent="0.25">
      <c r="O398" s="40">
        <f>IF(AND($L398="Y",$J398&lt;&gt;""),$J398+'설정 Settings'!$C$18,"")</f>
      </c>
      <c r="P398" s="41">
        <f>IF($H398="","",$H398-ROUND(IFERROR($H398*VLOOKUP($G398,'설정 Settings'!$A$122:$F$130,4,0)+VLOOKUP($G398,'설정 Settings'!$A$122:$F$130,5,0),0),2))</f>
      </c>
      <c r="Q398" s="42">
        <f>IF(AND($I398="OPEN",$B398&lt;&gt;""),IF('설정 Settings'!$C$15-$B398&gt;='설정 Settings'!$C$62,"후속 연락 필요",""),"")</f>
      </c>
    </row>
    <row r="399" spans="15:17" x14ac:dyDescent="0.25">
      <c r="O399" s="40">
        <f>IF(AND($L399="Y",$J399&lt;&gt;""),$J399+'설정 Settings'!$C$18,"")</f>
      </c>
      <c r="P399" s="41">
        <f>IF($H399="","",$H399-ROUND(IFERROR($H399*VLOOKUP($G399,'설정 Settings'!$A$122:$F$130,4,0)+VLOOKUP($G399,'설정 Settings'!$A$122:$F$130,5,0),0),2))</f>
      </c>
      <c r="Q399" s="42">
        <f>IF(AND($I399="OPEN",$B399&lt;&gt;""),IF('설정 Settings'!$C$15-$B399&gt;='설정 Settings'!$C$62,"후속 연락 필요",""),"")</f>
      </c>
    </row>
    <row r="400" spans="15:17" x14ac:dyDescent="0.25">
      <c r="O400" s="40">
        <f>IF(AND($L400="Y",$J400&lt;&gt;""),$J400+'설정 Settings'!$C$18,"")</f>
      </c>
      <c r="P400" s="41">
        <f>IF($H400="","",$H400-ROUND(IFERROR($H400*VLOOKUP($G400,'설정 Settings'!$A$122:$F$130,4,0)+VLOOKUP($G400,'설정 Settings'!$A$122:$F$130,5,0),0),2))</f>
      </c>
      <c r="Q400" s="42">
        <f>IF(AND($I400="OPEN",$B400&lt;&gt;""),IF('설정 Settings'!$C$15-$B400&gt;='설정 Settings'!$C$62,"후속 연락 필요",""),"")</f>
      </c>
    </row>
    <row r="401" spans="15:17" x14ac:dyDescent="0.25">
      <c r="O401" s="40">
        <f>IF(AND($L401="Y",$J401&lt;&gt;""),$J401+'설정 Settings'!$C$18,"")</f>
      </c>
      <c r="P401" s="41">
        <f>IF($H401="","",$H401-ROUND(IFERROR($H401*VLOOKUP($G401,'설정 Settings'!$A$122:$F$130,4,0)+VLOOKUP($G401,'설정 Settings'!$A$122:$F$130,5,0),0),2))</f>
      </c>
      <c r="Q401" s="42">
        <f>IF(AND($I401="OPEN",$B401&lt;&gt;""),IF('설정 Settings'!$C$15-$B401&gt;='설정 Settings'!$C$62,"후속 연락 필요",""),"")</f>
      </c>
    </row>
    <row r="402" spans="15:17" x14ac:dyDescent="0.25">
      <c r="O402" s="40">
        <f>IF(AND($L402="Y",$J402&lt;&gt;""),$J402+'설정 Settings'!$C$18,"")</f>
      </c>
      <c r="P402" s="41">
        <f>IF($H402="","",$H402-ROUND(IFERROR($H402*VLOOKUP($G402,'설정 Settings'!$A$122:$F$130,4,0)+VLOOKUP($G402,'설정 Settings'!$A$122:$F$130,5,0),0),2))</f>
      </c>
      <c r="Q402" s="42">
        <f>IF(AND($I402="OPEN",$B402&lt;&gt;""),IF('설정 Settings'!$C$15-$B402&gt;='설정 Settings'!$C$62,"후속 연락 필요",""),"")</f>
      </c>
    </row>
    <row r="403" spans="15:17" x14ac:dyDescent="0.25">
      <c r="O403" s="40">
        <f>IF(AND($L403="Y",$J403&lt;&gt;""),$J403+'설정 Settings'!$C$18,"")</f>
      </c>
      <c r="P403" s="41">
        <f>IF($H403="","",$H403-ROUND(IFERROR($H403*VLOOKUP($G403,'설정 Settings'!$A$122:$F$130,4,0)+VLOOKUP($G403,'설정 Settings'!$A$122:$F$130,5,0),0),2))</f>
      </c>
      <c r="Q403" s="42">
        <f>IF(AND($I403="OPEN",$B403&lt;&gt;""),IF('설정 Settings'!$C$15-$B403&gt;='설정 Settings'!$C$62,"후속 연락 필요",""),"")</f>
      </c>
    </row>
    <row r="404" spans="15:17" x14ac:dyDescent="0.25">
      <c r="O404" s="40">
        <f>IF(AND($L404="Y",$J404&lt;&gt;""),$J404+'설정 Settings'!$C$18,"")</f>
      </c>
      <c r="P404" s="41">
        <f>IF($H404="","",$H404-ROUND(IFERROR($H404*VLOOKUP($G404,'설정 Settings'!$A$122:$F$130,4,0)+VLOOKUP($G404,'설정 Settings'!$A$122:$F$130,5,0),0),2))</f>
      </c>
      <c r="Q404" s="42">
        <f>IF(AND($I404="OPEN",$B404&lt;&gt;""),IF('설정 Settings'!$C$15-$B404&gt;='설정 Settings'!$C$62,"후속 연락 필요",""),"")</f>
      </c>
    </row>
    <row r="405" spans="15:17" x14ac:dyDescent="0.25">
      <c r="O405" s="40">
        <f>IF(AND($L405="Y",$J405&lt;&gt;""),$J405+'설정 Settings'!$C$18,"")</f>
      </c>
      <c r="P405" s="41">
        <f>IF($H405="","",$H405-ROUND(IFERROR($H405*VLOOKUP($G405,'설정 Settings'!$A$122:$F$130,4,0)+VLOOKUP($G405,'설정 Settings'!$A$122:$F$130,5,0),0),2))</f>
      </c>
      <c r="Q405" s="42">
        <f>IF(AND($I405="OPEN",$B405&lt;&gt;""),IF('설정 Settings'!$C$15-$B405&gt;='설정 Settings'!$C$62,"후속 연락 필요",""),"")</f>
      </c>
    </row>
    <row r="406" spans="15:17" x14ac:dyDescent="0.25">
      <c r="O406" s="40">
        <f>IF(AND($L406="Y",$J406&lt;&gt;""),$J406+'설정 Settings'!$C$18,"")</f>
      </c>
      <c r="P406" s="41">
        <f>IF($H406="","",$H406-ROUND(IFERROR($H406*VLOOKUP($G406,'설정 Settings'!$A$122:$F$130,4,0)+VLOOKUP($G406,'설정 Settings'!$A$122:$F$130,5,0),0),2))</f>
      </c>
      <c r="Q406" s="42">
        <f>IF(AND($I406="OPEN",$B406&lt;&gt;""),IF('설정 Settings'!$C$15-$B406&gt;='설정 Settings'!$C$62,"후속 연락 필요",""),"")</f>
      </c>
    </row>
    <row r="407" spans="15:17" x14ac:dyDescent="0.25">
      <c r="O407" s="40">
        <f>IF(AND($L407="Y",$J407&lt;&gt;""),$J407+'설정 Settings'!$C$18,"")</f>
      </c>
      <c r="P407" s="41">
        <f>IF($H407="","",$H407-ROUND(IFERROR($H407*VLOOKUP($G407,'설정 Settings'!$A$122:$F$130,4,0)+VLOOKUP($G407,'설정 Settings'!$A$122:$F$130,5,0),0),2))</f>
      </c>
      <c r="Q407" s="42">
        <f>IF(AND($I407="OPEN",$B407&lt;&gt;""),IF('설정 Settings'!$C$15-$B407&gt;='설정 Settings'!$C$62,"후속 연락 필요",""),"")</f>
      </c>
    </row>
    <row r="408" spans="15:17" x14ac:dyDescent="0.25">
      <c r="O408" s="40">
        <f>IF(AND($L408="Y",$J408&lt;&gt;""),$J408+'설정 Settings'!$C$18,"")</f>
      </c>
      <c r="P408" s="41">
        <f>IF($H408="","",$H408-ROUND(IFERROR($H408*VLOOKUP($G408,'설정 Settings'!$A$122:$F$130,4,0)+VLOOKUP($G408,'설정 Settings'!$A$122:$F$130,5,0),0),2))</f>
      </c>
      <c r="Q408" s="42">
        <f>IF(AND($I408="OPEN",$B408&lt;&gt;""),IF('설정 Settings'!$C$15-$B408&gt;='설정 Settings'!$C$62,"후속 연락 필요",""),"")</f>
      </c>
    </row>
    <row r="409" spans="15:17" x14ac:dyDescent="0.25">
      <c r="O409" s="40">
        <f>IF(AND($L409="Y",$J409&lt;&gt;""),$J409+'설정 Settings'!$C$18,"")</f>
      </c>
      <c r="P409" s="41">
        <f>IF($H409="","",$H409-ROUND(IFERROR($H409*VLOOKUP($G409,'설정 Settings'!$A$122:$F$130,4,0)+VLOOKUP($G409,'설정 Settings'!$A$122:$F$130,5,0),0),2))</f>
      </c>
      <c r="Q409" s="42">
        <f>IF(AND($I409="OPEN",$B409&lt;&gt;""),IF('설정 Settings'!$C$15-$B409&gt;='설정 Settings'!$C$62,"후속 연락 필요",""),"")</f>
      </c>
    </row>
    <row r="410" spans="15:17" x14ac:dyDescent="0.25">
      <c r="O410" s="40">
        <f>IF(AND($L410="Y",$J410&lt;&gt;""),$J410+'설정 Settings'!$C$18,"")</f>
      </c>
      <c r="P410" s="41">
        <f>IF($H410="","",$H410-ROUND(IFERROR($H410*VLOOKUP($G410,'설정 Settings'!$A$122:$F$130,4,0)+VLOOKUP($G410,'설정 Settings'!$A$122:$F$130,5,0),0),2))</f>
      </c>
      <c r="Q410" s="42">
        <f>IF(AND($I410="OPEN",$B410&lt;&gt;""),IF('설정 Settings'!$C$15-$B410&gt;='설정 Settings'!$C$62,"후속 연락 필요",""),"")</f>
      </c>
    </row>
    <row r="411" spans="15:17" x14ac:dyDescent="0.25">
      <c r="O411" s="40">
        <f>IF(AND($L411="Y",$J411&lt;&gt;""),$J411+'설정 Settings'!$C$18,"")</f>
      </c>
      <c r="P411" s="41">
        <f>IF($H411="","",$H411-ROUND(IFERROR($H411*VLOOKUP($G411,'설정 Settings'!$A$122:$F$130,4,0)+VLOOKUP($G411,'설정 Settings'!$A$122:$F$130,5,0),0),2))</f>
      </c>
      <c r="Q411" s="42">
        <f>IF(AND($I411="OPEN",$B411&lt;&gt;""),IF('설정 Settings'!$C$15-$B411&gt;='설정 Settings'!$C$62,"후속 연락 필요",""),"")</f>
      </c>
    </row>
    <row r="412" spans="15:17" x14ac:dyDescent="0.25">
      <c r="O412" s="40">
        <f>IF(AND($L412="Y",$J412&lt;&gt;""),$J412+'설정 Settings'!$C$18,"")</f>
      </c>
      <c r="P412" s="41">
        <f>IF($H412="","",$H412-ROUND(IFERROR($H412*VLOOKUP($G412,'설정 Settings'!$A$122:$F$130,4,0)+VLOOKUP($G412,'설정 Settings'!$A$122:$F$130,5,0),0),2))</f>
      </c>
      <c r="Q412" s="42">
        <f>IF(AND($I412="OPEN",$B412&lt;&gt;""),IF('설정 Settings'!$C$15-$B412&gt;='설정 Settings'!$C$62,"후속 연락 필요",""),"")</f>
      </c>
    </row>
    <row r="413" spans="15:17" x14ac:dyDescent="0.25">
      <c r="O413" s="40">
        <f>IF(AND($L413="Y",$J413&lt;&gt;""),$J413+'설정 Settings'!$C$18,"")</f>
      </c>
      <c r="P413" s="41">
        <f>IF($H413="","",$H413-ROUND(IFERROR($H413*VLOOKUP($G413,'설정 Settings'!$A$122:$F$130,4,0)+VLOOKUP($G413,'설정 Settings'!$A$122:$F$130,5,0),0),2))</f>
      </c>
      <c r="Q413" s="42">
        <f>IF(AND($I413="OPEN",$B413&lt;&gt;""),IF('설정 Settings'!$C$15-$B413&gt;='설정 Settings'!$C$62,"후속 연락 필요",""),"")</f>
      </c>
    </row>
    <row r="414" spans="15:17" x14ac:dyDescent="0.25">
      <c r="O414" s="40">
        <f>IF(AND($L414="Y",$J414&lt;&gt;""),$J414+'설정 Settings'!$C$18,"")</f>
      </c>
      <c r="P414" s="41">
        <f>IF($H414="","",$H414-ROUND(IFERROR($H414*VLOOKUP($G414,'설정 Settings'!$A$122:$F$130,4,0)+VLOOKUP($G414,'설정 Settings'!$A$122:$F$130,5,0),0),2))</f>
      </c>
      <c r="Q414" s="42">
        <f>IF(AND($I414="OPEN",$B414&lt;&gt;""),IF('설정 Settings'!$C$15-$B414&gt;='설정 Settings'!$C$62,"후속 연락 필요",""),"")</f>
      </c>
    </row>
    <row r="415" spans="15:17" x14ac:dyDescent="0.25">
      <c r="O415" s="40">
        <f>IF(AND($L415="Y",$J415&lt;&gt;""),$J415+'설정 Settings'!$C$18,"")</f>
      </c>
      <c r="P415" s="41">
        <f>IF($H415="","",$H415-ROUND(IFERROR($H415*VLOOKUP($G415,'설정 Settings'!$A$122:$F$130,4,0)+VLOOKUP($G415,'설정 Settings'!$A$122:$F$130,5,0),0),2))</f>
      </c>
      <c r="Q415" s="42">
        <f>IF(AND($I415="OPEN",$B415&lt;&gt;""),IF('설정 Settings'!$C$15-$B415&gt;='설정 Settings'!$C$62,"후속 연락 필요",""),"")</f>
      </c>
    </row>
    <row r="416" spans="15:17" x14ac:dyDescent="0.25">
      <c r="O416" s="40">
        <f>IF(AND($L416="Y",$J416&lt;&gt;""),$J416+'설정 Settings'!$C$18,"")</f>
      </c>
      <c r="P416" s="41">
        <f>IF($H416="","",$H416-ROUND(IFERROR($H416*VLOOKUP($G416,'설정 Settings'!$A$122:$F$130,4,0)+VLOOKUP($G416,'설정 Settings'!$A$122:$F$130,5,0),0),2))</f>
      </c>
      <c r="Q416" s="42">
        <f>IF(AND($I416="OPEN",$B416&lt;&gt;""),IF('설정 Settings'!$C$15-$B416&gt;='설정 Settings'!$C$62,"후속 연락 필요",""),"")</f>
      </c>
    </row>
    <row r="417" spans="15:17" x14ac:dyDescent="0.25">
      <c r="O417" s="40">
        <f>IF(AND($L417="Y",$J417&lt;&gt;""),$J417+'설정 Settings'!$C$18,"")</f>
      </c>
      <c r="P417" s="41">
        <f>IF($H417="","",$H417-ROUND(IFERROR($H417*VLOOKUP($G417,'설정 Settings'!$A$122:$F$130,4,0)+VLOOKUP($G417,'설정 Settings'!$A$122:$F$130,5,0),0),2))</f>
      </c>
      <c r="Q417" s="42">
        <f>IF(AND($I417="OPEN",$B417&lt;&gt;""),IF('설정 Settings'!$C$15-$B417&gt;='설정 Settings'!$C$62,"후속 연락 필요",""),"")</f>
      </c>
    </row>
    <row r="418" spans="15:17" x14ac:dyDescent="0.25">
      <c r="O418" s="40">
        <f>IF(AND($L418="Y",$J418&lt;&gt;""),$J418+'설정 Settings'!$C$18,"")</f>
      </c>
      <c r="P418" s="41">
        <f>IF($H418="","",$H418-ROUND(IFERROR($H418*VLOOKUP($G418,'설정 Settings'!$A$122:$F$130,4,0)+VLOOKUP($G418,'설정 Settings'!$A$122:$F$130,5,0),0),2))</f>
      </c>
      <c r="Q418" s="42">
        <f>IF(AND($I418="OPEN",$B418&lt;&gt;""),IF('설정 Settings'!$C$15-$B418&gt;='설정 Settings'!$C$62,"후속 연락 필요",""),"")</f>
      </c>
    </row>
    <row r="419" spans="15:17" x14ac:dyDescent="0.25">
      <c r="O419" s="40">
        <f>IF(AND($L419="Y",$J419&lt;&gt;""),$J419+'설정 Settings'!$C$18,"")</f>
      </c>
      <c r="P419" s="41">
        <f>IF($H419="","",$H419-ROUND(IFERROR($H419*VLOOKUP($G419,'설정 Settings'!$A$122:$F$130,4,0)+VLOOKUP($G419,'설정 Settings'!$A$122:$F$130,5,0),0),2))</f>
      </c>
      <c r="Q419" s="42">
        <f>IF(AND($I419="OPEN",$B419&lt;&gt;""),IF('설정 Settings'!$C$15-$B419&gt;='설정 Settings'!$C$62,"후속 연락 필요",""),"")</f>
      </c>
    </row>
    <row r="420" spans="15:17" x14ac:dyDescent="0.25">
      <c r="O420" s="40">
        <f>IF(AND($L420="Y",$J420&lt;&gt;""),$J420+'설정 Settings'!$C$18,"")</f>
      </c>
      <c r="P420" s="41">
        <f>IF($H420="","",$H420-ROUND(IFERROR($H420*VLOOKUP($G420,'설정 Settings'!$A$122:$F$130,4,0)+VLOOKUP($G420,'설정 Settings'!$A$122:$F$130,5,0),0),2))</f>
      </c>
      <c r="Q420" s="42">
        <f>IF(AND($I420="OPEN",$B420&lt;&gt;""),IF('설정 Settings'!$C$15-$B420&gt;='설정 Settings'!$C$62,"후속 연락 필요",""),"")</f>
      </c>
    </row>
    <row r="421" spans="15:17" x14ac:dyDescent="0.25">
      <c r="O421" s="40">
        <f>IF(AND($L421="Y",$J421&lt;&gt;""),$J421+'설정 Settings'!$C$18,"")</f>
      </c>
      <c r="P421" s="41">
        <f>IF($H421="","",$H421-ROUND(IFERROR($H421*VLOOKUP($G421,'설정 Settings'!$A$122:$F$130,4,0)+VLOOKUP($G421,'설정 Settings'!$A$122:$F$130,5,0),0),2))</f>
      </c>
      <c r="Q421" s="42">
        <f>IF(AND($I421="OPEN",$B421&lt;&gt;""),IF('설정 Settings'!$C$15-$B421&gt;='설정 Settings'!$C$62,"후속 연락 필요",""),"")</f>
      </c>
    </row>
    <row r="422" spans="15:17" x14ac:dyDescent="0.25">
      <c r="O422" s="40">
        <f>IF(AND($L422="Y",$J422&lt;&gt;""),$J422+'설정 Settings'!$C$18,"")</f>
      </c>
      <c r="P422" s="41">
        <f>IF($H422="","",$H422-ROUND(IFERROR($H422*VLOOKUP($G422,'설정 Settings'!$A$122:$F$130,4,0)+VLOOKUP($G422,'설정 Settings'!$A$122:$F$130,5,0),0),2))</f>
      </c>
      <c r="Q422" s="42">
        <f>IF(AND($I422="OPEN",$B422&lt;&gt;""),IF('설정 Settings'!$C$15-$B422&gt;='설정 Settings'!$C$62,"후속 연락 필요",""),"")</f>
      </c>
    </row>
    <row r="423" spans="15:17" x14ac:dyDescent="0.25">
      <c r="O423" s="40">
        <f>IF(AND($L423="Y",$J423&lt;&gt;""),$J423+'설정 Settings'!$C$18,"")</f>
      </c>
      <c r="P423" s="41">
        <f>IF($H423="","",$H423-ROUND(IFERROR($H423*VLOOKUP($G423,'설정 Settings'!$A$122:$F$130,4,0)+VLOOKUP($G423,'설정 Settings'!$A$122:$F$130,5,0),0),2))</f>
      </c>
      <c r="Q423" s="42">
        <f>IF(AND($I423="OPEN",$B423&lt;&gt;""),IF('설정 Settings'!$C$15-$B423&gt;='설정 Settings'!$C$62,"후속 연락 필요",""),"")</f>
      </c>
    </row>
    <row r="424" spans="15:17" x14ac:dyDescent="0.25">
      <c r="O424" s="40">
        <f>IF(AND($L424="Y",$J424&lt;&gt;""),$J424+'설정 Settings'!$C$18,"")</f>
      </c>
      <c r="P424" s="41">
        <f>IF($H424="","",$H424-ROUND(IFERROR($H424*VLOOKUP($G424,'설정 Settings'!$A$122:$F$130,4,0)+VLOOKUP($G424,'설정 Settings'!$A$122:$F$130,5,0),0),2))</f>
      </c>
      <c r="Q424" s="42">
        <f>IF(AND($I424="OPEN",$B424&lt;&gt;""),IF('설정 Settings'!$C$15-$B424&gt;='설정 Settings'!$C$62,"후속 연락 필요",""),"")</f>
      </c>
    </row>
    <row r="425" spans="15:17" x14ac:dyDescent="0.25">
      <c r="O425" s="40">
        <f>IF(AND($L425="Y",$J425&lt;&gt;""),$J425+'설정 Settings'!$C$18,"")</f>
      </c>
      <c r="P425" s="41">
        <f>IF($H425="","",$H425-ROUND(IFERROR($H425*VLOOKUP($G425,'설정 Settings'!$A$122:$F$130,4,0)+VLOOKUP($G425,'설정 Settings'!$A$122:$F$130,5,0),0),2))</f>
      </c>
      <c r="Q425" s="42">
        <f>IF(AND($I425="OPEN",$B425&lt;&gt;""),IF('설정 Settings'!$C$15-$B425&gt;='설정 Settings'!$C$62,"후속 연락 필요",""),"")</f>
      </c>
    </row>
    <row r="426" spans="15:17" x14ac:dyDescent="0.25">
      <c r="O426" s="40">
        <f>IF(AND($L426="Y",$J426&lt;&gt;""),$J426+'설정 Settings'!$C$18,"")</f>
      </c>
      <c r="P426" s="41">
        <f>IF($H426="","",$H426-ROUND(IFERROR($H426*VLOOKUP($G426,'설정 Settings'!$A$122:$F$130,4,0)+VLOOKUP($G426,'설정 Settings'!$A$122:$F$130,5,0),0),2))</f>
      </c>
      <c r="Q426" s="42">
        <f>IF(AND($I426="OPEN",$B426&lt;&gt;""),IF('설정 Settings'!$C$15-$B426&gt;='설정 Settings'!$C$62,"후속 연락 필요",""),"")</f>
      </c>
    </row>
    <row r="427" spans="15:17" x14ac:dyDescent="0.25">
      <c r="O427" s="40">
        <f>IF(AND($L427="Y",$J427&lt;&gt;""),$J427+'설정 Settings'!$C$18,"")</f>
      </c>
      <c r="P427" s="41">
        <f>IF($H427="","",$H427-ROUND(IFERROR($H427*VLOOKUP($G427,'설정 Settings'!$A$122:$F$130,4,0)+VLOOKUP($G427,'설정 Settings'!$A$122:$F$130,5,0),0),2))</f>
      </c>
      <c r="Q427" s="42">
        <f>IF(AND($I427="OPEN",$B427&lt;&gt;""),IF('설정 Settings'!$C$15-$B427&gt;='설정 Settings'!$C$62,"후속 연락 필요",""),"")</f>
      </c>
    </row>
    <row r="428" spans="15:17" x14ac:dyDescent="0.25">
      <c r="O428" s="40">
        <f>IF(AND($L428="Y",$J428&lt;&gt;""),$J428+'설정 Settings'!$C$18,"")</f>
      </c>
      <c r="P428" s="41">
        <f>IF($H428="","",$H428-ROUND(IFERROR($H428*VLOOKUP($G428,'설정 Settings'!$A$122:$F$130,4,0)+VLOOKUP($G428,'설정 Settings'!$A$122:$F$130,5,0),0),2))</f>
      </c>
      <c r="Q428" s="42">
        <f>IF(AND($I428="OPEN",$B428&lt;&gt;""),IF('설정 Settings'!$C$15-$B428&gt;='설정 Settings'!$C$62,"후속 연락 필요",""),"")</f>
      </c>
    </row>
    <row r="429" spans="15:17" x14ac:dyDescent="0.25">
      <c r="O429" s="40">
        <f>IF(AND($L429="Y",$J429&lt;&gt;""),$J429+'설정 Settings'!$C$18,"")</f>
      </c>
      <c r="P429" s="41">
        <f>IF($H429="","",$H429-ROUND(IFERROR($H429*VLOOKUP($G429,'설정 Settings'!$A$122:$F$130,4,0)+VLOOKUP($G429,'설정 Settings'!$A$122:$F$130,5,0),0),2))</f>
      </c>
      <c r="Q429" s="42">
        <f>IF(AND($I429="OPEN",$B429&lt;&gt;""),IF('설정 Settings'!$C$15-$B429&gt;='설정 Settings'!$C$62,"후속 연락 필요",""),"")</f>
      </c>
    </row>
    <row r="430" spans="15:17" x14ac:dyDescent="0.25">
      <c r="O430" s="40">
        <f>IF(AND($L430="Y",$J430&lt;&gt;""),$J430+'설정 Settings'!$C$18,"")</f>
      </c>
      <c r="P430" s="41">
        <f>IF($H430="","",$H430-ROUND(IFERROR($H430*VLOOKUP($G430,'설정 Settings'!$A$122:$F$130,4,0)+VLOOKUP($G430,'설정 Settings'!$A$122:$F$130,5,0),0),2))</f>
      </c>
      <c r="Q430" s="42">
        <f>IF(AND($I430="OPEN",$B430&lt;&gt;""),IF('설정 Settings'!$C$15-$B430&gt;='설정 Settings'!$C$62,"후속 연락 필요",""),"")</f>
      </c>
    </row>
    <row r="431" spans="15:17" x14ac:dyDescent="0.25">
      <c r="O431" s="40">
        <f>IF(AND($L431="Y",$J431&lt;&gt;""),$J431+'설정 Settings'!$C$18,"")</f>
      </c>
      <c r="P431" s="41">
        <f>IF($H431="","",$H431-ROUND(IFERROR($H431*VLOOKUP($G431,'설정 Settings'!$A$122:$F$130,4,0)+VLOOKUP($G431,'설정 Settings'!$A$122:$F$130,5,0),0),2))</f>
      </c>
      <c r="Q431" s="42">
        <f>IF(AND($I431="OPEN",$B431&lt;&gt;""),IF('설정 Settings'!$C$15-$B431&gt;='설정 Settings'!$C$62,"후속 연락 필요",""),"")</f>
      </c>
    </row>
    <row r="432" spans="15:17" x14ac:dyDescent="0.25">
      <c r="O432" s="40">
        <f>IF(AND($L432="Y",$J432&lt;&gt;""),$J432+'설정 Settings'!$C$18,"")</f>
      </c>
      <c r="P432" s="41">
        <f>IF($H432="","",$H432-ROUND(IFERROR($H432*VLOOKUP($G432,'설정 Settings'!$A$122:$F$130,4,0)+VLOOKUP($G432,'설정 Settings'!$A$122:$F$130,5,0),0),2))</f>
      </c>
      <c r="Q432" s="42">
        <f>IF(AND($I432="OPEN",$B432&lt;&gt;""),IF('설정 Settings'!$C$15-$B432&gt;='설정 Settings'!$C$62,"후속 연락 필요",""),"")</f>
      </c>
    </row>
    <row r="433" spans="15:17" x14ac:dyDescent="0.25">
      <c r="O433" s="40">
        <f>IF(AND($L433="Y",$J433&lt;&gt;""),$J433+'설정 Settings'!$C$18,"")</f>
      </c>
      <c r="P433" s="41">
        <f>IF($H433="","",$H433-ROUND(IFERROR($H433*VLOOKUP($G433,'설정 Settings'!$A$122:$F$130,4,0)+VLOOKUP($G433,'설정 Settings'!$A$122:$F$130,5,0),0),2))</f>
      </c>
      <c r="Q433" s="42">
        <f>IF(AND($I433="OPEN",$B433&lt;&gt;""),IF('설정 Settings'!$C$15-$B433&gt;='설정 Settings'!$C$62,"후속 연락 필요",""),"")</f>
      </c>
    </row>
    <row r="434" spans="15:17" x14ac:dyDescent="0.25">
      <c r="O434" s="40">
        <f>IF(AND($L434="Y",$J434&lt;&gt;""),$J434+'설정 Settings'!$C$18,"")</f>
      </c>
      <c r="P434" s="41">
        <f>IF($H434="","",$H434-ROUND(IFERROR($H434*VLOOKUP($G434,'설정 Settings'!$A$122:$F$130,4,0)+VLOOKUP($G434,'설정 Settings'!$A$122:$F$130,5,0),0),2))</f>
      </c>
      <c r="Q434" s="42">
        <f>IF(AND($I434="OPEN",$B434&lt;&gt;""),IF('설정 Settings'!$C$15-$B434&gt;='설정 Settings'!$C$62,"후속 연락 필요",""),"")</f>
      </c>
    </row>
    <row r="435" spans="15:17" x14ac:dyDescent="0.25">
      <c r="O435" s="40">
        <f>IF(AND($L435="Y",$J435&lt;&gt;""),$J435+'설정 Settings'!$C$18,"")</f>
      </c>
      <c r="P435" s="41">
        <f>IF($H435="","",$H435-ROUND(IFERROR($H435*VLOOKUP($G435,'설정 Settings'!$A$122:$F$130,4,0)+VLOOKUP($G435,'설정 Settings'!$A$122:$F$130,5,0),0),2))</f>
      </c>
      <c r="Q435" s="42">
        <f>IF(AND($I435="OPEN",$B435&lt;&gt;""),IF('설정 Settings'!$C$15-$B435&gt;='설정 Settings'!$C$62,"후속 연락 필요",""),"")</f>
      </c>
    </row>
    <row r="436" spans="15:17" x14ac:dyDescent="0.25">
      <c r="O436" s="40">
        <f>IF(AND($L436="Y",$J436&lt;&gt;""),$J436+'설정 Settings'!$C$18,"")</f>
      </c>
      <c r="P436" s="41">
        <f>IF($H436="","",$H436-ROUND(IFERROR($H436*VLOOKUP($G436,'설정 Settings'!$A$122:$F$130,4,0)+VLOOKUP($G436,'설정 Settings'!$A$122:$F$130,5,0),0),2))</f>
      </c>
      <c r="Q436" s="42">
        <f>IF(AND($I436="OPEN",$B436&lt;&gt;""),IF('설정 Settings'!$C$15-$B436&gt;='설정 Settings'!$C$62,"후속 연락 필요",""),"")</f>
      </c>
    </row>
    <row r="437" spans="15:17" x14ac:dyDescent="0.25">
      <c r="O437" s="40">
        <f>IF(AND($L437="Y",$J437&lt;&gt;""),$J437+'설정 Settings'!$C$18,"")</f>
      </c>
      <c r="P437" s="41">
        <f>IF($H437="","",$H437-ROUND(IFERROR($H437*VLOOKUP($G437,'설정 Settings'!$A$122:$F$130,4,0)+VLOOKUP($G437,'설정 Settings'!$A$122:$F$130,5,0),0),2))</f>
      </c>
      <c r="Q437" s="42">
        <f>IF(AND($I437="OPEN",$B437&lt;&gt;""),IF('설정 Settings'!$C$15-$B437&gt;='설정 Settings'!$C$62,"후속 연락 필요",""),"")</f>
      </c>
    </row>
    <row r="438" spans="15:17" x14ac:dyDescent="0.25">
      <c r="O438" s="40">
        <f>IF(AND($L438="Y",$J438&lt;&gt;""),$J438+'설정 Settings'!$C$18,"")</f>
      </c>
      <c r="P438" s="41">
        <f>IF($H438="","",$H438-ROUND(IFERROR($H438*VLOOKUP($G438,'설정 Settings'!$A$122:$F$130,4,0)+VLOOKUP($G438,'설정 Settings'!$A$122:$F$130,5,0),0),2))</f>
      </c>
      <c r="Q438" s="42">
        <f>IF(AND($I438="OPEN",$B438&lt;&gt;""),IF('설정 Settings'!$C$15-$B438&gt;='설정 Settings'!$C$62,"후속 연락 필요",""),"")</f>
      </c>
    </row>
    <row r="439" spans="15:17" x14ac:dyDescent="0.25">
      <c r="O439" s="40">
        <f>IF(AND($L439="Y",$J439&lt;&gt;""),$J439+'설정 Settings'!$C$18,"")</f>
      </c>
      <c r="P439" s="41">
        <f>IF($H439="","",$H439-ROUND(IFERROR($H439*VLOOKUP($G439,'설정 Settings'!$A$122:$F$130,4,0)+VLOOKUP($G439,'설정 Settings'!$A$122:$F$130,5,0),0),2))</f>
      </c>
      <c r="Q439" s="42">
        <f>IF(AND($I439="OPEN",$B439&lt;&gt;""),IF('설정 Settings'!$C$15-$B439&gt;='설정 Settings'!$C$62,"후속 연락 필요",""),"")</f>
      </c>
    </row>
    <row r="440" spans="15:17" x14ac:dyDescent="0.25">
      <c r="O440" s="40">
        <f>IF(AND($L440="Y",$J440&lt;&gt;""),$J440+'설정 Settings'!$C$18,"")</f>
      </c>
      <c r="P440" s="41">
        <f>IF($H440="","",$H440-ROUND(IFERROR($H440*VLOOKUP($G440,'설정 Settings'!$A$122:$F$130,4,0)+VLOOKUP($G440,'설정 Settings'!$A$122:$F$130,5,0),0),2))</f>
      </c>
      <c r="Q440" s="42">
        <f>IF(AND($I440="OPEN",$B440&lt;&gt;""),IF('설정 Settings'!$C$15-$B440&gt;='설정 Settings'!$C$62,"후속 연락 필요",""),"")</f>
      </c>
    </row>
    <row r="441" spans="15:17" x14ac:dyDescent="0.25">
      <c r="O441" s="40">
        <f>IF(AND($L441="Y",$J441&lt;&gt;""),$J441+'설정 Settings'!$C$18,"")</f>
      </c>
      <c r="P441" s="41">
        <f>IF($H441="","",$H441-ROUND(IFERROR($H441*VLOOKUP($G441,'설정 Settings'!$A$122:$F$130,4,0)+VLOOKUP($G441,'설정 Settings'!$A$122:$F$130,5,0),0),2))</f>
      </c>
      <c r="Q441" s="42">
        <f>IF(AND($I441="OPEN",$B441&lt;&gt;""),IF('설정 Settings'!$C$15-$B441&gt;='설정 Settings'!$C$62,"후속 연락 필요",""),"")</f>
      </c>
    </row>
    <row r="442" spans="15:17" x14ac:dyDescent="0.25">
      <c r="O442" s="40">
        <f>IF(AND($L442="Y",$J442&lt;&gt;""),$J442+'설정 Settings'!$C$18,"")</f>
      </c>
      <c r="P442" s="41">
        <f>IF($H442="","",$H442-ROUND(IFERROR($H442*VLOOKUP($G442,'설정 Settings'!$A$122:$F$130,4,0)+VLOOKUP($G442,'설정 Settings'!$A$122:$F$130,5,0),0),2))</f>
      </c>
      <c r="Q442" s="42">
        <f>IF(AND($I442="OPEN",$B442&lt;&gt;""),IF('설정 Settings'!$C$15-$B442&gt;='설정 Settings'!$C$62,"후속 연락 필요",""),"")</f>
      </c>
    </row>
    <row r="443" spans="15:17" x14ac:dyDescent="0.25">
      <c r="O443" s="40">
        <f>IF(AND($L443="Y",$J443&lt;&gt;""),$J443+'설정 Settings'!$C$18,"")</f>
      </c>
      <c r="P443" s="41">
        <f>IF($H443="","",$H443-ROUND(IFERROR($H443*VLOOKUP($G443,'설정 Settings'!$A$122:$F$130,4,0)+VLOOKUP($G443,'설정 Settings'!$A$122:$F$130,5,0),0),2))</f>
      </c>
      <c r="Q443" s="42">
        <f>IF(AND($I443="OPEN",$B443&lt;&gt;""),IF('설정 Settings'!$C$15-$B443&gt;='설정 Settings'!$C$62,"후속 연락 필요",""),"")</f>
      </c>
    </row>
    <row r="444" spans="15:17" x14ac:dyDescent="0.25">
      <c r="O444" s="40">
        <f>IF(AND($L444="Y",$J444&lt;&gt;""),$J444+'설정 Settings'!$C$18,"")</f>
      </c>
      <c r="P444" s="41">
        <f>IF($H444="","",$H444-ROUND(IFERROR($H444*VLOOKUP($G444,'설정 Settings'!$A$122:$F$130,4,0)+VLOOKUP($G444,'설정 Settings'!$A$122:$F$130,5,0),0),2))</f>
      </c>
      <c r="Q444" s="42">
        <f>IF(AND($I444="OPEN",$B444&lt;&gt;""),IF('설정 Settings'!$C$15-$B444&gt;='설정 Settings'!$C$62,"후속 연락 필요",""),"")</f>
      </c>
    </row>
    <row r="445" spans="15:17" x14ac:dyDescent="0.25">
      <c r="O445" s="40">
        <f>IF(AND($L445="Y",$J445&lt;&gt;""),$J445+'설정 Settings'!$C$18,"")</f>
      </c>
      <c r="P445" s="41">
        <f>IF($H445="","",$H445-ROUND(IFERROR($H445*VLOOKUP($G445,'설정 Settings'!$A$122:$F$130,4,0)+VLOOKUP($G445,'설정 Settings'!$A$122:$F$130,5,0),0),2))</f>
      </c>
      <c r="Q445" s="42">
        <f>IF(AND($I445="OPEN",$B445&lt;&gt;""),IF('설정 Settings'!$C$15-$B445&gt;='설정 Settings'!$C$62,"후속 연락 필요",""),"")</f>
      </c>
    </row>
    <row r="446" spans="15:17" x14ac:dyDescent="0.25">
      <c r="O446" s="40">
        <f>IF(AND($L446="Y",$J446&lt;&gt;""),$J446+'설정 Settings'!$C$18,"")</f>
      </c>
      <c r="P446" s="41">
        <f>IF($H446="","",$H446-ROUND(IFERROR($H446*VLOOKUP($G446,'설정 Settings'!$A$122:$F$130,4,0)+VLOOKUP($G446,'설정 Settings'!$A$122:$F$130,5,0),0),2))</f>
      </c>
      <c r="Q446" s="42">
        <f>IF(AND($I446="OPEN",$B446&lt;&gt;""),IF('설정 Settings'!$C$15-$B446&gt;='설정 Settings'!$C$62,"후속 연락 필요",""),"")</f>
      </c>
    </row>
    <row r="447" spans="15:17" x14ac:dyDescent="0.25">
      <c r="O447" s="40">
        <f>IF(AND($L447="Y",$J447&lt;&gt;""),$J447+'설정 Settings'!$C$18,"")</f>
      </c>
      <c r="P447" s="41">
        <f>IF($H447="","",$H447-ROUND(IFERROR($H447*VLOOKUP($G447,'설정 Settings'!$A$122:$F$130,4,0)+VLOOKUP($G447,'설정 Settings'!$A$122:$F$130,5,0),0),2))</f>
      </c>
      <c r="Q447" s="42">
        <f>IF(AND($I447="OPEN",$B447&lt;&gt;""),IF('설정 Settings'!$C$15-$B447&gt;='설정 Settings'!$C$62,"후속 연락 필요",""),"")</f>
      </c>
    </row>
    <row r="448" spans="15:17" x14ac:dyDescent="0.25">
      <c r="O448" s="40">
        <f>IF(AND($L448="Y",$J448&lt;&gt;""),$J448+'설정 Settings'!$C$18,"")</f>
      </c>
      <c r="P448" s="41">
        <f>IF($H448="","",$H448-ROUND(IFERROR($H448*VLOOKUP($G448,'설정 Settings'!$A$122:$F$130,4,0)+VLOOKUP($G448,'설정 Settings'!$A$122:$F$130,5,0),0),2))</f>
      </c>
      <c r="Q448" s="42">
        <f>IF(AND($I448="OPEN",$B448&lt;&gt;""),IF('설정 Settings'!$C$15-$B448&gt;='설정 Settings'!$C$62,"후속 연락 필요",""),"")</f>
      </c>
    </row>
    <row r="449" spans="15:17" x14ac:dyDescent="0.25">
      <c r="O449" s="40">
        <f>IF(AND($L449="Y",$J449&lt;&gt;""),$J449+'설정 Settings'!$C$18,"")</f>
      </c>
      <c r="P449" s="41">
        <f>IF($H449="","",$H449-ROUND(IFERROR($H449*VLOOKUP($G449,'설정 Settings'!$A$122:$F$130,4,0)+VLOOKUP($G449,'설정 Settings'!$A$122:$F$130,5,0),0),2))</f>
      </c>
      <c r="Q449" s="42">
        <f>IF(AND($I449="OPEN",$B449&lt;&gt;""),IF('설정 Settings'!$C$15-$B449&gt;='설정 Settings'!$C$62,"후속 연락 필요",""),"")</f>
      </c>
    </row>
    <row r="450" spans="15:17" x14ac:dyDescent="0.25">
      <c r="O450" s="40">
        <f>IF(AND($L450="Y",$J450&lt;&gt;""),$J450+'설정 Settings'!$C$18,"")</f>
      </c>
      <c r="P450" s="41">
        <f>IF($H450="","",$H450-ROUND(IFERROR($H450*VLOOKUP($G450,'설정 Settings'!$A$122:$F$130,4,0)+VLOOKUP($G450,'설정 Settings'!$A$122:$F$130,5,0),0),2))</f>
      </c>
      <c r="Q450" s="42">
        <f>IF(AND($I450="OPEN",$B450&lt;&gt;""),IF('설정 Settings'!$C$15-$B450&gt;='설정 Settings'!$C$62,"후속 연락 필요",""),"")</f>
      </c>
    </row>
    <row r="451" spans="15:17" x14ac:dyDescent="0.25">
      <c r="O451" s="40">
        <f>IF(AND($L451="Y",$J451&lt;&gt;""),$J451+'설정 Settings'!$C$18,"")</f>
      </c>
      <c r="P451" s="41">
        <f>IF($H451="","",$H451-ROUND(IFERROR($H451*VLOOKUP($G451,'설정 Settings'!$A$122:$F$130,4,0)+VLOOKUP($G451,'설정 Settings'!$A$122:$F$130,5,0),0),2))</f>
      </c>
      <c r="Q451" s="42">
        <f>IF(AND($I451="OPEN",$B451&lt;&gt;""),IF('설정 Settings'!$C$15-$B451&gt;='설정 Settings'!$C$62,"후속 연락 필요",""),"")</f>
      </c>
    </row>
    <row r="452" spans="15:17" x14ac:dyDescent="0.25">
      <c r="O452" s="40">
        <f>IF(AND($L452="Y",$J452&lt;&gt;""),$J452+'설정 Settings'!$C$18,"")</f>
      </c>
      <c r="P452" s="41">
        <f>IF($H452="","",$H452-ROUND(IFERROR($H452*VLOOKUP($G452,'설정 Settings'!$A$122:$F$130,4,0)+VLOOKUP($G452,'설정 Settings'!$A$122:$F$130,5,0),0),2))</f>
      </c>
      <c r="Q452" s="42">
        <f>IF(AND($I452="OPEN",$B452&lt;&gt;""),IF('설정 Settings'!$C$15-$B452&gt;='설정 Settings'!$C$62,"후속 연락 필요",""),"")</f>
      </c>
    </row>
    <row r="453" spans="15:17" x14ac:dyDescent="0.25">
      <c r="O453" s="40">
        <f>IF(AND($L453="Y",$J453&lt;&gt;""),$J453+'설정 Settings'!$C$18,"")</f>
      </c>
      <c r="P453" s="41">
        <f>IF($H453="","",$H453-ROUND(IFERROR($H453*VLOOKUP($G453,'설정 Settings'!$A$122:$F$130,4,0)+VLOOKUP($G453,'설정 Settings'!$A$122:$F$130,5,0),0),2))</f>
      </c>
      <c r="Q453" s="42">
        <f>IF(AND($I453="OPEN",$B453&lt;&gt;""),IF('설정 Settings'!$C$15-$B453&gt;='설정 Settings'!$C$62,"후속 연락 필요",""),"")</f>
      </c>
    </row>
    <row r="454" spans="15:17" x14ac:dyDescent="0.25">
      <c r="O454" s="40">
        <f>IF(AND($L454="Y",$J454&lt;&gt;""),$J454+'설정 Settings'!$C$18,"")</f>
      </c>
      <c r="P454" s="41">
        <f>IF($H454="","",$H454-ROUND(IFERROR($H454*VLOOKUP($G454,'설정 Settings'!$A$122:$F$130,4,0)+VLOOKUP($G454,'설정 Settings'!$A$122:$F$130,5,0),0),2))</f>
      </c>
      <c r="Q454" s="42">
        <f>IF(AND($I454="OPEN",$B454&lt;&gt;""),IF('설정 Settings'!$C$15-$B454&gt;='설정 Settings'!$C$62,"후속 연락 필요",""),"")</f>
      </c>
    </row>
    <row r="455" spans="15:17" x14ac:dyDescent="0.25">
      <c r="O455" s="40">
        <f>IF(AND($L455="Y",$J455&lt;&gt;""),$J455+'설정 Settings'!$C$18,"")</f>
      </c>
      <c r="P455" s="41">
        <f>IF($H455="","",$H455-ROUND(IFERROR($H455*VLOOKUP($G455,'설정 Settings'!$A$122:$F$130,4,0)+VLOOKUP($G455,'설정 Settings'!$A$122:$F$130,5,0),0),2))</f>
      </c>
      <c r="Q455" s="42">
        <f>IF(AND($I455="OPEN",$B455&lt;&gt;""),IF('설정 Settings'!$C$15-$B455&gt;='설정 Settings'!$C$62,"후속 연락 필요",""),"")</f>
      </c>
    </row>
    <row r="456" spans="15:17" x14ac:dyDescent="0.25">
      <c r="O456" s="40">
        <f>IF(AND($L456="Y",$J456&lt;&gt;""),$J456+'설정 Settings'!$C$18,"")</f>
      </c>
      <c r="P456" s="41">
        <f>IF($H456="","",$H456-ROUND(IFERROR($H456*VLOOKUP($G456,'설정 Settings'!$A$122:$F$130,4,0)+VLOOKUP($G456,'설정 Settings'!$A$122:$F$130,5,0),0),2))</f>
      </c>
      <c r="Q456" s="42">
        <f>IF(AND($I456="OPEN",$B456&lt;&gt;""),IF('설정 Settings'!$C$15-$B456&gt;='설정 Settings'!$C$62,"후속 연락 필요",""),"")</f>
      </c>
    </row>
    <row r="457" spans="15:17" x14ac:dyDescent="0.25">
      <c r="O457" s="40">
        <f>IF(AND($L457="Y",$J457&lt;&gt;""),$J457+'설정 Settings'!$C$18,"")</f>
      </c>
      <c r="P457" s="41">
        <f>IF($H457="","",$H457-ROUND(IFERROR($H457*VLOOKUP($G457,'설정 Settings'!$A$122:$F$130,4,0)+VLOOKUP($G457,'설정 Settings'!$A$122:$F$130,5,0),0),2))</f>
      </c>
      <c r="Q457" s="42">
        <f>IF(AND($I457="OPEN",$B457&lt;&gt;""),IF('설정 Settings'!$C$15-$B457&gt;='설정 Settings'!$C$62,"후속 연락 필요",""),"")</f>
      </c>
    </row>
    <row r="458" spans="15:17" x14ac:dyDescent="0.25">
      <c r="O458" s="40">
        <f>IF(AND($L458="Y",$J458&lt;&gt;""),$J458+'설정 Settings'!$C$18,"")</f>
      </c>
      <c r="P458" s="41">
        <f>IF($H458="","",$H458-ROUND(IFERROR($H458*VLOOKUP($G458,'설정 Settings'!$A$122:$F$130,4,0)+VLOOKUP($G458,'설정 Settings'!$A$122:$F$130,5,0),0),2))</f>
      </c>
      <c r="Q458" s="42">
        <f>IF(AND($I458="OPEN",$B458&lt;&gt;""),IF('설정 Settings'!$C$15-$B458&gt;='설정 Settings'!$C$62,"후속 연락 필요",""),"")</f>
      </c>
    </row>
    <row r="459" spans="15:17" x14ac:dyDescent="0.25">
      <c r="O459" s="40">
        <f>IF(AND($L459="Y",$J459&lt;&gt;""),$J459+'설정 Settings'!$C$18,"")</f>
      </c>
      <c r="P459" s="41">
        <f>IF($H459="","",$H459-ROUND(IFERROR($H459*VLOOKUP($G459,'설정 Settings'!$A$122:$F$130,4,0)+VLOOKUP($G459,'설정 Settings'!$A$122:$F$130,5,0),0),2))</f>
      </c>
      <c r="Q459" s="42">
        <f>IF(AND($I459="OPEN",$B459&lt;&gt;""),IF('설정 Settings'!$C$15-$B459&gt;='설정 Settings'!$C$62,"후속 연락 필요",""),"")</f>
      </c>
    </row>
    <row r="460" spans="15:17" x14ac:dyDescent="0.25">
      <c r="O460" s="40">
        <f>IF(AND($L460="Y",$J460&lt;&gt;""),$J460+'설정 Settings'!$C$18,"")</f>
      </c>
      <c r="P460" s="41">
        <f>IF($H460="","",$H460-ROUND(IFERROR($H460*VLOOKUP($G460,'설정 Settings'!$A$122:$F$130,4,0)+VLOOKUP($G460,'설정 Settings'!$A$122:$F$130,5,0),0),2))</f>
      </c>
      <c r="Q460" s="42">
        <f>IF(AND($I460="OPEN",$B460&lt;&gt;""),IF('설정 Settings'!$C$15-$B460&gt;='설정 Settings'!$C$62,"후속 연락 필요",""),"")</f>
      </c>
    </row>
    <row r="461" spans="15:17" x14ac:dyDescent="0.25">
      <c r="O461" s="40">
        <f>IF(AND($L461="Y",$J461&lt;&gt;""),$J461+'설정 Settings'!$C$18,"")</f>
      </c>
      <c r="P461" s="41">
        <f>IF($H461="","",$H461-ROUND(IFERROR($H461*VLOOKUP($G461,'설정 Settings'!$A$122:$F$130,4,0)+VLOOKUP($G461,'설정 Settings'!$A$122:$F$130,5,0),0),2))</f>
      </c>
      <c r="Q461" s="42">
        <f>IF(AND($I461="OPEN",$B461&lt;&gt;""),IF('설정 Settings'!$C$15-$B461&gt;='설정 Settings'!$C$62,"후속 연락 필요",""),"")</f>
      </c>
    </row>
    <row r="462" spans="15:17" x14ac:dyDescent="0.25">
      <c r="O462" s="40">
        <f>IF(AND($L462="Y",$J462&lt;&gt;""),$J462+'설정 Settings'!$C$18,"")</f>
      </c>
      <c r="P462" s="41">
        <f>IF($H462="","",$H462-ROUND(IFERROR($H462*VLOOKUP($G462,'설정 Settings'!$A$122:$F$130,4,0)+VLOOKUP($G462,'설정 Settings'!$A$122:$F$130,5,0),0),2))</f>
      </c>
      <c r="Q462" s="42">
        <f>IF(AND($I462="OPEN",$B462&lt;&gt;""),IF('설정 Settings'!$C$15-$B462&gt;='설정 Settings'!$C$62,"후속 연락 필요",""),"")</f>
      </c>
    </row>
    <row r="463" spans="15:17" x14ac:dyDescent="0.25">
      <c r="O463" s="40">
        <f>IF(AND($L463="Y",$J463&lt;&gt;""),$J463+'설정 Settings'!$C$18,"")</f>
      </c>
      <c r="P463" s="41">
        <f>IF($H463="","",$H463-ROUND(IFERROR($H463*VLOOKUP($G463,'설정 Settings'!$A$122:$F$130,4,0)+VLOOKUP($G463,'설정 Settings'!$A$122:$F$130,5,0),0),2))</f>
      </c>
      <c r="Q463" s="42">
        <f>IF(AND($I463="OPEN",$B463&lt;&gt;""),IF('설정 Settings'!$C$15-$B463&gt;='설정 Settings'!$C$62,"후속 연락 필요",""),"")</f>
      </c>
    </row>
    <row r="464" spans="15:17" x14ac:dyDescent="0.25">
      <c r="O464" s="40">
        <f>IF(AND($L464="Y",$J464&lt;&gt;""),$J464+'설정 Settings'!$C$18,"")</f>
      </c>
      <c r="P464" s="41">
        <f>IF($H464="","",$H464-ROUND(IFERROR($H464*VLOOKUP($G464,'설정 Settings'!$A$122:$F$130,4,0)+VLOOKUP($G464,'설정 Settings'!$A$122:$F$130,5,0),0),2))</f>
      </c>
      <c r="Q464" s="42">
        <f>IF(AND($I464="OPEN",$B464&lt;&gt;""),IF('설정 Settings'!$C$15-$B464&gt;='설정 Settings'!$C$62,"후속 연락 필요",""),"")</f>
      </c>
    </row>
    <row r="465" spans="15:17" x14ac:dyDescent="0.25">
      <c r="O465" s="40">
        <f>IF(AND($L465="Y",$J465&lt;&gt;""),$J465+'설정 Settings'!$C$18,"")</f>
      </c>
      <c r="P465" s="41">
        <f>IF($H465="","",$H465-ROUND(IFERROR($H465*VLOOKUP($G465,'설정 Settings'!$A$122:$F$130,4,0)+VLOOKUP($G465,'설정 Settings'!$A$122:$F$130,5,0),0),2))</f>
      </c>
      <c r="Q465" s="42">
        <f>IF(AND($I465="OPEN",$B465&lt;&gt;""),IF('설정 Settings'!$C$15-$B465&gt;='설정 Settings'!$C$62,"후속 연락 필요",""),"")</f>
      </c>
    </row>
    <row r="466" spans="15:17" x14ac:dyDescent="0.25">
      <c r="O466" s="40">
        <f>IF(AND($L466="Y",$J466&lt;&gt;""),$J466+'설정 Settings'!$C$18,"")</f>
      </c>
      <c r="P466" s="41">
        <f>IF($H466="","",$H466-ROUND(IFERROR($H466*VLOOKUP($G466,'설정 Settings'!$A$122:$F$130,4,0)+VLOOKUP($G466,'설정 Settings'!$A$122:$F$130,5,0),0),2))</f>
      </c>
      <c r="Q466" s="42">
        <f>IF(AND($I466="OPEN",$B466&lt;&gt;""),IF('설정 Settings'!$C$15-$B466&gt;='설정 Settings'!$C$62,"후속 연락 필요",""),"")</f>
      </c>
    </row>
    <row r="467" spans="15:17" x14ac:dyDescent="0.25">
      <c r="O467" s="40">
        <f>IF(AND($L467="Y",$J467&lt;&gt;""),$J467+'설정 Settings'!$C$18,"")</f>
      </c>
      <c r="P467" s="41">
        <f>IF($H467="","",$H467-ROUND(IFERROR($H467*VLOOKUP($G467,'설정 Settings'!$A$122:$F$130,4,0)+VLOOKUP($G467,'설정 Settings'!$A$122:$F$130,5,0),0),2))</f>
      </c>
      <c r="Q467" s="42">
        <f>IF(AND($I467="OPEN",$B467&lt;&gt;""),IF('설정 Settings'!$C$15-$B467&gt;='설정 Settings'!$C$62,"후속 연락 필요",""),"")</f>
      </c>
    </row>
    <row r="468" spans="15:17" x14ac:dyDescent="0.25">
      <c r="O468" s="40">
        <f>IF(AND($L468="Y",$J468&lt;&gt;""),$J468+'설정 Settings'!$C$18,"")</f>
      </c>
      <c r="P468" s="41">
        <f>IF($H468="","",$H468-ROUND(IFERROR($H468*VLOOKUP($G468,'설정 Settings'!$A$122:$F$130,4,0)+VLOOKUP($G468,'설정 Settings'!$A$122:$F$130,5,0),0),2))</f>
      </c>
      <c r="Q468" s="42">
        <f>IF(AND($I468="OPEN",$B468&lt;&gt;""),IF('설정 Settings'!$C$15-$B468&gt;='설정 Settings'!$C$62,"후속 연락 필요",""),"")</f>
      </c>
    </row>
    <row r="469" spans="15:17" x14ac:dyDescent="0.25">
      <c r="O469" s="40">
        <f>IF(AND($L469="Y",$J469&lt;&gt;""),$J469+'설정 Settings'!$C$18,"")</f>
      </c>
      <c r="P469" s="41">
        <f>IF($H469="","",$H469-ROUND(IFERROR($H469*VLOOKUP($G469,'설정 Settings'!$A$122:$F$130,4,0)+VLOOKUP($G469,'설정 Settings'!$A$122:$F$130,5,0),0),2))</f>
      </c>
      <c r="Q469" s="42">
        <f>IF(AND($I469="OPEN",$B469&lt;&gt;""),IF('설정 Settings'!$C$15-$B469&gt;='설정 Settings'!$C$62,"후속 연락 필요",""),"")</f>
      </c>
    </row>
    <row r="470" spans="15:17" x14ac:dyDescent="0.25">
      <c r="O470" s="40">
        <f>IF(AND($L470="Y",$J470&lt;&gt;""),$J470+'설정 Settings'!$C$18,"")</f>
      </c>
      <c r="P470" s="41">
        <f>IF($H470="","",$H470-ROUND(IFERROR($H470*VLOOKUP($G470,'설정 Settings'!$A$122:$F$130,4,0)+VLOOKUP($G470,'설정 Settings'!$A$122:$F$130,5,0),0),2))</f>
      </c>
      <c r="Q470" s="42">
        <f>IF(AND($I470="OPEN",$B470&lt;&gt;""),IF('설정 Settings'!$C$15-$B470&gt;='설정 Settings'!$C$62,"후속 연락 필요",""),"")</f>
      </c>
    </row>
    <row r="471" spans="15:17" x14ac:dyDescent="0.25">
      <c r="O471" s="40">
        <f>IF(AND($L471="Y",$J471&lt;&gt;""),$J471+'설정 Settings'!$C$18,"")</f>
      </c>
      <c r="P471" s="41">
        <f>IF($H471="","",$H471-ROUND(IFERROR($H471*VLOOKUP($G471,'설정 Settings'!$A$122:$F$130,4,0)+VLOOKUP($G471,'설정 Settings'!$A$122:$F$130,5,0),0),2))</f>
      </c>
      <c r="Q471" s="42">
        <f>IF(AND($I471="OPEN",$B471&lt;&gt;""),IF('설정 Settings'!$C$15-$B471&gt;='설정 Settings'!$C$62,"후속 연락 필요",""),"")</f>
      </c>
    </row>
    <row r="472" spans="15:17" x14ac:dyDescent="0.25">
      <c r="O472" s="40">
        <f>IF(AND($L472="Y",$J472&lt;&gt;""),$J472+'설정 Settings'!$C$18,"")</f>
      </c>
      <c r="P472" s="41">
        <f>IF($H472="","",$H472-ROUND(IFERROR($H472*VLOOKUP($G472,'설정 Settings'!$A$122:$F$130,4,0)+VLOOKUP($G472,'설정 Settings'!$A$122:$F$130,5,0),0),2))</f>
      </c>
      <c r="Q472" s="42">
        <f>IF(AND($I472="OPEN",$B472&lt;&gt;""),IF('설정 Settings'!$C$15-$B472&gt;='설정 Settings'!$C$62,"후속 연락 필요",""),"")</f>
      </c>
    </row>
    <row r="473" spans="15:17" x14ac:dyDescent="0.25">
      <c r="O473" s="40">
        <f>IF(AND($L473="Y",$J473&lt;&gt;""),$J473+'설정 Settings'!$C$18,"")</f>
      </c>
      <c r="P473" s="41">
        <f>IF($H473="","",$H473-ROUND(IFERROR($H473*VLOOKUP($G473,'설정 Settings'!$A$122:$F$130,4,0)+VLOOKUP($G473,'설정 Settings'!$A$122:$F$130,5,0),0),2))</f>
      </c>
      <c r="Q473" s="42">
        <f>IF(AND($I473="OPEN",$B473&lt;&gt;""),IF('설정 Settings'!$C$15-$B473&gt;='설정 Settings'!$C$62,"후속 연락 필요",""),"")</f>
      </c>
    </row>
    <row r="474" spans="15:17" x14ac:dyDescent="0.25">
      <c r="O474" s="40">
        <f>IF(AND($L474="Y",$J474&lt;&gt;""),$J474+'설정 Settings'!$C$18,"")</f>
      </c>
      <c r="P474" s="41">
        <f>IF($H474="","",$H474-ROUND(IFERROR($H474*VLOOKUP($G474,'설정 Settings'!$A$122:$F$130,4,0)+VLOOKUP($G474,'설정 Settings'!$A$122:$F$130,5,0),0),2))</f>
      </c>
      <c r="Q474" s="42">
        <f>IF(AND($I474="OPEN",$B474&lt;&gt;""),IF('설정 Settings'!$C$15-$B474&gt;='설정 Settings'!$C$62,"후속 연락 필요",""),"")</f>
      </c>
    </row>
    <row r="475" spans="15:17" x14ac:dyDescent="0.25">
      <c r="O475" s="40">
        <f>IF(AND($L475="Y",$J475&lt;&gt;""),$J475+'설정 Settings'!$C$18,"")</f>
      </c>
      <c r="P475" s="41">
        <f>IF($H475="","",$H475-ROUND(IFERROR($H475*VLOOKUP($G475,'설정 Settings'!$A$122:$F$130,4,0)+VLOOKUP($G475,'설정 Settings'!$A$122:$F$130,5,0),0),2))</f>
      </c>
      <c r="Q475" s="42">
        <f>IF(AND($I475="OPEN",$B475&lt;&gt;""),IF('설정 Settings'!$C$15-$B475&gt;='설정 Settings'!$C$62,"후속 연락 필요",""),"")</f>
      </c>
    </row>
    <row r="476" spans="15:17" x14ac:dyDescent="0.25">
      <c r="O476" s="40">
        <f>IF(AND($L476="Y",$J476&lt;&gt;""),$J476+'설정 Settings'!$C$18,"")</f>
      </c>
      <c r="P476" s="41">
        <f>IF($H476="","",$H476-ROUND(IFERROR($H476*VLOOKUP($G476,'설정 Settings'!$A$122:$F$130,4,0)+VLOOKUP($G476,'설정 Settings'!$A$122:$F$130,5,0),0),2))</f>
      </c>
      <c r="Q476" s="42">
        <f>IF(AND($I476="OPEN",$B476&lt;&gt;""),IF('설정 Settings'!$C$15-$B476&gt;='설정 Settings'!$C$62,"후속 연락 필요",""),"")</f>
      </c>
    </row>
    <row r="477" spans="15:17" x14ac:dyDescent="0.25">
      <c r="O477" s="40">
        <f>IF(AND($L477="Y",$J477&lt;&gt;""),$J477+'설정 Settings'!$C$18,"")</f>
      </c>
      <c r="P477" s="41">
        <f>IF($H477="","",$H477-ROUND(IFERROR($H477*VLOOKUP($G477,'설정 Settings'!$A$122:$F$130,4,0)+VLOOKUP($G477,'설정 Settings'!$A$122:$F$130,5,0),0),2))</f>
      </c>
      <c r="Q477" s="42">
        <f>IF(AND($I477="OPEN",$B477&lt;&gt;""),IF('설정 Settings'!$C$15-$B477&gt;='설정 Settings'!$C$62,"후속 연락 필요",""),"")</f>
      </c>
    </row>
    <row r="478" spans="15:17" x14ac:dyDescent="0.25">
      <c r="O478" s="40">
        <f>IF(AND($L478="Y",$J478&lt;&gt;""),$J478+'설정 Settings'!$C$18,"")</f>
      </c>
      <c r="P478" s="41">
        <f>IF($H478="","",$H478-ROUND(IFERROR($H478*VLOOKUP($G478,'설정 Settings'!$A$122:$F$130,4,0)+VLOOKUP($G478,'설정 Settings'!$A$122:$F$130,5,0),0),2))</f>
      </c>
      <c r="Q478" s="42">
        <f>IF(AND($I478="OPEN",$B478&lt;&gt;""),IF('설정 Settings'!$C$15-$B478&gt;='설정 Settings'!$C$62,"후속 연락 필요",""),"")</f>
      </c>
    </row>
    <row r="479" spans="15:17" x14ac:dyDescent="0.25">
      <c r="O479" s="40">
        <f>IF(AND($L479="Y",$J479&lt;&gt;""),$J479+'설정 Settings'!$C$18,"")</f>
      </c>
      <c r="P479" s="41">
        <f>IF($H479="","",$H479-ROUND(IFERROR($H479*VLOOKUP($G479,'설정 Settings'!$A$122:$F$130,4,0)+VLOOKUP($G479,'설정 Settings'!$A$122:$F$130,5,0),0),2))</f>
      </c>
      <c r="Q479" s="42">
        <f>IF(AND($I479="OPEN",$B479&lt;&gt;""),IF('설정 Settings'!$C$15-$B479&gt;='설정 Settings'!$C$62,"후속 연락 필요",""),"")</f>
      </c>
    </row>
    <row r="480" spans="15:17" x14ac:dyDescent="0.25">
      <c r="O480" s="40">
        <f>IF(AND($L480="Y",$J480&lt;&gt;""),$J480+'설정 Settings'!$C$18,"")</f>
      </c>
      <c r="P480" s="41">
        <f>IF($H480="","",$H480-ROUND(IFERROR($H480*VLOOKUP($G480,'설정 Settings'!$A$122:$F$130,4,0)+VLOOKUP($G480,'설정 Settings'!$A$122:$F$130,5,0),0),2))</f>
      </c>
      <c r="Q480" s="42">
        <f>IF(AND($I480="OPEN",$B480&lt;&gt;""),IF('설정 Settings'!$C$15-$B480&gt;='설정 Settings'!$C$62,"후속 연락 필요",""),"")</f>
      </c>
    </row>
    <row r="481" spans="15:17" x14ac:dyDescent="0.25">
      <c r="O481" s="40">
        <f>IF(AND($L481="Y",$J481&lt;&gt;""),$J481+'설정 Settings'!$C$18,"")</f>
      </c>
      <c r="P481" s="41">
        <f>IF($H481="","",$H481-ROUND(IFERROR($H481*VLOOKUP($G481,'설정 Settings'!$A$122:$F$130,4,0)+VLOOKUP($G481,'설정 Settings'!$A$122:$F$130,5,0),0),2))</f>
      </c>
      <c r="Q481" s="42">
        <f>IF(AND($I481="OPEN",$B481&lt;&gt;""),IF('설정 Settings'!$C$15-$B481&gt;='설정 Settings'!$C$62,"후속 연락 필요",""),"")</f>
      </c>
    </row>
    <row r="482" spans="15:17" x14ac:dyDescent="0.25">
      <c r="O482" s="40">
        <f>IF(AND($L482="Y",$J482&lt;&gt;""),$J482+'설정 Settings'!$C$18,"")</f>
      </c>
      <c r="P482" s="41">
        <f>IF($H482="","",$H482-ROUND(IFERROR($H482*VLOOKUP($G482,'설정 Settings'!$A$122:$F$130,4,0)+VLOOKUP($G482,'설정 Settings'!$A$122:$F$130,5,0),0),2))</f>
      </c>
      <c r="Q482" s="42">
        <f>IF(AND($I482="OPEN",$B482&lt;&gt;""),IF('설정 Settings'!$C$15-$B482&gt;='설정 Settings'!$C$62,"후속 연락 필요",""),"")</f>
      </c>
    </row>
    <row r="483" spans="15:17" x14ac:dyDescent="0.25">
      <c r="O483" s="40">
        <f>IF(AND($L483="Y",$J483&lt;&gt;""),$J483+'설정 Settings'!$C$18,"")</f>
      </c>
      <c r="P483" s="41">
        <f>IF($H483="","",$H483-ROUND(IFERROR($H483*VLOOKUP($G483,'설정 Settings'!$A$122:$F$130,4,0)+VLOOKUP($G483,'설정 Settings'!$A$122:$F$130,5,0),0),2))</f>
      </c>
      <c r="Q483" s="42">
        <f>IF(AND($I483="OPEN",$B483&lt;&gt;""),IF('설정 Settings'!$C$15-$B483&gt;='설정 Settings'!$C$62,"후속 연락 필요",""),"")</f>
      </c>
    </row>
    <row r="484" spans="15:17" x14ac:dyDescent="0.25">
      <c r="O484" s="40">
        <f>IF(AND($L484="Y",$J484&lt;&gt;""),$J484+'설정 Settings'!$C$18,"")</f>
      </c>
      <c r="P484" s="41">
        <f>IF($H484="","",$H484-ROUND(IFERROR($H484*VLOOKUP($G484,'설정 Settings'!$A$122:$F$130,4,0)+VLOOKUP($G484,'설정 Settings'!$A$122:$F$130,5,0),0),2))</f>
      </c>
      <c r="Q484" s="42">
        <f>IF(AND($I484="OPEN",$B484&lt;&gt;""),IF('설정 Settings'!$C$15-$B484&gt;='설정 Settings'!$C$62,"후속 연락 필요",""),"")</f>
      </c>
    </row>
    <row r="485" spans="15:17" x14ac:dyDescent="0.25">
      <c r="O485" s="40">
        <f>IF(AND($L485="Y",$J485&lt;&gt;""),$J485+'설정 Settings'!$C$18,"")</f>
      </c>
      <c r="P485" s="41">
        <f>IF($H485="","",$H485-ROUND(IFERROR($H485*VLOOKUP($G485,'설정 Settings'!$A$122:$F$130,4,0)+VLOOKUP($G485,'설정 Settings'!$A$122:$F$130,5,0),0),2))</f>
      </c>
      <c r="Q485" s="42">
        <f>IF(AND($I485="OPEN",$B485&lt;&gt;""),IF('설정 Settings'!$C$15-$B485&gt;='설정 Settings'!$C$62,"후속 연락 필요",""),"")</f>
      </c>
    </row>
    <row r="486" spans="15:17" x14ac:dyDescent="0.25">
      <c r="O486" s="40">
        <f>IF(AND($L486="Y",$J486&lt;&gt;""),$J486+'설정 Settings'!$C$18,"")</f>
      </c>
      <c r="P486" s="41">
        <f>IF($H486="","",$H486-ROUND(IFERROR($H486*VLOOKUP($G486,'설정 Settings'!$A$122:$F$130,4,0)+VLOOKUP($G486,'설정 Settings'!$A$122:$F$130,5,0),0),2))</f>
      </c>
      <c r="Q486" s="42">
        <f>IF(AND($I486="OPEN",$B486&lt;&gt;""),IF('설정 Settings'!$C$15-$B486&gt;='설정 Settings'!$C$62,"후속 연락 필요",""),"")</f>
      </c>
    </row>
    <row r="487" spans="15:17" x14ac:dyDescent="0.25">
      <c r="O487" s="40">
        <f>IF(AND($L487="Y",$J487&lt;&gt;""),$J487+'설정 Settings'!$C$18,"")</f>
      </c>
      <c r="P487" s="41">
        <f>IF($H487="","",$H487-ROUND(IFERROR($H487*VLOOKUP($G487,'설정 Settings'!$A$122:$F$130,4,0)+VLOOKUP($G487,'설정 Settings'!$A$122:$F$130,5,0),0),2))</f>
      </c>
      <c r="Q487" s="42">
        <f>IF(AND($I487="OPEN",$B487&lt;&gt;""),IF('설정 Settings'!$C$15-$B487&gt;='설정 Settings'!$C$62,"후속 연락 필요",""),"")</f>
      </c>
    </row>
    <row r="488" spans="15:17" x14ac:dyDescent="0.25">
      <c r="O488" s="40">
        <f>IF(AND($L488="Y",$J488&lt;&gt;""),$J488+'설정 Settings'!$C$18,"")</f>
      </c>
      <c r="P488" s="41">
        <f>IF($H488="","",$H488-ROUND(IFERROR($H488*VLOOKUP($G488,'설정 Settings'!$A$122:$F$130,4,0)+VLOOKUP($G488,'설정 Settings'!$A$122:$F$130,5,0),0),2))</f>
      </c>
      <c r="Q488" s="42">
        <f>IF(AND($I488="OPEN",$B488&lt;&gt;""),IF('설정 Settings'!$C$15-$B488&gt;='설정 Settings'!$C$62,"후속 연락 필요",""),"")</f>
      </c>
    </row>
    <row r="489" spans="15:17" x14ac:dyDescent="0.25">
      <c r="O489" s="40">
        <f>IF(AND($L489="Y",$J489&lt;&gt;""),$J489+'설정 Settings'!$C$18,"")</f>
      </c>
      <c r="P489" s="41">
        <f>IF($H489="","",$H489-ROUND(IFERROR($H489*VLOOKUP($G489,'설정 Settings'!$A$122:$F$130,4,0)+VLOOKUP($G489,'설정 Settings'!$A$122:$F$130,5,0),0),2))</f>
      </c>
      <c r="Q489" s="42">
        <f>IF(AND($I489="OPEN",$B489&lt;&gt;""),IF('설정 Settings'!$C$15-$B489&gt;='설정 Settings'!$C$62,"후속 연락 필요",""),"")</f>
      </c>
    </row>
    <row r="490" spans="15:17" x14ac:dyDescent="0.25">
      <c r="O490" s="40">
        <f>IF(AND($L490="Y",$J490&lt;&gt;""),$J490+'설정 Settings'!$C$18,"")</f>
      </c>
      <c r="P490" s="41">
        <f>IF($H490="","",$H490-ROUND(IFERROR($H490*VLOOKUP($G490,'설정 Settings'!$A$122:$F$130,4,0)+VLOOKUP($G490,'설정 Settings'!$A$122:$F$130,5,0),0),2))</f>
      </c>
      <c r="Q490" s="42">
        <f>IF(AND($I490="OPEN",$B490&lt;&gt;""),IF('설정 Settings'!$C$15-$B490&gt;='설정 Settings'!$C$62,"후속 연락 필요",""),"")</f>
      </c>
    </row>
    <row r="491" spans="15:17" x14ac:dyDescent="0.25">
      <c r="O491" s="40">
        <f>IF(AND($L491="Y",$J491&lt;&gt;""),$J491+'설정 Settings'!$C$18,"")</f>
      </c>
      <c r="P491" s="41">
        <f>IF($H491="","",$H491-ROUND(IFERROR($H491*VLOOKUP($G491,'설정 Settings'!$A$122:$F$130,4,0)+VLOOKUP($G491,'설정 Settings'!$A$122:$F$130,5,0),0),2))</f>
      </c>
      <c r="Q491" s="42">
        <f>IF(AND($I491="OPEN",$B491&lt;&gt;""),IF('설정 Settings'!$C$15-$B491&gt;='설정 Settings'!$C$62,"후속 연락 필요",""),"")</f>
      </c>
    </row>
    <row r="492" spans="15:17" x14ac:dyDescent="0.25">
      <c r="O492" s="40">
        <f>IF(AND($L492="Y",$J492&lt;&gt;""),$J492+'설정 Settings'!$C$18,"")</f>
      </c>
      <c r="P492" s="41">
        <f>IF($H492="","",$H492-ROUND(IFERROR($H492*VLOOKUP($G492,'설정 Settings'!$A$122:$F$130,4,0)+VLOOKUP($G492,'설정 Settings'!$A$122:$F$130,5,0),0),2))</f>
      </c>
      <c r="Q492" s="42">
        <f>IF(AND($I492="OPEN",$B492&lt;&gt;""),IF('설정 Settings'!$C$15-$B492&gt;='설정 Settings'!$C$62,"후속 연락 필요",""),"")</f>
      </c>
    </row>
    <row r="493" spans="15:17" x14ac:dyDescent="0.25">
      <c r="O493" s="40">
        <f>IF(AND($L493="Y",$J493&lt;&gt;""),$J493+'설정 Settings'!$C$18,"")</f>
      </c>
      <c r="P493" s="41">
        <f>IF($H493="","",$H493-ROUND(IFERROR($H493*VLOOKUP($G493,'설정 Settings'!$A$122:$F$130,4,0)+VLOOKUP($G493,'설정 Settings'!$A$122:$F$130,5,0),0),2))</f>
      </c>
      <c r="Q493" s="42">
        <f>IF(AND($I493="OPEN",$B493&lt;&gt;""),IF('설정 Settings'!$C$15-$B493&gt;='설정 Settings'!$C$62,"후속 연락 필요",""),"")</f>
      </c>
    </row>
    <row r="494" spans="15:17" x14ac:dyDescent="0.25">
      <c r="O494" s="40">
        <f>IF(AND($L494="Y",$J494&lt;&gt;""),$J494+'설정 Settings'!$C$18,"")</f>
      </c>
      <c r="P494" s="41">
        <f>IF($H494="","",$H494-ROUND(IFERROR($H494*VLOOKUP($G494,'설정 Settings'!$A$122:$F$130,4,0)+VLOOKUP($G494,'설정 Settings'!$A$122:$F$130,5,0),0),2))</f>
      </c>
      <c r="Q494" s="42">
        <f>IF(AND($I494="OPEN",$B494&lt;&gt;""),IF('설정 Settings'!$C$15-$B494&gt;='설정 Settings'!$C$62,"후속 연락 필요",""),"")</f>
      </c>
    </row>
    <row r="495" spans="15:17" x14ac:dyDescent="0.25">
      <c r="O495" s="40">
        <f>IF(AND($L495="Y",$J495&lt;&gt;""),$J495+'설정 Settings'!$C$18,"")</f>
      </c>
      <c r="P495" s="41">
        <f>IF($H495="","",$H495-ROUND(IFERROR($H495*VLOOKUP($G495,'설정 Settings'!$A$122:$F$130,4,0)+VLOOKUP($G495,'설정 Settings'!$A$122:$F$130,5,0),0),2))</f>
      </c>
      <c r="Q495" s="42">
        <f>IF(AND($I495="OPEN",$B495&lt;&gt;""),IF('설정 Settings'!$C$15-$B495&gt;='설정 Settings'!$C$62,"후속 연락 필요",""),"")</f>
      </c>
    </row>
    <row r="496" spans="15:17" x14ac:dyDescent="0.25">
      <c r="O496" s="40">
        <f>IF(AND($L496="Y",$J496&lt;&gt;""),$J496+'설정 Settings'!$C$18,"")</f>
      </c>
      <c r="P496" s="41">
        <f>IF($H496="","",$H496-ROUND(IFERROR($H496*VLOOKUP($G496,'설정 Settings'!$A$122:$F$130,4,0)+VLOOKUP($G496,'설정 Settings'!$A$122:$F$130,5,0),0),2))</f>
      </c>
      <c r="Q496" s="42">
        <f>IF(AND($I496="OPEN",$B496&lt;&gt;""),IF('설정 Settings'!$C$15-$B496&gt;='설정 Settings'!$C$62,"후속 연락 필요",""),"")</f>
      </c>
    </row>
    <row r="497" spans="15:17" x14ac:dyDescent="0.25">
      <c r="O497" s="40">
        <f>IF(AND($L497="Y",$J497&lt;&gt;""),$J497+'설정 Settings'!$C$18,"")</f>
      </c>
      <c r="P497" s="41">
        <f>IF($H497="","",$H497-ROUND(IFERROR($H497*VLOOKUP($G497,'설정 Settings'!$A$122:$F$130,4,0)+VLOOKUP($G497,'설정 Settings'!$A$122:$F$130,5,0),0),2))</f>
      </c>
      <c r="Q497" s="42">
        <f>IF(AND($I497="OPEN",$B497&lt;&gt;""),IF('설정 Settings'!$C$15-$B497&gt;='설정 Settings'!$C$62,"후속 연락 필요",""),"")</f>
      </c>
    </row>
    <row r="498" spans="15:17" x14ac:dyDescent="0.25">
      <c r="O498" s="40">
        <f>IF(AND($L498="Y",$J498&lt;&gt;""),$J498+'설정 Settings'!$C$18,"")</f>
      </c>
      <c r="P498" s="41">
        <f>IF($H498="","",$H498-ROUND(IFERROR($H498*VLOOKUP($G498,'설정 Settings'!$A$122:$F$130,4,0)+VLOOKUP($G498,'설정 Settings'!$A$122:$F$130,5,0),0),2))</f>
      </c>
      <c r="Q498" s="42">
        <f>IF(AND($I498="OPEN",$B498&lt;&gt;""),IF('설정 Settings'!$C$15-$B498&gt;='설정 Settings'!$C$62,"후속 연락 필요",""),"")</f>
      </c>
    </row>
    <row r="499" spans="15:17" x14ac:dyDescent="0.25">
      <c r="O499" s="40">
        <f>IF(AND($L499="Y",$J499&lt;&gt;""),$J499+'설정 Settings'!$C$18,"")</f>
      </c>
      <c r="P499" s="41">
        <f>IF($H499="","",$H499-ROUND(IFERROR($H499*VLOOKUP($G499,'설정 Settings'!$A$122:$F$130,4,0)+VLOOKUP($G499,'설정 Settings'!$A$122:$F$130,5,0),0),2))</f>
      </c>
      <c r="Q499" s="42">
        <f>IF(AND($I499="OPEN",$B499&lt;&gt;""),IF('설정 Settings'!$C$15-$B499&gt;='설정 Settings'!$C$62,"후속 연락 필요",""),"")</f>
      </c>
    </row>
    <row r="500" spans="15:17" x14ac:dyDescent="0.25">
      <c r="O500" s="40">
        <f>IF(AND($L500="Y",$J500&lt;&gt;""),$J500+'설정 Settings'!$C$18,"")</f>
      </c>
      <c r="P500" s="41">
        <f>IF($H500="","",$H500-ROUND(IFERROR($H500*VLOOKUP($G500,'설정 Settings'!$A$122:$F$130,4,0)+VLOOKUP($G500,'설정 Settings'!$A$122:$F$130,5,0),0),2))</f>
      </c>
      <c r="Q500" s="42">
        <f>IF(AND($I500="OPEN",$B500&lt;&gt;""),IF('설정 Settings'!$C$15-$B500&gt;='설정 Settings'!$C$62,"후속 연락 필요",""),"")</f>
      </c>
    </row>
    <row r="501" spans="15:17" x14ac:dyDescent="0.25">
      <c r="O501" s="40">
        <f>IF(AND($L501="Y",$J501&lt;&gt;""),$J501+'설정 Settings'!$C$18,"")</f>
      </c>
      <c r="P501" s="41">
        <f>IF($H501="","",$H501-ROUND(IFERROR($H501*VLOOKUP($G501,'설정 Settings'!$A$122:$F$130,4,0)+VLOOKUP($G501,'설정 Settings'!$A$122:$F$130,5,0),0),2))</f>
      </c>
      <c r="Q501" s="42">
        <f>IF(AND($I501="OPEN",$B501&lt;&gt;""),IF('설정 Settings'!$C$15-$B501&gt;='설정 Settings'!$C$62,"후속 연락 필요",""),"")</f>
      </c>
    </row>
    <row r="502" spans="15:17" x14ac:dyDescent="0.25">
      <c r="O502" s="40">
        <f>IF(AND($L502="Y",$J502&lt;&gt;""),$J502+'설정 Settings'!$C$18,"")</f>
      </c>
      <c r="P502" s="41">
        <f>IF($H502="","",$H502-ROUND(IFERROR($H502*VLOOKUP($G502,'설정 Settings'!$A$122:$F$130,4,0)+VLOOKUP($G502,'설정 Settings'!$A$122:$F$130,5,0),0),2))</f>
      </c>
      <c r="Q502" s="42">
        <f>IF(AND($I502="OPEN",$B502&lt;&gt;""),IF('설정 Settings'!$C$15-$B502&gt;='설정 Settings'!$C$62,"후속 연락 필요",""),"")</f>
      </c>
    </row>
    <row r="503" spans="15:17" x14ac:dyDescent="0.25">
      <c r="O503" s="40">
        <f>IF(AND($L503="Y",$J503&lt;&gt;""),$J503+'설정 Settings'!$C$18,"")</f>
      </c>
      <c r="P503" s="41">
        <f>IF($H503="","",$H503-ROUND(IFERROR($H503*VLOOKUP($G503,'설정 Settings'!$A$122:$F$130,4,0)+VLOOKUP($G503,'설정 Settings'!$A$122:$F$130,5,0),0),2))</f>
      </c>
      <c r="Q503" s="42">
        <f>IF(AND($I503="OPEN",$B503&lt;&gt;""),IF('설정 Settings'!$C$15-$B503&gt;='설정 Settings'!$C$62,"후속 연락 필요",""),"")</f>
      </c>
    </row>
    <row r="504" spans="15:17" x14ac:dyDescent="0.25">
      <c r="O504" s="40">
        <f>IF(AND($L504="Y",$J504&lt;&gt;""),$J504+'설정 Settings'!$C$18,"")</f>
      </c>
      <c r="P504" s="41">
        <f>IF($H504="","",$H504-ROUND(IFERROR($H504*VLOOKUP($G504,'설정 Settings'!$A$122:$F$130,4,0)+VLOOKUP($G504,'설정 Settings'!$A$122:$F$130,5,0),0),2))</f>
      </c>
      <c r="Q504" s="42">
        <f>IF(AND($I504="OPEN",$B504&lt;&gt;""),IF('설정 Settings'!$C$15-$B504&gt;='설정 Settings'!$C$62,"후속 연락 필요",""),"")</f>
      </c>
    </row>
    <row r="505" spans="15:17" x14ac:dyDescent="0.25">
      <c r="O505" s="40">
        <f>IF(AND($L505="Y",$J505&lt;&gt;""),$J505+'설정 Settings'!$C$18,"")</f>
      </c>
      <c r="P505" s="41">
        <f>IF($H505="","",$H505-ROUND(IFERROR($H505*VLOOKUP($G505,'설정 Settings'!$A$122:$F$130,4,0)+VLOOKUP($G505,'설정 Settings'!$A$122:$F$130,5,0),0),2))</f>
      </c>
      <c r="Q505" s="42">
        <f>IF(AND($I505="OPEN",$B505&lt;&gt;""),IF('설정 Settings'!$C$15-$B505&gt;='설정 Settings'!$C$62,"후속 연락 필요",""),"")</f>
      </c>
    </row>
    <row r="506" spans="15:17" x14ac:dyDescent="0.25">
      <c r="O506" s="40">
        <f>IF(AND($L506="Y",$J506&lt;&gt;""),$J506+'설정 Settings'!$C$18,"")</f>
      </c>
      <c r="P506" s="41">
        <f>IF($H506="","",$H506-ROUND(IFERROR($H506*VLOOKUP($G506,'설정 Settings'!$A$122:$F$130,4,0)+VLOOKUP($G506,'설정 Settings'!$A$122:$F$130,5,0),0),2))</f>
      </c>
      <c r="Q506" s="42">
        <f>IF(AND($I506="OPEN",$B506&lt;&gt;""),IF('설정 Settings'!$C$15-$B506&gt;='설정 Settings'!$C$62,"후속 연락 필요",""),"")</f>
      </c>
    </row>
    <row r="507" spans="15:17" x14ac:dyDescent="0.25">
      <c r="O507" s="40">
        <f>IF(AND($L507="Y",$J507&lt;&gt;""),$J507+'설정 Settings'!$C$18,"")</f>
      </c>
      <c r="P507" s="41">
        <f>IF($H507="","",$H507-ROUND(IFERROR($H507*VLOOKUP($G507,'설정 Settings'!$A$122:$F$130,4,0)+VLOOKUP($G507,'설정 Settings'!$A$122:$F$130,5,0),0),2))</f>
      </c>
      <c r="Q507" s="42">
        <f>IF(AND($I507="OPEN",$B507&lt;&gt;""),IF('설정 Settings'!$C$15-$B507&gt;='설정 Settings'!$C$62,"후속 연락 필요",""),"")</f>
      </c>
    </row>
    <row r="508" spans="15:17" x14ac:dyDescent="0.25">
      <c r="O508" s="40">
        <f>IF(AND($L508="Y",$J508&lt;&gt;""),$J508+'설정 Settings'!$C$18,"")</f>
      </c>
      <c r="P508" s="41">
        <f>IF($H508="","",$H508-ROUND(IFERROR($H508*VLOOKUP($G508,'설정 Settings'!$A$122:$F$130,4,0)+VLOOKUP($G508,'설정 Settings'!$A$122:$F$130,5,0),0),2))</f>
      </c>
      <c r="Q508" s="42">
        <f>IF(AND($I508="OPEN",$B508&lt;&gt;""),IF('설정 Settings'!$C$15-$B508&gt;='설정 Settings'!$C$62,"후속 연락 필요",""),"")</f>
      </c>
    </row>
    <row r="509" spans="15:17" x14ac:dyDescent="0.25">
      <c r="O509" s="40">
        <f>IF(AND($L509="Y",$J509&lt;&gt;""),$J509+'설정 Settings'!$C$18,"")</f>
      </c>
      <c r="P509" s="41">
        <f>IF($H509="","",$H509-ROUND(IFERROR($H509*VLOOKUP($G509,'설정 Settings'!$A$122:$F$130,4,0)+VLOOKUP($G509,'설정 Settings'!$A$122:$F$130,5,0),0),2))</f>
      </c>
      <c r="Q509" s="42">
        <f>IF(AND($I509="OPEN",$B509&lt;&gt;""),IF('설정 Settings'!$C$15-$B509&gt;='설정 Settings'!$C$62,"후속 연락 필요",""),"")</f>
      </c>
    </row>
    <row r="510" spans="15:17" x14ac:dyDescent="0.25">
      <c r="O510" s="40">
        <f>IF(AND($L510="Y",$J510&lt;&gt;""),$J510+'설정 Settings'!$C$18,"")</f>
      </c>
      <c r="P510" s="41">
        <f>IF($H510="","",$H510-ROUND(IFERROR($H510*VLOOKUP($G510,'설정 Settings'!$A$122:$F$130,4,0)+VLOOKUP($G510,'설정 Settings'!$A$122:$F$130,5,0),0),2))</f>
      </c>
      <c r="Q510" s="42">
        <f>IF(AND($I510="OPEN",$B510&lt;&gt;""),IF('설정 Settings'!$C$15-$B510&gt;='설정 Settings'!$C$62,"후속 연락 필요",""),"")</f>
      </c>
    </row>
    <row r="511" spans="15:17" x14ac:dyDescent="0.25">
      <c r="O511" s="40">
        <f>IF(AND($L511="Y",$J511&lt;&gt;""),$J511+'설정 Settings'!$C$18,"")</f>
      </c>
      <c r="P511" s="41">
        <f>IF($H511="","",$H511-ROUND(IFERROR($H511*VLOOKUP($G511,'설정 Settings'!$A$122:$F$130,4,0)+VLOOKUP($G511,'설정 Settings'!$A$122:$F$130,5,0),0),2))</f>
      </c>
      <c r="Q511" s="42">
        <f>IF(AND($I511="OPEN",$B511&lt;&gt;""),IF('설정 Settings'!$C$15-$B511&gt;='설정 Settings'!$C$62,"후속 연락 필요",""),"")</f>
      </c>
    </row>
    <row r="512" spans="15:17" x14ac:dyDescent="0.25">
      <c r="O512" s="40">
        <f>IF(AND($L512="Y",$J512&lt;&gt;""),$J512+'설정 Settings'!$C$18,"")</f>
      </c>
      <c r="P512" s="41">
        <f>IF($H512="","",$H512-ROUND(IFERROR($H512*VLOOKUP($G512,'설정 Settings'!$A$122:$F$130,4,0)+VLOOKUP($G512,'설정 Settings'!$A$122:$F$130,5,0),0),2))</f>
      </c>
      <c r="Q512" s="42">
        <f>IF(AND($I512="OPEN",$B512&lt;&gt;""),IF('설정 Settings'!$C$15-$B512&gt;='설정 Settings'!$C$62,"후속 연락 필요",""),"")</f>
      </c>
    </row>
    <row r="513" spans="15:17" x14ac:dyDescent="0.25">
      <c r="O513" s="40">
        <f>IF(AND($L513="Y",$J513&lt;&gt;""),$J513+'설정 Settings'!$C$18,"")</f>
      </c>
      <c r="P513" s="41">
        <f>IF($H513="","",$H513-ROUND(IFERROR($H513*VLOOKUP($G513,'설정 Settings'!$A$122:$F$130,4,0)+VLOOKUP($G513,'설정 Settings'!$A$122:$F$130,5,0),0),2))</f>
      </c>
      <c r="Q513" s="42">
        <f>IF(AND($I513="OPEN",$B513&lt;&gt;""),IF('설정 Settings'!$C$15-$B513&gt;='설정 Settings'!$C$62,"후속 연락 필요",""),"")</f>
      </c>
    </row>
    <row r="514" spans="15:17" x14ac:dyDescent="0.25">
      <c r="O514" s="40">
        <f>IF(AND($L514="Y",$J514&lt;&gt;""),$J514+'설정 Settings'!$C$18,"")</f>
      </c>
      <c r="P514" s="41">
        <f>IF($H514="","",$H514-ROUND(IFERROR($H514*VLOOKUP($G514,'설정 Settings'!$A$122:$F$130,4,0)+VLOOKUP($G514,'설정 Settings'!$A$122:$F$130,5,0),0),2))</f>
      </c>
      <c r="Q514" s="42">
        <f>IF(AND($I514="OPEN",$B514&lt;&gt;""),IF('설정 Settings'!$C$15-$B514&gt;='설정 Settings'!$C$62,"후속 연락 필요",""),"")</f>
      </c>
    </row>
    <row r="515" spans="15:17" x14ac:dyDescent="0.25">
      <c r="O515" s="40">
        <f>IF(AND($L515="Y",$J515&lt;&gt;""),$J515+'설정 Settings'!$C$18,"")</f>
      </c>
      <c r="P515" s="41">
        <f>IF($H515="","",$H515-ROUND(IFERROR($H515*VLOOKUP($G515,'설정 Settings'!$A$122:$F$130,4,0)+VLOOKUP($G515,'설정 Settings'!$A$122:$F$130,5,0),0),2))</f>
      </c>
      <c r="Q515" s="42">
        <f>IF(AND($I515="OPEN",$B515&lt;&gt;""),IF('설정 Settings'!$C$15-$B515&gt;='설정 Settings'!$C$62,"후속 연락 필요",""),"")</f>
      </c>
    </row>
    <row r="516" spans="15:17" x14ac:dyDescent="0.25">
      <c r="O516" s="40">
        <f>IF(AND($L516="Y",$J516&lt;&gt;""),$J516+'설정 Settings'!$C$18,"")</f>
      </c>
      <c r="P516" s="41">
        <f>IF($H516="","",$H516-ROUND(IFERROR($H516*VLOOKUP($G516,'설정 Settings'!$A$122:$F$130,4,0)+VLOOKUP($G516,'설정 Settings'!$A$122:$F$130,5,0),0),2))</f>
      </c>
      <c r="Q516" s="42">
        <f>IF(AND($I516="OPEN",$B516&lt;&gt;""),IF('설정 Settings'!$C$15-$B516&gt;='설정 Settings'!$C$62,"후속 연락 필요",""),"")</f>
      </c>
    </row>
    <row r="517" spans="15:17" x14ac:dyDescent="0.25">
      <c r="O517" s="40">
        <f>IF(AND($L517="Y",$J517&lt;&gt;""),$J517+'설정 Settings'!$C$18,"")</f>
      </c>
      <c r="P517" s="41">
        <f>IF($H517="","",$H517-ROUND(IFERROR($H517*VLOOKUP($G517,'설정 Settings'!$A$122:$F$130,4,0)+VLOOKUP($G517,'설정 Settings'!$A$122:$F$130,5,0),0),2))</f>
      </c>
      <c r="Q517" s="42">
        <f>IF(AND($I517="OPEN",$B517&lt;&gt;""),IF('설정 Settings'!$C$15-$B517&gt;='설정 Settings'!$C$62,"후속 연락 필요",""),"")</f>
      </c>
    </row>
    <row r="518" spans="15:17" x14ac:dyDescent="0.25">
      <c r="O518" s="40">
        <f>IF(AND($L518="Y",$J518&lt;&gt;""),$J518+'설정 Settings'!$C$18,"")</f>
      </c>
      <c r="P518" s="41">
        <f>IF($H518="","",$H518-ROUND(IFERROR($H518*VLOOKUP($G518,'설정 Settings'!$A$122:$F$130,4,0)+VLOOKUP($G518,'설정 Settings'!$A$122:$F$130,5,0),0),2))</f>
      </c>
      <c r="Q518" s="42">
        <f>IF(AND($I518="OPEN",$B518&lt;&gt;""),IF('설정 Settings'!$C$15-$B518&gt;='설정 Settings'!$C$62,"후속 연락 필요",""),"")</f>
      </c>
    </row>
    <row r="519" spans="15:17" x14ac:dyDescent="0.25">
      <c r="O519" s="40">
        <f>IF(AND($L519="Y",$J519&lt;&gt;""),$J519+'설정 Settings'!$C$18,"")</f>
      </c>
      <c r="P519" s="41">
        <f>IF($H519="","",$H519-ROUND(IFERROR($H519*VLOOKUP($G519,'설정 Settings'!$A$122:$F$130,4,0)+VLOOKUP($G519,'설정 Settings'!$A$122:$F$130,5,0),0),2))</f>
      </c>
      <c r="Q519" s="42">
        <f>IF(AND($I519="OPEN",$B519&lt;&gt;""),IF('설정 Settings'!$C$15-$B519&gt;='설정 Settings'!$C$62,"후속 연락 필요",""),"")</f>
      </c>
    </row>
    <row r="520" spans="15:17" x14ac:dyDescent="0.25">
      <c r="O520" s="40">
        <f>IF(AND($L520="Y",$J520&lt;&gt;""),$J520+'설정 Settings'!$C$18,"")</f>
      </c>
      <c r="P520" s="41">
        <f>IF($H520="","",$H520-ROUND(IFERROR($H520*VLOOKUP($G520,'설정 Settings'!$A$122:$F$130,4,0)+VLOOKUP($G520,'설정 Settings'!$A$122:$F$130,5,0),0),2))</f>
      </c>
      <c r="Q520" s="42">
        <f>IF(AND($I520="OPEN",$B520&lt;&gt;""),IF('설정 Settings'!$C$15-$B520&gt;='설정 Settings'!$C$62,"후속 연락 필요",""),"")</f>
      </c>
    </row>
    <row r="521" spans="15:17" x14ac:dyDescent="0.25">
      <c r="O521" s="40">
        <f>IF(AND($L521="Y",$J521&lt;&gt;""),$J521+'설정 Settings'!$C$18,"")</f>
      </c>
      <c r="P521" s="41">
        <f>IF($H521="","",$H521-ROUND(IFERROR($H521*VLOOKUP($G521,'설정 Settings'!$A$122:$F$130,4,0)+VLOOKUP($G521,'설정 Settings'!$A$122:$F$130,5,0),0),2))</f>
      </c>
      <c r="Q521" s="42">
        <f>IF(AND($I521="OPEN",$B521&lt;&gt;""),IF('설정 Settings'!$C$15-$B521&gt;='설정 Settings'!$C$62,"후속 연락 필요",""),"")</f>
      </c>
    </row>
    <row r="522" spans="15:17" x14ac:dyDescent="0.25">
      <c r="O522" s="40">
        <f>IF(AND($L522="Y",$J522&lt;&gt;""),$J522+'설정 Settings'!$C$18,"")</f>
      </c>
      <c r="P522" s="41">
        <f>IF($H522="","",$H522-ROUND(IFERROR($H522*VLOOKUP($G522,'설정 Settings'!$A$122:$F$130,4,0)+VLOOKUP($G522,'설정 Settings'!$A$122:$F$130,5,0),0),2))</f>
      </c>
      <c r="Q522" s="42">
        <f>IF(AND($I522="OPEN",$B522&lt;&gt;""),IF('설정 Settings'!$C$15-$B522&gt;='설정 Settings'!$C$62,"후속 연락 필요",""),"")</f>
      </c>
    </row>
    <row r="523" spans="15:17" x14ac:dyDescent="0.25">
      <c r="O523" s="40">
        <f>IF(AND($L523="Y",$J523&lt;&gt;""),$J523+'설정 Settings'!$C$18,"")</f>
      </c>
      <c r="P523" s="41">
        <f>IF($H523="","",$H523-ROUND(IFERROR($H523*VLOOKUP($G523,'설정 Settings'!$A$122:$F$130,4,0)+VLOOKUP($G523,'설정 Settings'!$A$122:$F$130,5,0),0),2))</f>
      </c>
      <c r="Q523" s="42">
        <f>IF(AND($I523="OPEN",$B523&lt;&gt;""),IF('설정 Settings'!$C$15-$B523&gt;='설정 Settings'!$C$62,"후속 연락 필요",""),"")</f>
      </c>
    </row>
    <row r="524" spans="15:17" x14ac:dyDescent="0.25">
      <c r="O524" s="40">
        <f>IF(AND($L524="Y",$J524&lt;&gt;""),$J524+'설정 Settings'!$C$18,"")</f>
      </c>
      <c r="P524" s="41">
        <f>IF($H524="","",$H524-ROUND(IFERROR($H524*VLOOKUP($G524,'설정 Settings'!$A$122:$F$130,4,0)+VLOOKUP($G524,'설정 Settings'!$A$122:$F$130,5,0),0),2))</f>
      </c>
      <c r="Q524" s="42">
        <f>IF(AND($I524="OPEN",$B524&lt;&gt;""),IF('설정 Settings'!$C$15-$B524&gt;='설정 Settings'!$C$62,"후속 연락 필요",""),"")</f>
      </c>
    </row>
    <row r="525" spans="15:17" x14ac:dyDescent="0.25">
      <c r="O525" s="40">
        <f>IF(AND($L525="Y",$J525&lt;&gt;""),$J525+'설정 Settings'!$C$18,"")</f>
      </c>
      <c r="P525" s="41">
        <f>IF($H525="","",$H525-ROUND(IFERROR($H525*VLOOKUP($G525,'설정 Settings'!$A$122:$F$130,4,0)+VLOOKUP($G525,'설정 Settings'!$A$122:$F$130,5,0),0),2))</f>
      </c>
      <c r="Q525" s="42">
        <f>IF(AND($I525="OPEN",$B525&lt;&gt;""),IF('설정 Settings'!$C$15-$B525&gt;='설정 Settings'!$C$62,"후속 연락 필요",""),"")</f>
      </c>
    </row>
    <row r="526" spans="15:17" x14ac:dyDescent="0.25">
      <c r="O526" s="40">
        <f>IF(AND($L526="Y",$J526&lt;&gt;""),$J526+'설정 Settings'!$C$18,"")</f>
      </c>
      <c r="P526" s="41">
        <f>IF($H526="","",$H526-ROUND(IFERROR($H526*VLOOKUP($G526,'설정 Settings'!$A$122:$F$130,4,0)+VLOOKUP($G526,'설정 Settings'!$A$122:$F$130,5,0),0),2))</f>
      </c>
      <c r="Q526" s="42">
        <f>IF(AND($I526="OPEN",$B526&lt;&gt;""),IF('설정 Settings'!$C$15-$B526&gt;='설정 Settings'!$C$62,"후속 연락 필요",""),"")</f>
      </c>
    </row>
    <row r="527" spans="15:17" x14ac:dyDescent="0.25">
      <c r="O527" s="40">
        <f>IF(AND($L527="Y",$J527&lt;&gt;""),$J527+'설정 Settings'!$C$18,"")</f>
      </c>
      <c r="P527" s="41">
        <f>IF($H527="","",$H527-ROUND(IFERROR($H527*VLOOKUP($G527,'설정 Settings'!$A$122:$F$130,4,0)+VLOOKUP($G527,'설정 Settings'!$A$122:$F$130,5,0),0),2))</f>
      </c>
      <c r="Q527" s="42">
        <f>IF(AND($I527="OPEN",$B527&lt;&gt;""),IF('설정 Settings'!$C$15-$B527&gt;='설정 Settings'!$C$62,"후속 연락 필요",""),"")</f>
      </c>
    </row>
    <row r="528" spans="15:17" x14ac:dyDescent="0.25">
      <c r="O528" s="40">
        <f>IF(AND($L528="Y",$J528&lt;&gt;""),$J528+'설정 Settings'!$C$18,"")</f>
      </c>
      <c r="P528" s="41">
        <f>IF($H528="","",$H528-ROUND(IFERROR($H528*VLOOKUP($G528,'설정 Settings'!$A$122:$F$130,4,0)+VLOOKUP($G528,'설정 Settings'!$A$122:$F$130,5,0),0),2))</f>
      </c>
      <c r="Q528" s="42">
        <f>IF(AND($I528="OPEN",$B528&lt;&gt;""),IF('설정 Settings'!$C$15-$B528&gt;='설정 Settings'!$C$62,"후속 연락 필요",""),"")</f>
      </c>
    </row>
    <row r="529" spans="15:17" x14ac:dyDescent="0.25">
      <c r="O529" s="40">
        <f>IF(AND($L529="Y",$J529&lt;&gt;""),$J529+'설정 Settings'!$C$18,"")</f>
      </c>
      <c r="P529" s="41">
        <f>IF($H529="","",$H529-ROUND(IFERROR($H529*VLOOKUP($G529,'설정 Settings'!$A$122:$F$130,4,0)+VLOOKUP($G529,'설정 Settings'!$A$122:$F$130,5,0),0),2))</f>
      </c>
      <c r="Q529" s="42">
        <f>IF(AND($I529="OPEN",$B529&lt;&gt;""),IF('설정 Settings'!$C$15-$B529&gt;='설정 Settings'!$C$62,"후속 연락 필요",""),"")</f>
      </c>
    </row>
    <row r="530" spans="15:17" x14ac:dyDescent="0.25">
      <c r="O530" s="40">
        <f>IF(AND($L530="Y",$J530&lt;&gt;""),$J530+'설정 Settings'!$C$18,"")</f>
      </c>
      <c r="P530" s="41">
        <f>IF($H530="","",$H530-ROUND(IFERROR($H530*VLOOKUP($G530,'설정 Settings'!$A$122:$F$130,4,0)+VLOOKUP($G530,'설정 Settings'!$A$122:$F$130,5,0),0),2))</f>
      </c>
      <c r="Q530" s="42">
        <f>IF(AND($I530="OPEN",$B530&lt;&gt;""),IF('설정 Settings'!$C$15-$B530&gt;='설정 Settings'!$C$62,"후속 연락 필요",""),"")</f>
      </c>
    </row>
    <row r="531" spans="15:17" x14ac:dyDescent="0.25">
      <c r="O531" s="40">
        <f>IF(AND($L531="Y",$J531&lt;&gt;""),$J531+'설정 Settings'!$C$18,"")</f>
      </c>
      <c r="P531" s="41">
        <f>IF($H531="","",$H531-ROUND(IFERROR($H531*VLOOKUP($G531,'설정 Settings'!$A$122:$F$130,4,0)+VLOOKUP($G531,'설정 Settings'!$A$122:$F$130,5,0),0),2))</f>
      </c>
      <c r="Q531" s="42">
        <f>IF(AND($I531="OPEN",$B531&lt;&gt;""),IF('설정 Settings'!$C$15-$B531&gt;='설정 Settings'!$C$62,"후속 연락 필요",""),"")</f>
      </c>
    </row>
    <row r="532" spans="15:17" x14ac:dyDescent="0.25">
      <c r="O532" s="40">
        <f>IF(AND($L532="Y",$J532&lt;&gt;""),$J532+'설정 Settings'!$C$18,"")</f>
      </c>
      <c r="P532" s="41">
        <f>IF($H532="","",$H532-ROUND(IFERROR($H532*VLOOKUP($G532,'설정 Settings'!$A$122:$F$130,4,0)+VLOOKUP($G532,'설정 Settings'!$A$122:$F$130,5,0),0),2))</f>
      </c>
      <c r="Q532" s="42">
        <f>IF(AND($I532="OPEN",$B532&lt;&gt;""),IF('설정 Settings'!$C$15-$B532&gt;='설정 Settings'!$C$62,"후속 연락 필요",""),"")</f>
      </c>
    </row>
    <row r="533" spans="15:17" x14ac:dyDescent="0.25">
      <c r="O533" s="40">
        <f>IF(AND($L533="Y",$J533&lt;&gt;""),$J533+'설정 Settings'!$C$18,"")</f>
      </c>
      <c r="P533" s="41">
        <f>IF($H533="","",$H533-ROUND(IFERROR($H533*VLOOKUP($G533,'설정 Settings'!$A$122:$F$130,4,0)+VLOOKUP($G533,'설정 Settings'!$A$122:$F$130,5,0),0),2))</f>
      </c>
      <c r="Q533" s="42">
        <f>IF(AND($I533="OPEN",$B533&lt;&gt;""),IF('설정 Settings'!$C$15-$B533&gt;='설정 Settings'!$C$62,"후속 연락 필요",""),"")</f>
      </c>
    </row>
    <row r="534" spans="15:17" x14ac:dyDescent="0.25">
      <c r="O534" s="40">
        <f>IF(AND($L534="Y",$J534&lt;&gt;""),$J534+'설정 Settings'!$C$18,"")</f>
      </c>
      <c r="P534" s="41">
        <f>IF($H534="","",$H534-ROUND(IFERROR($H534*VLOOKUP($G534,'설정 Settings'!$A$122:$F$130,4,0)+VLOOKUP($G534,'설정 Settings'!$A$122:$F$130,5,0),0),2))</f>
      </c>
      <c r="Q534" s="42">
        <f>IF(AND($I534="OPEN",$B534&lt;&gt;""),IF('설정 Settings'!$C$15-$B534&gt;='설정 Settings'!$C$62,"후속 연락 필요",""),"")</f>
      </c>
    </row>
    <row r="535" spans="15:17" x14ac:dyDescent="0.25">
      <c r="O535" s="40">
        <f>IF(AND($L535="Y",$J535&lt;&gt;""),$J535+'설정 Settings'!$C$18,"")</f>
      </c>
      <c r="P535" s="41">
        <f>IF($H535="","",$H535-ROUND(IFERROR($H535*VLOOKUP($G535,'설정 Settings'!$A$122:$F$130,4,0)+VLOOKUP($G535,'설정 Settings'!$A$122:$F$130,5,0),0),2))</f>
      </c>
      <c r="Q535" s="42">
        <f>IF(AND($I535="OPEN",$B535&lt;&gt;""),IF('설정 Settings'!$C$15-$B535&gt;='설정 Settings'!$C$62,"후속 연락 필요",""),"")</f>
      </c>
    </row>
    <row r="536" spans="15:17" x14ac:dyDescent="0.25">
      <c r="O536" s="40">
        <f>IF(AND($L536="Y",$J536&lt;&gt;""),$J536+'설정 Settings'!$C$18,"")</f>
      </c>
      <c r="P536" s="41">
        <f>IF($H536="","",$H536-ROUND(IFERROR($H536*VLOOKUP($G536,'설정 Settings'!$A$122:$F$130,4,0)+VLOOKUP($G536,'설정 Settings'!$A$122:$F$130,5,0),0),2))</f>
      </c>
      <c r="Q536" s="42">
        <f>IF(AND($I536="OPEN",$B536&lt;&gt;""),IF('설정 Settings'!$C$15-$B536&gt;='설정 Settings'!$C$62,"후속 연락 필요",""),"")</f>
      </c>
    </row>
    <row r="537" spans="15:17" x14ac:dyDescent="0.25">
      <c r="O537" s="40">
        <f>IF(AND($L537="Y",$J537&lt;&gt;""),$J537+'설정 Settings'!$C$18,"")</f>
      </c>
      <c r="P537" s="41">
        <f>IF($H537="","",$H537-ROUND(IFERROR($H537*VLOOKUP($G537,'설정 Settings'!$A$122:$F$130,4,0)+VLOOKUP($G537,'설정 Settings'!$A$122:$F$130,5,0),0),2))</f>
      </c>
      <c r="Q537" s="42">
        <f>IF(AND($I537="OPEN",$B537&lt;&gt;""),IF('설정 Settings'!$C$15-$B537&gt;='설정 Settings'!$C$62,"후속 연락 필요",""),"")</f>
      </c>
    </row>
    <row r="538" spans="15:17" x14ac:dyDescent="0.25">
      <c r="O538" s="40">
        <f>IF(AND($L538="Y",$J538&lt;&gt;""),$J538+'설정 Settings'!$C$18,"")</f>
      </c>
      <c r="P538" s="41">
        <f>IF($H538="","",$H538-ROUND(IFERROR($H538*VLOOKUP($G538,'설정 Settings'!$A$122:$F$130,4,0)+VLOOKUP($G538,'설정 Settings'!$A$122:$F$130,5,0),0),2))</f>
      </c>
      <c r="Q538" s="42">
        <f>IF(AND($I538="OPEN",$B538&lt;&gt;""),IF('설정 Settings'!$C$15-$B538&gt;='설정 Settings'!$C$62,"후속 연락 필요",""),"")</f>
      </c>
    </row>
    <row r="539" spans="15:17" x14ac:dyDescent="0.25">
      <c r="O539" s="40">
        <f>IF(AND($L539="Y",$J539&lt;&gt;""),$J539+'설정 Settings'!$C$18,"")</f>
      </c>
      <c r="P539" s="41">
        <f>IF($H539="","",$H539-ROUND(IFERROR($H539*VLOOKUP($G539,'설정 Settings'!$A$122:$F$130,4,0)+VLOOKUP($G539,'설정 Settings'!$A$122:$F$130,5,0),0),2))</f>
      </c>
      <c r="Q539" s="42">
        <f>IF(AND($I539="OPEN",$B539&lt;&gt;""),IF('설정 Settings'!$C$15-$B539&gt;='설정 Settings'!$C$62,"후속 연락 필요",""),"")</f>
      </c>
    </row>
    <row r="540" spans="15:17" x14ac:dyDescent="0.25">
      <c r="O540" s="40">
        <f>IF(AND($L540="Y",$J540&lt;&gt;""),$J540+'설정 Settings'!$C$18,"")</f>
      </c>
      <c r="P540" s="41">
        <f>IF($H540="","",$H540-ROUND(IFERROR($H540*VLOOKUP($G540,'설정 Settings'!$A$122:$F$130,4,0)+VLOOKUP($G540,'설정 Settings'!$A$122:$F$130,5,0),0),2))</f>
      </c>
      <c r="Q540" s="42">
        <f>IF(AND($I540="OPEN",$B540&lt;&gt;""),IF('설정 Settings'!$C$15-$B540&gt;='설정 Settings'!$C$62,"후속 연락 필요",""),"")</f>
      </c>
    </row>
    <row r="541" spans="15:17" x14ac:dyDescent="0.25">
      <c r="O541" s="40">
        <f>IF(AND($L541="Y",$J541&lt;&gt;""),$J541+'설정 Settings'!$C$18,"")</f>
      </c>
      <c r="P541" s="41">
        <f>IF($H541="","",$H541-ROUND(IFERROR($H541*VLOOKUP($G541,'설정 Settings'!$A$122:$F$130,4,0)+VLOOKUP($G541,'설정 Settings'!$A$122:$F$130,5,0),0),2))</f>
      </c>
      <c r="Q541" s="42">
        <f>IF(AND($I541="OPEN",$B541&lt;&gt;""),IF('설정 Settings'!$C$15-$B541&gt;='설정 Settings'!$C$62,"후속 연락 필요",""),"")</f>
      </c>
    </row>
    <row r="542" spans="15:17" x14ac:dyDescent="0.25">
      <c r="O542" s="40">
        <f>IF(AND($L542="Y",$J542&lt;&gt;""),$J542+'설정 Settings'!$C$18,"")</f>
      </c>
      <c r="P542" s="41">
        <f>IF($H542="","",$H542-ROUND(IFERROR($H542*VLOOKUP($G542,'설정 Settings'!$A$122:$F$130,4,0)+VLOOKUP($G542,'설정 Settings'!$A$122:$F$130,5,0),0),2))</f>
      </c>
      <c r="Q542" s="42">
        <f>IF(AND($I542="OPEN",$B542&lt;&gt;""),IF('설정 Settings'!$C$15-$B542&gt;='설정 Settings'!$C$62,"후속 연락 필요",""),"")</f>
      </c>
    </row>
    <row r="543" spans="15:17" x14ac:dyDescent="0.25">
      <c r="O543" s="40">
        <f>IF(AND($L543="Y",$J543&lt;&gt;""),$J543+'설정 Settings'!$C$18,"")</f>
      </c>
      <c r="P543" s="41">
        <f>IF($H543="","",$H543-ROUND(IFERROR($H543*VLOOKUP($G543,'설정 Settings'!$A$122:$F$130,4,0)+VLOOKUP($G543,'설정 Settings'!$A$122:$F$130,5,0),0),2))</f>
      </c>
      <c r="Q543" s="42">
        <f>IF(AND($I543="OPEN",$B543&lt;&gt;""),IF('설정 Settings'!$C$15-$B543&gt;='설정 Settings'!$C$62,"후속 연락 필요",""),"")</f>
      </c>
    </row>
    <row r="544" spans="15:17" x14ac:dyDescent="0.25">
      <c r="O544" s="40">
        <f>IF(AND($L544="Y",$J544&lt;&gt;""),$J544+'설정 Settings'!$C$18,"")</f>
      </c>
      <c r="P544" s="41">
        <f>IF($H544="","",$H544-ROUND(IFERROR($H544*VLOOKUP($G544,'설정 Settings'!$A$122:$F$130,4,0)+VLOOKUP($G544,'설정 Settings'!$A$122:$F$130,5,0),0),2))</f>
      </c>
      <c r="Q544" s="42">
        <f>IF(AND($I544="OPEN",$B544&lt;&gt;""),IF('설정 Settings'!$C$15-$B544&gt;='설정 Settings'!$C$62,"후속 연락 필요",""),"")</f>
      </c>
    </row>
    <row r="545" spans="15:17" x14ac:dyDescent="0.25">
      <c r="O545" s="40">
        <f>IF(AND($L545="Y",$J545&lt;&gt;""),$J545+'설정 Settings'!$C$18,"")</f>
      </c>
      <c r="P545" s="41">
        <f>IF($H545="","",$H545-ROUND(IFERROR($H545*VLOOKUP($G545,'설정 Settings'!$A$122:$F$130,4,0)+VLOOKUP($G545,'설정 Settings'!$A$122:$F$130,5,0),0),2))</f>
      </c>
      <c r="Q545" s="42">
        <f>IF(AND($I545="OPEN",$B545&lt;&gt;""),IF('설정 Settings'!$C$15-$B545&gt;='설정 Settings'!$C$62,"후속 연락 필요",""),"")</f>
      </c>
    </row>
    <row r="546" spans="15:17" x14ac:dyDescent="0.25">
      <c r="O546" s="40">
        <f>IF(AND($L546="Y",$J546&lt;&gt;""),$J546+'설정 Settings'!$C$18,"")</f>
      </c>
      <c r="P546" s="41">
        <f>IF($H546="","",$H546-ROUND(IFERROR($H546*VLOOKUP($G546,'설정 Settings'!$A$122:$F$130,4,0)+VLOOKUP($G546,'설정 Settings'!$A$122:$F$130,5,0),0),2))</f>
      </c>
      <c r="Q546" s="42">
        <f>IF(AND($I546="OPEN",$B546&lt;&gt;""),IF('설정 Settings'!$C$15-$B546&gt;='설정 Settings'!$C$62,"후속 연락 필요",""),"")</f>
      </c>
    </row>
    <row r="547" spans="15:17" x14ac:dyDescent="0.25">
      <c r="O547" s="40">
        <f>IF(AND($L547="Y",$J547&lt;&gt;""),$J547+'설정 Settings'!$C$18,"")</f>
      </c>
      <c r="P547" s="41">
        <f>IF($H547="","",$H547-ROUND(IFERROR($H547*VLOOKUP($G547,'설정 Settings'!$A$122:$F$130,4,0)+VLOOKUP($G547,'설정 Settings'!$A$122:$F$130,5,0),0),2))</f>
      </c>
      <c r="Q547" s="42">
        <f>IF(AND($I547="OPEN",$B547&lt;&gt;""),IF('설정 Settings'!$C$15-$B547&gt;='설정 Settings'!$C$62,"후속 연락 필요",""),"")</f>
      </c>
    </row>
    <row r="548" spans="15:17" x14ac:dyDescent="0.25">
      <c r="O548" s="40">
        <f>IF(AND($L548="Y",$J548&lt;&gt;""),$J548+'설정 Settings'!$C$18,"")</f>
      </c>
      <c r="P548" s="41">
        <f>IF($H548="","",$H548-ROUND(IFERROR($H548*VLOOKUP($G548,'설정 Settings'!$A$122:$F$130,4,0)+VLOOKUP($G548,'설정 Settings'!$A$122:$F$130,5,0),0),2))</f>
      </c>
      <c r="Q548" s="42">
        <f>IF(AND($I548="OPEN",$B548&lt;&gt;""),IF('설정 Settings'!$C$15-$B548&gt;='설정 Settings'!$C$62,"후속 연락 필요",""),"")</f>
      </c>
    </row>
    <row r="549" spans="15:17" x14ac:dyDescent="0.25">
      <c r="O549" s="40">
        <f>IF(AND($L549="Y",$J549&lt;&gt;""),$J549+'설정 Settings'!$C$18,"")</f>
      </c>
      <c r="P549" s="41">
        <f>IF($H549="","",$H549-ROUND(IFERROR($H549*VLOOKUP($G549,'설정 Settings'!$A$122:$F$130,4,0)+VLOOKUP($G549,'설정 Settings'!$A$122:$F$130,5,0),0),2))</f>
      </c>
      <c r="Q549" s="42">
        <f>IF(AND($I549="OPEN",$B549&lt;&gt;""),IF('설정 Settings'!$C$15-$B549&gt;='설정 Settings'!$C$62,"후속 연락 필요",""),"")</f>
      </c>
    </row>
    <row r="550" spans="15:17" x14ac:dyDescent="0.25">
      <c r="O550" s="40">
        <f>IF(AND($L550="Y",$J550&lt;&gt;""),$J550+'설정 Settings'!$C$18,"")</f>
      </c>
      <c r="P550" s="41">
        <f>IF($H550="","",$H550-ROUND(IFERROR($H550*VLOOKUP($G550,'설정 Settings'!$A$122:$F$130,4,0)+VLOOKUP($G550,'설정 Settings'!$A$122:$F$130,5,0),0),2))</f>
      </c>
      <c r="Q550" s="42">
        <f>IF(AND($I550="OPEN",$B550&lt;&gt;""),IF('설정 Settings'!$C$15-$B550&gt;='설정 Settings'!$C$62,"후속 연락 필요",""),"")</f>
      </c>
    </row>
    <row r="551" spans="15:17" x14ac:dyDescent="0.25">
      <c r="O551" s="40">
        <f>IF(AND($L551="Y",$J551&lt;&gt;""),$J551+'설정 Settings'!$C$18,"")</f>
      </c>
      <c r="P551" s="41">
        <f>IF($H551="","",$H551-ROUND(IFERROR($H551*VLOOKUP($G551,'설정 Settings'!$A$122:$F$130,4,0)+VLOOKUP($G551,'설정 Settings'!$A$122:$F$130,5,0),0),2))</f>
      </c>
      <c r="Q551" s="42">
        <f>IF(AND($I551="OPEN",$B551&lt;&gt;""),IF('설정 Settings'!$C$15-$B551&gt;='설정 Settings'!$C$62,"후속 연락 필요",""),"")</f>
      </c>
    </row>
    <row r="552" spans="15:17" x14ac:dyDescent="0.25">
      <c r="O552" s="40">
        <f>IF(AND($L552="Y",$J552&lt;&gt;""),$J552+'설정 Settings'!$C$18,"")</f>
      </c>
      <c r="P552" s="41">
        <f>IF($H552="","",$H552-ROUND(IFERROR($H552*VLOOKUP($G552,'설정 Settings'!$A$122:$F$130,4,0)+VLOOKUP($G552,'설정 Settings'!$A$122:$F$130,5,0),0),2))</f>
      </c>
      <c r="Q552" s="42">
        <f>IF(AND($I552="OPEN",$B552&lt;&gt;""),IF('설정 Settings'!$C$15-$B552&gt;='설정 Settings'!$C$62,"후속 연락 필요",""),"")</f>
      </c>
    </row>
    <row r="553" spans="15:17" x14ac:dyDescent="0.25">
      <c r="O553" s="40">
        <f>IF(AND($L553="Y",$J553&lt;&gt;""),$J553+'설정 Settings'!$C$18,"")</f>
      </c>
      <c r="P553" s="41">
        <f>IF($H553="","",$H553-ROUND(IFERROR($H553*VLOOKUP($G553,'설정 Settings'!$A$122:$F$130,4,0)+VLOOKUP($G553,'설정 Settings'!$A$122:$F$130,5,0),0),2))</f>
      </c>
      <c r="Q553" s="42">
        <f>IF(AND($I553="OPEN",$B553&lt;&gt;""),IF('설정 Settings'!$C$15-$B553&gt;='설정 Settings'!$C$62,"후속 연락 필요",""),"")</f>
      </c>
    </row>
    <row r="554" spans="15:17" x14ac:dyDescent="0.25">
      <c r="O554" s="40">
        <f>IF(AND($L554="Y",$J554&lt;&gt;""),$J554+'설정 Settings'!$C$18,"")</f>
      </c>
      <c r="P554" s="41">
        <f>IF($H554="","",$H554-ROUND(IFERROR($H554*VLOOKUP($G554,'설정 Settings'!$A$122:$F$130,4,0)+VLOOKUP($G554,'설정 Settings'!$A$122:$F$130,5,0),0),2))</f>
      </c>
      <c r="Q554" s="42">
        <f>IF(AND($I554="OPEN",$B554&lt;&gt;""),IF('설정 Settings'!$C$15-$B554&gt;='설정 Settings'!$C$62,"후속 연락 필요",""),"")</f>
      </c>
    </row>
    <row r="555" spans="15:17" x14ac:dyDescent="0.25">
      <c r="O555" s="40">
        <f>IF(AND($L555="Y",$J555&lt;&gt;""),$J555+'설정 Settings'!$C$18,"")</f>
      </c>
      <c r="P555" s="41">
        <f>IF($H555="","",$H555-ROUND(IFERROR($H555*VLOOKUP($G555,'설정 Settings'!$A$122:$F$130,4,0)+VLOOKUP($G555,'설정 Settings'!$A$122:$F$130,5,0),0),2))</f>
      </c>
      <c r="Q555" s="42">
        <f>IF(AND($I555="OPEN",$B555&lt;&gt;""),IF('설정 Settings'!$C$15-$B555&gt;='설정 Settings'!$C$62,"후속 연락 필요",""),"")</f>
      </c>
    </row>
    <row r="556" spans="15:17" x14ac:dyDescent="0.25">
      <c r="O556" s="40">
        <f>IF(AND($L556="Y",$J556&lt;&gt;""),$J556+'설정 Settings'!$C$18,"")</f>
      </c>
      <c r="P556" s="41">
        <f>IF($H556="","",$H556-ROUND(IFERROR($H556*VLOOKUP($G556,'설정 Settings'!$A$122:$F$130,4,0)+VLOOKUP($G556,'설정 Settings'!$A$122:$F$130,5,0),0),2))</f>
      </c>
      <c r="Q556" s="42">
        <f>IF(AND($I556="OPEN",$B556&lt;&gt;""),IF('설정 Settings'!$C$15-$B556&gt;='설정 Settings'!$C$62,"후속 연락 필요",""),"")</f>
      </c>
    </row>
    <row r="557" spans="15:17" x14ac:dyDescent="0.25">
      <c r="O557" s="40">
        <f>IF(AND($L557="Y",$J557&lt;&gt;""),$J557+'설정 Settings'!$C$18,"")</f>
      </c>
      <c r="P557" s="41">
        <f>IF($H557="","",$H557-ROUND(IFERROR($H557*VLOOKUP($G557,'설정 Settings'!$A$122:$F$130,4,0)+VLOOKUP($G557,'설정 Settings'!$A$122:$F$130,5,0),0),2))</f>
      </c>
      <c r="Q557" s="42">
        <f>IF(AND($I557="OPEN",$B557&lt;&gt;""),IF('설정 Settings'!$C$15-$B557&gt;='설정 Settings'!$C$62,"후속 연락 필요",""),"")</f>
      </c>
    </row>
    <row r="558" spans="15:17" x14ac:dyDescent="0.25">
      <c r="O558" s="40">
        <f>IF(AND($L558="Y",$J558&lt;&gt;""),$J558+'설정 Settings'!$C$18,"")</f>
      </c>
      <c r="P558" s="41">
        <f>IF($H558="","",$H558-ROUND(IFERROR($H558*VLOOKUP($G558,'설정 Settings'!$A$122:$F$130,4,0)+VLOOKUP($G558,'설정 Settings'!$A$122:$F$130,5,0),0),2))</f>
      </c>
      <c r="Q558" s="42">
        <f>IF(AND($I558="OPEN",$B558&lt;&gt;""),IF('설정 Settings'!$C$15-$B558&gt;='설정 Settings'!$C$62,"후속 연락 필요",""),"")</f>
      </c>
    </row>
    <row r="559" spans="15:17" x14ac:dyDescent="0.25">
      <c r="O559" s="40">
        <f>IF(AND($L559="Y",$J559&lt;&gt;""),$J559+'설정 Settings'!$C$18,"")</f>
      </c>
      <c r="P559" s="41">
        <f>IF($H559="","",$H559-ROUND(IFERROR($H559*VLOOKUP($G559,'설정 Settings'!$A$122:$F$130,4,0)+VLOOKUP($G559,'설정 Settings'!$A$122:$F$130,5,0),0),2))</f>
      </c>
      <c r="Q559" s="42">
        <f>IF(AND($I559="OPEN",$B559&lt;&gt;""),IF('설정 Settings'!$C$15-$B559&gt;='설정 Settings'!$C$62,"후속 연락 필요",""),"")</f>
      </c>
    </row>
    <row r="560" spans="15:17" x14ac:dyDescent="0.25">
      <c r="O560" s="40">
        <f>IF(AND($L560="Y",$J560&lt;&gt;""),$J560+'설정 Settings'!$C$18,"")</f>
      </c>
      <c r="P560" s="41">
        <f>IF($H560="","",$H560-ROUND(IFERROR($H560*VLOOKUP($G560,'설정 Settings'!$A$122:$F$130,4,0)+VLOOKUP($G560,'설정 Settings'!$A$122:$F$130,5,0),0),2))</f>
      </c>
      <c r="Q560" s="42">
        <f>IF(AND($I560="OPEN",$B560&lt;&gt;""),IF('설정 Settings'!$C$15-$B560&gt;='설정 Settings'!$C$62,"후속 연락 필요",""),"")</f>
      </c>
    </row>
    <row r="561" spans="15:17" x14ac:dyDescent="0.25">
      <c r="O561" s="40">
        <f>IF(AND($L561="Y",$J561&lt;&gt;""),$J561+'설정 Settings'!$C$18,"")</f>
      </c>
      <c r="P561" s="41">
        <f>IF($H561="","",$H561-ROUND(IFERROR($H561*VLOOKUP($G561,'설정 Settings'!$A$122:$F$130,4,0)+VLOOKUP($G561,'설정 Settings'!$A$122:$F$130,5,0),0),2))</f>
      </c>
      <c r="Q561" s="42">
        <f>IF(AND($I561="OPEN",$B561&lt;&gt;""),IF('설정 Settings'!$C$15-$B561&gt;='설정 Settings'!$C$62,"후속 연락 필요",""),"")</f>
      </c>
    </row>
    <row r="562" spans="15:17" x14ac:dyDescent="0.25">
      <c r="O562" s="40">
        <f>IF(AND($L562="Y",$J562&lt;&gt;""),$J562+'설정 Settings'!$C$18,"")</f>
      </c>
      <c r="P562" s="41">
        <f>IF($H562="","",$H562-ROUND(IFERROR($H562*VLOOKUP($G562,'설정 Settings'!$A$122:$F$130,4,0)+VLOOKUP($G562,'설정 Settings'!$A$122:$F$130,5,0),0),2))</f>
      </c>
      <c r="Q562" s="42">
        <f>IF(AND($I562="OPEN",$B562&lt;&gt;""),IF('설정 Settings'!$C$15-$B562&gt;='설정 Settings'!$C$62,"후속 연락 필요",""),"")</f>
      </c>
    </row>
    <row r="563" spans="15:17" x14ac:dyDescent="0.25">
      <c r="O563" s="40">
        <f>IF(AND($L563="Y",$J563&lt;&gt;""),$J563+'설정 Settings'!$C$18,"")</f>
      </c>
      <c r="P563" s="41">
        <f>IF($H563="","",$H563-ROUND(IFERROR($H563*VLOOKUP($G563,'설정 Settings'!$A$122:$F$130,4,0)+VLOOKUP($G563,'설정 Settings'!$A$122:$F$130,5,0),0),2))</f>
      </c>
      <c r="Q563" s="42">
        <f>IF(AND($I563="OPEN",$B563&lt;&gt;""),IF('설정 Settings'!$C$15-$B563&gt;='설정 Settings'!$C$62,"후속 연락 필요",""),"")</f>
      </c>
    </row>
    <row r="564" spans="15:17" x14ac:dyDescent="0.25">
      <c r="O564" s="40">
        <f>IF(AND($L564="Y",$J564&lt;&gt;""),$J564+'설정 Settings'!$C$18,"")</f>
      </c>
      <c r="P564" s="41">
        <f>IF($H564="","",$H564-ROUND(IFERROR($H564*VLOOKUP($G564,'설정 Settings'!$A$122:$F$130,4,0)+VLOOKUP($G564,'설정 Settings'!$A$122:$F$130,5,0),0),2))</f>
      </c>
      <c r="Q564" s="42">
        <f>IF(AND($I564="OPEN",$B564&lt;&gt;""),IF('설정 Settings'!$C$15-$B564&gt;='설정 Settings'!$C$62,"후속 연락 필요",""),"")</f>
      </c>
    </row>
    <row r="565" spans="15:17" x14ac:dyDescent="0.25">
      <c r="O565" s="40">
        <f>IF(AND($L565="Y",$J565&lt;&gt;""),$J565+'설정 Settings'!$C$18,"")</f>
      </c>
      <c r="P565" s="41">
        <f>IF($H565="","",$H565-ROUND(IFERROR($H565*VLOOKUP($G565,'설정 Settings'!$A$122:$F$130,4,0)+VLOOKUP($G565,'설정 Settings'!$A$122:$F$130,5,0),0),2))</f>
      </c>
      <c r="Q565" s="42">
        <f>IF(AND($I565="OPEN",$B565&lt;&gt;""),IF('설정 Settings'!$C$15-$B565&gt;='설정 Settings'!$C$62,"후속 연락 필요",""),"")</f>
      </c>
    </row>
    <row r="566" spans="15:17" x14ac:dyDescent="0.25">
      <c r="O566" s="40">
        <f>IF(AND($L566="Y",$J566&lt;&gt;""),$J566+'설정 Settings'!$C$18,"")</f>
      </c>
      <c r="P566" s="41">
        <f>IF($H566="","",$H566-ROUND(IFERROR($H566*VLOOKUP($G566,'설정 Settings'!$A$122:$F$130,4,0)+VLOOKUP($G566,'설정 Settings'!$A$122:$F$130,5,0),0),2))</f>
      </c>
      <c r="Q566" s="42">
        <f>IF(AND($I566="OPEN",$B566&lt;&gt;""),IF('설정 Settings'!$C$15-$B566&gt;='설정 Settings'!$C$62,"후속 연락 필요",""),"")</f>
      </c>
    </row>
    <row r="567" spans="15:17" x14ac:dyDescent="0.25">
      <c r="O567" s="40">
        <f>IF(AND($L567="Y",$J567&lt;&gt;""),$J567+'설정 Settings'!$C$18,"")</f>
      </c>
      <c r="P567" s="41">
        <f>IF($H567="","",$H567-ROUND(IFERROR($H567*VLOOKUP($G567,'설정 Settings'!$A$122:$F$130,4,0)+VLOOKUP($G567,'설정 Settings'!$A$122:$F$130,5,0),0),2))</f>
      </c>
      <c r="Q567" s="42">
        <f>IF(AND($I567="OPEN",$B567&lt;&gt;""),IF('설정 Settings'!$C$15-$B567&gt;='설정 Settings'!$C$62,"후속 연락 필요",""),"")</f>
      </c>
    </row>
    <row r="568" spans="15:17" x14ac:dyDescent="0.25">
      <c r="O568" s="40">
        <f>IF(AND($L568="Y",$J568&lt;&gt;""),$J568+'설정 Settings'!$C$18,"")</f>
      </c>
      <c r="P568" s="41">
        <f>IF($H568="","",$H568-ROUND(IFERROR($H568*VLOOKUP($G568,'설정 Settings'!$A$122:$F$130,4,0)+VLOOKUP($G568,'설정 Settings'!$A$122:$F$130,5,0),0),2))</f>
      </c>
      <c r="Q568" s="42">
        <f>IF(AND($I568="OPEN",$B568&lt;&gt;""),IF('설정 Settings'!$C$15-$B568&gt;='설정 Settings'!$C$62,"후속 연락 필요",""),"")</f>
      </c>
    </row>
    <row r="569" spans="15:17" x14ac:dyDescent="0.25">
      <c r="O569" s="40">
        <f>IF(AND($L569="Y",$J569&lt;&gt;""),$J569+'설정 Settings'!$C$18,"")</f>
      </c>
      <c r="P569" s="41">
        <f>IF($H569="","",$H569-ROUND(IFERROR($H569*VLOOKUP($G569,'설정 Settings'!$A$122:$F$130,4,0)+VLOOKUP($G569,'설정 Settings'!$A$122:$F$130,5,0),0),2))</f>
      </c>
      <c r="Q569" s="42">
        <f>IF(AND($I569="OPEN",$B569&lt;&gt;""),IF('설정 Settings'!$C$15-$B569&gt;='설정 Settings'!$C$62,"후속 연락 필요",""),"")</f>
      </c>
    </row>
    <row r="570" spans="15:17" x14ac:dyDescent="0.25">
      <c r="O570" s="40">
        <f>IF(AND($L570="Y",$J570&lt;&gt;""),$J570+'설정 Settings'!$C$18,"")</f>
      </c>
      <c r="P570" s="41">
        <f>IF($H570="","",$H570-ROUND(IFERROR($H570*VLOOKUP($G570,'설정 Settings'!$A$122:$F$130,4,0)+VLOOKUP($G570,'설정 Settings'!$A$122:$F$130,5,0),0),2))</f>
      </c>
      <c r="Q570" s="42">
        <f>IF(AND($I570="OPEN",$B570&lt;&gt;""),IF('설정 Settings'!$C$15-$B570&gt;='설정 Settings'!$C$62,"후속 연락 필요",""),"")</f>
      </c>
    </row>
    <row r="571" spans="15:17" x14ac:dyDescent="0.25">
      <c r="O571" s="40">
        <f>IF(AND($L571="Y",$J571&lt;&gt;""),$J571+'설정 Settings'!$C$18,"")</f>
      </c>
      <c r="P571" s="41">
        <f>IF($H571="","",$H571-ROUND(IFERROR($H571*VLOOKUP($G571,'설정 Settings'!$A$122:$F$130,4,0)+VLOOKUP($G571,'설정 Settings'!$A$122:$F$130,5,0),0),2))</f>
      </c>
      <c r="Q571" s="42">
        <f>IF(AND($I571="OPEN",$B571&lt;&gt;""),IF('설정 Settings'!$C$15-$B571&gt;='설정 Settings'!$C$62,"후속 연락 필요",""),"")</f>
      </c>
    </row>
    <row r="572" spans="15:17" x14ac:dyDescent="0.25">
      <c r="O572" s="40">
        <f>IF(AND($L572="Y",$J572&lt;&gt;""),$J572+'설정 Settings'!$C$18,"")</f>
      </c>
      <c r="P572" s="41">
        <f>IF($H572="","",$H572-ROUND(IFERROR($H572*VLOOKUP($G572,'설정 Settings'!$A$122:$F$130,4,0)+VLOOKUP($G572,'설정 Settings'!$A$122:$F$130,5,0),0),2))</f>
      </c>
      <c r="Q572" s="42">
        <f>IF(AND($I572="OPEN",$B572&lt;&gt;""),IF('설정 Settings'!$C$15-$B572&gt;='설정 Settings'!$C$62,"후속 연락 필요",""),"")</f>
      </c>
    </row>
    <row r="573" spans="15:17" x14ac:dyDescent="0.25">
      <c r="O573" s="40">
        <f>IF(AND($L573="Y",$J573&lt;&gt;""),$J573+'설정 Settings'!$C$18,"")</f>
      </c>
      <c r="P573" s="41">
        <f>IF($H573="","",$H573-ROUND(IFERROR($H573*VLOOKUP($G573,'설정 Settings'!$A$122:$F$130,4,0)+VLOOKUP($G573,'설정 Settings'!$A$122:$F$130,5,0),0),2))</f>
      </c>
      <c r="Q573" s="42">
        <f>IF(AND($I573="OPEN",$B573&lt;&gt;""),IF('설정 Settings'!$C$15-$B573&gt;='설정 Settings'!$C$62,"후속 연락 필요",""),"")</f>
      </c>
    </row>
    <row r="574" spans="15:17" x14ac:dyDescent="0.25">
      <c r="O574" s="40">
        <f>IF(AND($L574="Y",$J574&lt;&gt;""),$J574+'설정 Settings'!$C$18,"")</f>
      </c>
      <c r="P574" s="41">
        <f>IF($H574="","",$H574-ROUND(IFERROR($H574*VLOOKUP($G574,'설정 Settings'!$A$122:$F$130,4,0)+VLOOKUP($G574,'설정 Settings'!$A$122:$F$130,5,0),0),2))</f>
      </c>
      <c r="Q574" s="42">
        <f>IF(AND($I574="OPEN",$B574&lt;&gt;""),IF('설정 Settings'!$C$15-$B574&gt;='설정 Settings'!$C$62,"후속 연락 필요",""),"")</f>
      </c>
    </row>
    <row r="575" spans="15:17" x14ac:dyDescent="0.25">
      <c r="O575" s="40">
        <f>IF(AND($L575="Y",$J575&lt;&gt;""),$J575+'설정 Settings'!$C$18,"")</f>
      </c>
      <c r="P575" s="41">
        <f>IF($H575="","",$H575-ROUND(IFERROR($H575*VLOOKUP($G575,'설정 Settings'!$A$122:$F$130,4,0)+VLOOKUP($G575,'설정 Settings'!$A$122:$F$130,5,0),0),2))</f>
      </c>
      <c r="Q575" s="42">
        <f>IF(AND($I575="OPEN",$B575&lt;&gt;""),IF('설정 Settings'!$C$15-$B575&gt;='설정 Settings'!$C$62,"후속 연락 필요",""),"")</f>
      </c>
    </row>
    <row r="576" spans="15:17" x14ac:dyDescent="0.25">
      <c r="O576" s="40">
        <f>IF(AND($L576="Y",$J576&lt;&gt;""),$J576+'설정 Settings'!$C$18,"")</f>
      </c>
      <c r="P576" s="41">
        <f>IF($H576="","",$H576-ROUND(IFERROR($H576*VLOOKUP($G576,'설정 Settings'!$A$122:$F$130,4,0)+VLOOKUP($G576,'설정 Settings'!$A$122:$F$130,5,0),0),2))</f>
      </c>
      <c r="Q576" s="42">
        <f>IF(AND($I576="OPEN",$B576&lt;&gt;""),IF('설정 Settings'!$C$15-$B576&gt;='설정 Settings'!$C$62,"후속 연락 필요",""),"")</f>
      </c>
    </row>
    <row r="577" spans="15:17" x14ac:dyDescent="0.25">
      <c r="O577" s="40">
        <f>IF(AND($L577="Y",$J577&lt;&gt;""),$J577+'설정 Settings'!$C$18,"")</f>
      </c>
      <c r="P577" s="41">
        <f>IF($H577="","",$H577-ROUND(IFERROR($H577*VLOOKUP($G577,'설정 Settings'!$A$122:$F$130,4,0)+VLOOKUP($G577,'설정 Settings'!$A$122:$F$130,5,0),0),2))</f>
      </c>
      <c r="Q577" s="42">
        <f>IF(AND($I577="OPEN",$B577&lt;&gt;""),IF('설정 Settings'!$C$15-$B577&gt;='설정 Settings'!$C$62,"후속 연락 필요",""),"")</f>
      </c>
    </row>
    <row r="578" spans="15:17" x14ac:dyDescent="0.25">
      <c r="O578" s="40">
        <f>IF(AND($L578="Y",$J578&lt;&gt;""),$J578+'설정 Settings'!$C$18,"")</f>
      </c>
      <c r="P578" s="41">
        <f>IF($H578="","",$H578-ROUND(IFERROR($H578*VLOOKUP($G578,'설정 Settings'!$A$122:$F$130,4,0)+VLOOKUP($G578,'설정 Settings'!$A$122:$F$130,5,0),0),2))</f>
      </c>
      <c r="Q578" s="42">
        <f>IF(AND($I578="OPEN",$B578&lt;&gt;""),IF('설정 Settings'!$C$15-$B578&gt;='설정 Settings'!$C$62,"후속 연락 필요",""),"")</f>
      </c>
    </row>
    <row r="579" spans="15:17" x14ac:dyDescent="0.25">
      <c r="O579" s="40">
        <f>IF(AND($L579="Y",$J579&lt;&gt;""),$J579+'설정 Settings'!$C$18,"")</f>
      </c>
      <c r="P579" s="41">
        <f>IF($H579="","",$H579-ROUND(IFERROR($H579*VLOOKUP($G579,'설정 Settings'!$A$122:$F$130,4,0)+VLOOKUP($G579,'설정 Settings'!$A$122:$F$130,5,0),0),2))</f>
      </c>
      <c r="Q579" s="42">
        <f>IF(AND($I579="OPEN",$B579&lt;&gt;""),IF('설정 Settings'!$C$15-$B579&gt;='설정 Settings'!$C$62,"후속 연락 필요",""),"")</f>
      </c>
    </row>
    <row r="580" spans="15:17" x14ac:dyDescent="0.25">
      <c r="O580" s="40">
        <f>IF(AND($L580="Y",$J580&lt;&gt;""),$J580+'설정 Settings'!$C$18,"")</f>
      </c>
      <c r="P580" s="41">
        <f>IF($H580="","",$H580-ROUND(IFERROR($H580*VLOOKUP($G580,'설정 Settings'!$A$122:$F$130,4,0)+VLOOKUP($G580,'설정 Settings'!$A$122:$F$130,5,0),0),2))</f>
      </c>
      <c r="Q580" s="42">
        <f>IF(AND($I580="OPEN",$B580&lt;&gt;""),IF('설정 Settings'!$C$15-$B580&gt;='설정 Settings'!$C$62,"후속 연락 필요",""),"")</f>
      </c>
    </row>
    <row r="581" spans="15:17" x14ac:dyDescent="0.25">
      <c r="O581" s="40">
        <f>IF(AND($L581="Y",$J581&lt;&gt;""),$J581+'설정 Settings'!$C$18,"")</f>
      </c>
      <c r="P581" s="41">
        <f>IF($H581="","",$H581-ROUND(IFERROR($H581*VLOOKUP($G581,'설정 Settings'!$A$122:$F$130,4,0)+VLOOKUP($G581,'설정 Settings'!$A$122:$F$130,5,0),0),2))</f>
      </c>
      <c r="Q581" s="42">
        <f>IF(AND($I581="OPEN",$B581&lt;&gt;""),IF('설정 Settings'!$C$15-$B581&gt;='설정 Settings'!$C$62,"후속 연락 필요",""),"")</f>
      </c>
    </row>
    <row r="582" spans="15:17" x14ac:dyDescent="0.25">
      <c r="O582" s="40">
        <f>IF(AND($L582="Y",$J582&lt;&gt;""),$J582+'설정 Settings'!$C$18,"")</f>
      </c>
      <c r="P582" s="41">
        <f>IF($H582="","",$H582-ROUND(IFERROR($H582*VLOOKUP($G582,'설정 Settings'!$A$122:$F$130,4,0)+VLOOKUP($G582,'설정 Settings'!$A$122:$F$130,5,0),0),2))</f>
      </c>
      <c r="Q582" s="42">
        <f>IF(AND($I582="OPEN",$B582&lt;&gt;""),IF('설정 Settings'!$C$15-$B582&gt;='설정 Settings'!$C$62,"후속 연락 필요",""),"")</f>
      </c>
    </row>
    <row r="583" spans="15:17" x14ac:dyDescent="0.25">
      <c r="O583" s="40">
        <f>IF(AND($L583="Y",$J583&lt;&gt;""),$J583+'설정 Settings'!$C$18,"")</f>
      </c>
      <c r="P583" s="41">
        <f>IF($H583="","",$H583-ROUND(IFERROR($H583*VLOOKUP($G583,'설정 Settings'!$A$122:$F$130,4,0)+VLOOKUP($G583,'설정 Settings'!$A$122:$F$130,5,0),0),2))</f>
      </c>
      <c r="Q583" s="42">
        <f>IF(AND($I583="OPEN",$B583&lt;&gt;""),IF('설정 Settings'!$C$15-$B583&gt;='설정 Settings'!$C$62,"후속 연락 필요",""),"")</f>
      </c>
    </row>
    <row r="584" spans="15:17" x14ac:dyDescent="0.25">
      <c r="O584" s="40">
        <f>IF(AND($L584="Y",$J584&lt;&gt;""),$J584+'설정 Settings'!$C$18,"")</f>
      </c>
      <c r="P584" s="41">
        <f>IF($H584="","",$H584-ROUND(IFERROR($H584*VLOOKUP($G584,'설정 Settings'!$A$122:$F$130,4,0)+VLOOKUP($G584,'설정 Settings'!$A$122:$F$130,5,0),0),2))</f>
      </c>
      <c r="Q584" s="42">
        <f>IF(AND($I584="OPEN",$B584&lt;&gt;""),IF('설정 Settings'!$C$15-$B584&gt;='설정 Settings'!$C$62,"후속 연락 필요",""),"")</f>
      </c>
    </row>
    <row r="585" spans="15:17" x14ac:dyDescent="0.25">
      <c r="O585" s="40">
        <f>IF(AND($L585="Y",$J585&lt;&gt;""),$J585+'설정 Settings'!$C$18,"")</f>
      </c>
      <c r="P585" s="41">
        <f>IF($H585="","",$H585-ROUND(IFERROR($H585*VLOOKUP($G585,'설정 Settings'!$A$122:$F$130,4,0)+VLOOKUP($G585,'설정 Settings'!$A$122:$F$130,5,0),0),2))</f>
      </c>
      <c r="Q585" s="42">
        <f>IF(AND($I585="OPEN",$B585&lt;&gt;""),IF('설정 Settings'!$C$15-$B585&gt;='설정 Settings'!$C$62,"후속 연락 필요",""),"")</f>
      </c>
    </row>
    <row r="586" spans="15:17" x14ac:dyDescent="0.25">
      <c r="O586" s="40">
        <f>IF(AND($L586="Y",$J586&lt;&gt;""),$J586+'설정 Settings'!$C$18,"")</f>
      </c>
      <c r="P586" s="41">
        <f>IF($H586="","",$H586-ROUND(IFERROR($H586*VLOOKUP($G586,'설정 Settings'!$A$122:$F$130,4,0)+VLOOKUP($G586,'설정 Settings'!$A$122:$F$130,5,0),0),2))</f>
      </c>
      <c r="Q586" s="42">
        <f>IF(AND($I586="OPEN",$B586&lt;&gt;""),IF('설정 Settings'!$C$15-$B586&gt;='설정 Settings'!$C$62,"후속 연락 필요",""),"")</f>
      </c>
    </row>
    <row r="587" spans="15:17" x14ac:dyDescent="0.25">
      <c r="O587" s="40">
        <f>IF(AND($L587="Y",$J587&lt;&gt;""),$J587+'설정 Settings'!$C$18,"")</f>
      </c>
      <c r="P587" s="41">
        <f>IF($H587="","",$H587-ROUND(IFERROR($H587*VLOOKUP($G587,'설정 Settings'!$A$122:$F$130,4,0)+VLOOKUP($G587,'설정 Settings'!$A$122:$F$130,5,0),0),2))</f>
      </c>
      <c r="Q587" s="42">
        <f>IF(AND($I587="OPEN",$B587&lt;&gt;""),IF('설정 Settings'!$C$15-$B587&gt;='설정 Settings'!$C$62,"후속 연락 필요",""),"")</f>
      </c>
    </row>
    <row r="588" spans="15:17" x14ac:dyDescent="0.25">
      <c r="O588" s="40">
        <f>IF(AND($L588="Y",$J588&lt;&gt;""),$J588+'설정 Settings'!$C$18,"")</f>
      </c>
      <c r="P588" s="41">
        <f>IF($H588="","",$H588-ROUND(IFERROR($H588*VLOOKUP($G588,'설정 Settings'!$A$122:$F$130,4,0)+VLOOKUP($G588,'설정 Settings'!$A$122:$F$130,5,0),0),2))</f>
      </c>
      <c r="Q588" s="42">
        <f>IF(AND($I588="OPEN",$B588&lt;&gt;""),IF('설정 Settings'!$C$15-$B588&gt;='설정 Settings'!$C$62,"후속 연락 필요",""),"")</f>
      </c>
    </row>
    <row r="589" spans="15:17" x14ac:dyDescent="0.25">
      <c r="O589" s="40">
        <f>IF(AND($L589="Y",$J589&lt;&gt;""),$J589+'설정 Settings'!$C$18,"")</f>
      </c>
      <c r="P589" s="41">
        <f>IF($H589="","",$H589-ROUND(IFERROR($H589*VLOOKUP($G589,'설정 Settings'!$A$122:$F$130,4,0)+VLOOKUP($G589,'설정 Settings'!$A$122:$F$130,5,0),0),2))</f>
      </c>
      <c r="Q589" s="42">
        <f>IF(AND($I589="OPEN",$B589&lt;&gt;""),IF('설정 Settings'!$C$15-$B589&gt;='설정 Settings'!$C$62,"후속 연락 필요",""),"")</f>
      </c>
    </row>
    <row r="590" spans="15:17" x14ac:dyDescent="0.25">
      <c r="O590" s="40">
        <f>IF(AND($L590="Y",$J590&lt;&gt;""),$J590+'설정 Settings'!$C$18,"")</f>
      </c>
      <c r="P590" s="41">
        <f>IF($H590="","",$H590-ROUND(IFERROR($H590*VLOOKUP($G590,'설정 Settings'!$A$122:$F$130,4,0)+VLOOKUP($G590,'설정 Settings'!$A$122:$F$130,5,0),0),2))</f>
      </c>
      <c r="Q590" s="42">
        <f>IF(AND($I590="OPEN",$B590&lt;&gt;""),IF('설정 Settings'!$C$15-$B590&gt;='설정 Settings'!$C$62,"후속 연락 필요",""),"")</f>
      </c>
    </row>
    <row r="591" spans="15:17" x14ac:dyDescent="0.25">
      <c r="O591" s="40">
        <f>IF(AND($L591="Y",$J591&lt;&gt;""),$J591+'설정 Settings'!$C$18,"")</f>
      </c>
      <c r="P591" s="41">
        <f>IF($H591="","",$H591-ROUND(IFERROR($H591*VLOOKUP($G591,'설정 Settings'!$A$122:$F$130,4,0)+VLOOKUP($G591,'설정 Settings'!$A$122:$F$130,5,0),0),2))</f>
      </c>
      <c r="Q591" s="42">
        <f>IF(AND($I591="OPEN",$B591&lt;&gt;""),IF('설정 Settings'!$C$15-$B591&gt;='설정 Settings'!$C$62,"후속 연락 필요",""),"")</f>
      </c>
    </row>
    <row r="592" spans="15:17" x14ac:dyDescent="0.25">
      <c r="O592" s="40">
        <f>IF(AND($L592="Y",$J592&lt;&gt;""),$J592+'설정 Settings'!$C$18,"")</f>
      </c>
      <c r="P592" s="41">
        <f>IF($H592="","",$H592-ROUND(IFERROR($H592*VLOOKUP($G592,'설정 Settings'!$A$122:$F$130,4,0)+VLOOKUP($G592,'설정 Settings'!$A$122:$F$130,5,0),0),2))</f>
      </c>
      <c r="Q592" s="42">
        <f>IF(AND($I592="OPEN",$B592&lt;&gt;""),IF('설정 Settings'!$C$15-$B592&gt;='설정 Settings'!$C$62,"후속 연락 필요",""),"")</f>
      </c>
    </row>
    <row r="593" spans="15:17" x14ac:dyDescent="0.25">
      <c r="O593" s="40">
        <f>IF(AND($L593="Y",$J593&lt;&gt;""),$J593+'설정 Settings'!$C$18,"")</f>
      </c>
      <c r="P593" s="41">
        <f>IF($H593="","",$H593-ROUND(IFERROR($H593*VLOOKUP($G593,'설정 Settings'!$A$122:$F$130,4,0)+VLOOKUP($G593,'설정 Settings'!$A$122:$F$130,5,0),0),2))</f>
      </c>
      <c r="Q593" s="42">
        <f>IF(AND($I593="OPEN",$B593&lt;&gt;""),IF('설정 Settings'!$C$15-$B593&gt;='설정 Settings'!$C$62,"후속 연락 필요",""),"")</f>
      </c>
    </row>
    <row r="594" spans="15:17" x14ac:dyDescent="0.25">
      <c r="O594" s="40">
        <f>IF(AND($L594="Y",$J594&lt;&gt;""),$J594+'설정 Settings'!$C$18,"")</f>
      </c>
      <c r="P594" s="41">
        <f>IF($H594="","",$H594-ROUND(IFERROR($H594*VLOOKUP($G594,'설정 Settings'!$A$122:$F$130,4,0)+VLOOKUP($G594,'설정 Settings'!$A$122:$F$130,5,0),0),2))</f>
      </c>
      <c r="Q594" s="42">
        <f>IF(AND($I594="OPEN",$B594&lt;&gt;""),IF('설정 Settings'!$C$15-$B594&gt;='설정 Settings'!$C$62,"후속 연락 필요",""),"")</f>
      </c>
    </row>
    <row r="595" spans="15:17" x14ac:dyDescent="0.25">
      <c r="O595" s="40">
        <f>IF(AND($L595="Y",$J595&lt;&gt;""),$J595+'설정 Settings'!$C$18,"")</f>
      </c>
      <c r="P595" s="41">
        <f>IF($H595="","",$H595-ROUND(IFERROR($H595*VLOOKUP($G595,'설정 Settings'!$A$122:$F$130,4,0)+VLOOKUP($G595,'설정 Settings'!$A$122:$F$130,5,0),0),2))</f>
      </c>
      <c r="Q595" s="42">
        <f>IF(AND($I595="OPEN",$B595&lt;&gt;""),IF('설정 Settings'!$C$15-$B595&gt;='설정 Settings'!$C$62,"후속 연락 필요",""),"")</f>
      </c>
    </row>
    <row r="596" spans="15:17" x14ac:dyDescent="0.25">
      <c r="O596" s="40">
        <f>IF(AND($L596="Y",$J596&lt;&gt;""),$J596+'설정 Settings'!$C$18,"")</f>
      </c>
      <c r="P596" s="41">
        <f>IF($H596="","",$H596-ROUND(IFERROR($H596*VLOOKUP($G596,'설정 Settings'!$A$122:$F$130,4,0)+VLOOKUP($G596,'설정 Settings'!$A$122:$F$130,5,0),0),2))</f>
      </c>
      <c r="Q596" s="42">
        <f>IF(AND($I596="OPEN",$B596&lt;&gt;""),IF('설정 Settings'!$C$15-$B596&gt;='설정 Settings'!$C$62,"후속 연락 필요",""),"")</f>
      </c>
    </row>
    <row r="597" spans="15:17" x14ac:dyDescent="0.25">
      <c r="O597" s="40">
        <f>IF(AND($L597="Y",$J597&lt;&gt;""),$J597+'설정 Settings'!$C$18,"")</f>
      </c>
      <c r="P597" s="41">
        <f>IF($H597="","",$H597-ROUND(IFERROR($H597*VLOOKUP($G597,'설정 Settings'!$A$122:$F$130,4,0)+VLOOKUP($G597,'설정 Settings'!$A$122:$F$130,5,0),0),2))</f>
      </c>
      <c r="Q597" s="42">
        <f>IF(AND($I597="OPEN",$B597&lt;&gt;""),IF('설정 Settings'!$C$15-$B597&gt;='설정 Settings'!$C$62,"후속 연락 필요",""),"")</f>
      </c>
    </row>
    <row r="598" spans="15:17" x14ac:dyDescent="0.25">
      <c r="O598" s="40">
        <f>IF(AND($L598="Y",$J598&lt;&gt;""),$J598+'설정 Settings'!$C$18,"")</f>
      </c>
      <c r="P598" s="41">
        <f>IF($H598="","",$H598-ROUND(IFERROR($H598*VLOOKUP($G598,'설정 Settings'!$A$122:$F$130,4,0)+VLOOKUP($G598,'설정 Settings'!$A$122:$F$130,5,0),0),2))</f>
      </c>
      <c r="Q598" s="42">
        <f>IF(AND($I598="OPEN",$B598&lt;&gt;""),IF('설정 Settings'!$C$15-$B598&gt;='설정 Settings'!$C$62,"후속 연락 필요",""),"")</f>
      </c>
    </row>
    <row r="599" spans="15:17" x14ac:dyDescent="0.25">
      <c r="O599" s="40">
        <f>IF(AND($L599="Y",$J599&lt;&gt;""),$J599+'설정 Settings'!$C$18,"")</f>
      </c>
      <c r="P599" s="41">
        <f>IF($H599="","",$H599-ROUND(IFERROR($H599*VLOOKUP($G599,'설정 Settings'!$A$122:$F$130,4,0)+VLOOKUP($G599,'설정 Settings'!$A$122:$F$130,5,0),0),2))</f>
      </c>
      <c r="Q599" s="42">
        <f>IF(AND($I599="OPEN",$B599&lt;&gt;""),IF('설정 Settings'!$C$15-$B599&gt;='설정 Settings'!$C$62,"후속 연락 필요",""),"")</f>
      </c>
    </row>
    <row r="600" spans="15:17" x14ac:dyDescent="0.25">
      <c r="O600" s="40">
        <f>IF(AND($L600="Y",$J600&lt;&gt;""),$J600+'설정 Settings'!$C$18,"")</f>
      </c>
      <c r="P600" s="41">
        <f>IF($H600="","",$H600-ROUND(IFERROR($H600*VLOOKUP($G600,'설정 Settings'!$A$122:$F$130,4,0)+VLOOKUP($G600,'설정 Settings'!$A$122:$F$130,5,0),0),2))</f>
      </c>
      <c r="Q600" s="42">
        <f>IF(AND($I600="OPEN",$B600&lt;&gt;""),IF('설정 Settings'!$C$15-$B600&gt;='설정 Settings'!$C$62,"후속 연락 필요",""),"")</f>
      </c>
    </row>
    <row r="601" spans="15:17" x14ac:dyDescent="0.25">
      <c r="O601" s="40">
        <f>IF(AND($L601="Y",$J601&lt;&gt;""),$J601+'설정 Settings'!$C$18,"")</f>
      </c>
      <c r="P601" s="41">
        <f>IF($H601="","",$H601-ROUND(IFERROR($H601*VLOOKUP($G601,'설정 Settings'!$A$122:$F$130,4,0)+VLOOKUP($G601,'설정 Settings'!$A$122:$F$130,5,0),0),2))</f>
      </c>
      <c r="Q601" s="42">
        <f>IF(AND($I601="OPEN",$B601&lt;&gt;""),IF('설정 Settings'!$C$15-$B601&gt;='설정 Settings'!$C$62,"후속 연락 필요",""),"")</f>
      </c>
    </row>
    <row r="602" spans="15:17" x14ac:dyDescent="0.25">
      <c r="O602" s="40">
        <f>IF(AND($L602="Y",$J602&lt;&gt;""),$J602+'설정 Settings'!$C$18,"")</f>
      </c>
      <c r="P602" s="41">
        <f>IF($H602="","",$H602-ROUND(IFERROR($H602*VLOOKUP($G602,'설정 Settings'!$A$122:$F$130,4,0)+VLOOKUP($G602,'설정 Settings'!$A$122:$F$130,5,0),0),2))</f>
      </c>
      <c r="Q602" s="42">
        <f>IF(AND($I602="OPEN",$B602&lt;&gt;""),IF('설정 Settings'!$C$15-$B602&gt;='설정 Settings'!$C$62,"후속 연락 필요",""),"")</f>
      </c>
    </row>
    <row r="603" spans="15:17" x14ac:dyDescent="0.25">
      <c r="O603" s="40">
        <f>IF(AND($L603="Y",$J603&lt;&gt;""),$J603+'설정 Settings'!$C$18,"")</f>
      </c>
      <c r="P603" s="41">
        <f>IF($H603="","",$H603-ROUND(IFERROR($H603*VLOOKUP($G603,'설정 Settings'!$A$122:$F$130,4,0)+VLOOKUP($G603,'설정 Settings'!$A$122:$F$130,5,0),0),2))</f>
      </c>
      <c r="Q603" s="42">
        <f>IF(AND($I603="OPEN",$B603&lt;&gt;""),IF('설정 Settings'!$C$15-$B603&gt;='설정 Settings'!$C$62,"후속 연락 필요",""),"")</f>
      </c>
    </row>
    <row r="604" spans="15:17" x14ac:dyDescent="0.25">
      <c r="O604" s="40">
        <f>IF(AND($L604="Y",$J604&lt;&gt;""),$J604+'설정 Settings'!$C$18,"")</f>
      </c>
      <c r="P604" s="41">
        <f>IF($H604="","",$H604-ROUND(IFERROR($H604*VLOOKUP($G604,'설정 Settings'!$A$122:$F$130,4,0)+VLOOKUP($G604,'설정 Settings'!$A$122:$F$130,5,0),0),2))</f>
      </c>
      <c r="Q604" s="42">
        <f>IF(AND($I604="OPEN",$B604&lt;&gt;""),IF('설정 Settings'!$C$15-$B604&gt;='설정 Settings'!$C$62,"후속 연락 필요",""),"")</f>
      </c>
    </row>
    <row r="605" spans="15:17" x14ac:dyDescent="0.25">
      <c r="O605" s="40">
        <f>IF(AND($L605="Y",$J605&lt;&gt;""),$J605+'설정 Settings'!$C$18,"")</f>
      </c>
      <c r="P605" s="41">
        <f>IF($H605="","",$H605-ROUND(IFERROR($H605*VLOOKUP($G605,'설정 Settings'!$A$122:$F$130,4,0)+VLOOKUP($G605,'설정 Settings'!$A$122:$F$130,5,0),0),2))</f>
      </c>
      <c r="Q605" s="42">
        <f>IF(AND($I605="OPEN",$B605&lt;&gt;""),IF('설정 Settings'!$C$15-$B605&gt;='설정 Settings'!$C$62,"후속 연락 필요",""),"")</f>
      </c>
    </row>
    <row r="606" spans="15:17" x14ac:dyDescent="0.25">
      <c r="O606" s="40">
        <f>IF(AND($L606="Y",$J606&lt;&gt;""),$J606+'설정 Settings'!$C$18,"")</f>
      </c>
      <c r="P606" s="41">
        <f>IF($H606="","",$H606-ROUND(IFERROR($H606*VLOOKUP($G606,'설정 Settings'!$A$122:$F$130,4,0)+VLOOKUP($G606,'설정 Settings'!$A$122:$F$130,5,0),0),2))</f>
      </c>
      <c r="Q606" s="42">
        <f>IF(AND($I606="OPEN",$B606&lt;&gt;""),IF('설정 Settings'!$C$15-$B606&gt;='설정 Settings'!$C$62,"후속 연락 필요",""),"")</f>
      </c>
    </row>
    <row r="607" spans="15:17" x14ac:dyDescent="0.25">
      <c r="O607" s="40">
        <f>IF(AND($L607="Y",$J607&lt;&gt;""),$J607+'설정 Settings'!$C$18,"")</f>
      </c>
      <c r="P607" s="41">
        <f>IF($H607="","",$H607-ROUND(IFERROR($H607*VLOOKUP($G607,'설정 Settings'!$A$122:$F$130,4,0)+VLOOKUP($G607,'설정 Settings'!$A$122:$F$130,5,0),0),2))</f>
      </c>
      <c r="Q607" s="42">
        <f>IF(AND($I607="OPEN",$B607&lt;&gt;""),IF('설정 Settings'!$C$15-$B607&gt;='설정 Settings'!$C$62,"후속 연락 필요",""),"")</f>
      </c>
    </row>
    <row r="608" spans="15:17" x14ac:dyDescent="0.25">
      <c r="O608" s="40">
        <f>IF(AND($L608="Y",$J608&lt;&gt;""),$J608+'설정 Settings'!$C$18,"")</f>
      </c>
      <c r="P608" s="41">
        <f>IF($H608="","",$H608-ROUND(IFERROR($H608*VLOOKUP($G608,'설정 Settings'!$A$122:$F$130,4,0)+VLOOKUP($G608,'설정 Settings'!$A$122:$F$130,5,0),0),2))</f>
      </c>
      <c r="Q608" s="42">
        <f>IF(AND($I608="OPEN",$B608&lt;&gt;""),IF('설정 Settings'!$C$15-$B608&gt;='설정 Settings'!$C$62,"후속 연락 필요",""),"")</f>
      </c>
    </row>
    <row r="609" spans="15:17" x14ac:dyDescent="0.25">
      <c r="O609" s="40">
        <f>IF(AND($L609="Y",$J609&lt;&gt;""),$J609+'설정 Settings'!$C$18,"")</f>
      </c>
      <c r="P609" s="41">
        <f>IF($H609="","",$H609-ROUND(IFERROR($H609*VLOOKUP($G609,'설정 Settings'!$A$122:$F$130,4,0)+VLOOKUP($G609,'설정 Settings'!$A$122:$F$130,5,0),0),2))</f>
      </c>
      <c r="Q609" s="42">
        <f>IF(AND($I609="OPEN",$B609&lt;&gt;""),IF('설정 Settings'!$C$15-$B609&gt;='설정 Settings'!$C$62,"후속 연락 필요",""),"")</f>
      </c>
    </row>
    <row r="610" spans="15:17" x14ac:dyDescent="0.25">
      <c r="O610" s="40">
        <f>IF(AND($L610="Y",$J610&lt;&gt;""),$J610+'설정 Settings'!$C$18,"")</f>
      </c>
      <c r="P610" s="41">
        <f>IF($H610="","",$H610-ROUND(IFERROR($H610*VLOOKUP($G610,'설정 Settings'!$A$122:$F$130,4,0)+VLOOKUP($G610,'설정 Settings'!$A$122:$F$130,5,0),0),2))</f>
      </c>
      <c r="Q610" s="42">
        <f>IF(AND($I610="OPEN",$B610&lt;&gt;""),IF('설정 Settings'!$C$15-$B610&gt;='설정 Settings'!$C$62,"후속 연락 필요",""),"")</f>
      </c>
    </row>
    <row r="611" spans="15:17" x14ac:dyDescent="0.25">
      <c r="O611" s="40">
        <f>IF(AND($L611="Y",$J611&lt;&gt;""),$J611+'설정 Settings'!$C$18,"")</f>
      </c>
      <c r="P611" s="41">
        <f>IF($H611="","",$H611-ROUND(IFERROR($H611*VLOOKUP($G611,'설정 Settings'!$A$122:$F$130,4,0)+VLOOKUP($G611,'설정 Settings'!$A$122:$F$130,5,0),0),2))</f>
      </c>
      <c r="Q611" s="42">
        <f>IF(AND($I611="OPEN",$B611&lt;&gt;""),IF('설정 Settings'!$C$15-$B611&gt;='설정 Settings'!$C$62,"후속 연락 필요",""),"")</f>
      </c>
    </row>
    <row r="612" spans="15:17" x14ac:dyDescent="0.25">
      <c r="O612" s="40">
        <f>IF(AND($L612="Y",$J612&lt;&gt;""),$J612+'설정 Settings'!$C$18,"")</f>
      </c>
      <c r="P612" s="41">
        <f>IF($H612="","",$H612-ROUND(IFERROR($H612*VLOOKUP($G612,'설정 Settings'!$A$122:$F$130,4,0)+VLOOKUP($G612,'설정 Settings'!$A$122:$F$130,5,0),0),2))</f>
      </c>
      <c r="Q612" s="42">
        <f>IF(AND($I612="OPEN",$B612&lt;&gt;""),IF('설정 Settings'!$C$15-$B612&gt;='설정 Settings'!$C$62,"후속 연락 필요",""),"")</f>
      </c>
    </row>
    <row r="613" spans="15:17" x14ac:dyDescent="0.25">
      <c r="O613" s="40">
        <f>IF(AND($L613="Y",$J613&lt;&gt;""),$J613+'설정 Settings'!$C$18,"")</f>
      </c>
      <c r="P613" s="41">
        <f>IF($H613="","",$H613-ROUND(IFERROR($H613*VLOOKUP($G613,'설정 Settings'!$A$122:$F$130,4,0)+VLOOKUP($G613,'설정 Settings'!$A$122:$F$130,5,0),0),2))</f>
      </c>
      <c r="Q613" s="42">
        <f>IF(AND($I613="OPEN",$B613&lt;&gt;""),IF('설정 Settings'!$C$15-$B613&gt;='설정 Settings'!$C$62,"후속 연락 필요",""),"")</f>
      </c>
    </row>
    <row r="614" spans="15:17" x14ac:dyDescent="0.25">
      <c r="O614" s="40">
        <f>IF(AND($L614="Y",$J614&lt;&gt;""),$J614+'설정 Settings'!$C$18,"")</f>
      </c>
      <c r="P614" s="41">
        <f>IF($H614="","",$H614-ROUND(IFERROR($H614*VLOOKUP($G614,'설정 Settings'!$A$122:$F$130,4,0)+VLOOKUP($G614,'설정 Settings'!$A$122:$F$130,5,0),0),2))</f>
      </c>
      <c r="Q614" s="42">
        <f>IF(AND($I614="OPEN",$B614&lt;&gt;""),IF('설정 Settings'!$C$15-$B614&gt;='설정 Settings'!$C$62,"후속 연락 필요",""),"")</f>
      </c>
    </row>
    <row r="615" spans="15:17" x14ac:dyDescent="0.25">
      <c r="O615" s="40">
        <f>IF(AND($L615="Y",$J615&lt;&gt;""),$J615+'설정 Settings'!$C$18,"")</f>
      </c>
      <c r="P615" s="41">
        <f>IF($H615="","",$H615-ROUND(IFERROR($H615*VLOOKUP($G615,'설정 Settings'!$A$122:$F$130,4,0)+VLOOKUP($G615,'설정 Settings'!$A$122:$F$130,5,0),0),2))</f>
      </c>
      <c r="Q615" s="42">
        <f>IF(AND($I615="OPEN",$B615&lt;&gt;""),IF('설정 Settings'!$C$15-$B615&gt;='설정 Settings'!$C$62,"후속 연락 필요",""),"")</f>
      </c>
    </row>
    <row r="616" spans="15:17" x14ac:dyDescent="0.25">
      <c r="O616" s="40">
        <f>IF(AND($L616="Y",$J616&lt;&gt;""),$J616+'설정 Settings'!$C$18,"")</f>
      </c>
      <c r="P616" s="41">
        <f>IF($H616="","",$H616-ROUND(IFERROR($H616*VLOOKUP($G616,'설정 Settings'!$A$122:$F$130,4,0)+VLOOKUP($G616,'설정 Settings'!$A$122:$F$130,5,0),0),2))</f>
      </c>
      <c r="Q616" s="42">
        <f>IF(AND($I616="OPEN",$B616&lt;&gt;""),IF('설정 Settings'!$C$15-$B616&gt;='설정 Settings'!$C$62,"후속 연락 필요",""),"")</f>
      </c>
    </row>
    <row r="617" spans="15:17" x14ac:dyDescent="0.25">
      <c r="O617" s="40">
        <f>IF(AND($L617="Y",$J617&lt;&gt;""),$J617+'설정 Settings'!$C$18,"")</f>
      </c>
      <c r="P617" s="41">
        <f>IF($H617="","",$H617-ROUND(IFERROR($H617*VLOOKUP($G617,'설정 Settings'!$A$122:$F$130,4,0)+VLOOKUP($G617,'설정 Settings'!$A$122:$F$130,5,0),0),2))</f>
      </c>
      <c r="Q617" s="42">
        <f>IF(AND($I617="OPEN",$B617&lt;&gt;""),IF('설정 Settings'!$C$15-$B617&gt;='설정 Settings'!$C$62,"후속 연락 필요",""),"")</f>
      </c>
    </row>
    <row r="618" spans="15:17" x14ac:dyDescent="0.25">
      <c r="O618" s="40">
        <f>IF(AND($L618="Y",$J618&lt;&gt;""),$J618+'설정 Settings'!$C$18,"")</f>
      </c>
      <c r="P618" s="41">
        <f>IF($H618="","",$H618-ROUND(IFERROR($H618*VLOOKUP($G618,'설정 Settings'!$A$122:$F$130,4,0)+VLOOKUP($G618,'설정 Settings'!$A$122:$F$130,5,0),0),2))</f>
      </c>
      <c r="Q618" s="42">
        <f>IF(AND($I618="OPEN",$B618&lt;&gt;""),IF('설정 Settings'!$C$15-$B618&gt;='설정 Settings'!$C$62,"후속 연락 필요",""),"")</f>
      </c>
    </row>
    <row r="619" spans="15:17" x14ac:dyDescent="0.25">
      <c r="O619" s="40">
        <f>IF(AND($L619="Y",$J619&lt;&gt;""),$J619+'설정 Settings'!$C$18,"")</f>
      </c>
      <c r="P619" s="41">
        <f>IF($H619="","",$H619-ROUND(IFERROR($H619*VLOOKUP($G619,'설정 Settings'!$A$122:$F$130,4,0)+VLOOKUP($G619,'설정 Settings'!$A$122:$F$130,5,0),0),2))</f>
      </c>
      <c r="Q619" s="42">
        <f>IF(AND($I619="OPEN",$B619&lt;&gt;""),IF('설정 Settings'!$C$15-$B619&gt;='설정 Settings'!$C$62,"후속 연락 필요",""),"")</f>
      </c>
    </row>
    <row r="620" spans="15:17" x14ac:dyDescent="0.25">
      <c r="O620" s="40">
        <f>IF(AND($L620="Y",$J620&lt;&gt;""),$J620+'설정 Settings'!$C$18,"")</f>
      </c>
      <c r="P620" s="41">
        <f>IF($H620="","",$H620-ROUND(IFERROR($H620*VLOOKUP($G620,'설정 Settings'!$A$122:$F$130,4,0)+VLOOKUP($G620,'설정 Settings'!$A$122:$F$130,5,0),0),2))</f>
      </c>
      <c r="Q620" s="42">
        <f>IF(AND($I620="OPEN",$B620&lt;&gt;""),IF('설정 Settings'!$C$15-$B620&gt;='설정 Settings'!$C$62,"후속 연락 필요",""),"")</f>
      </c>
    </row>
    <row r="621" spans="15:17" x14ac:dyDescent="0.25">
      <c r="O621" s="40">
        <f>IF(AND($L621="Y",$J621&lt;&gt;""),$J621+'설정 Settings'!$C$18,"")</f>
      </c>
      <c r="P621" s="41">
        <f>IF($H621="","",$H621-ROUND(IFERROR($H621*VLOOKUP($G621,'설정 Settings'!$A$122:$F$130,4,0)+VLOOKUP($G621,'설정 Settings'!$A$122:$F$130,5,0),0),2))</f>
      </c>
      <c r="Q621" s="42">
        <f>IF(AND($I621="OPEN",$B621&lt;&gt;""),IF('설정 Settings'!$C$15-$B621&gt;='설정 Settings'!$C$62,"후속 연락 필요",""),"")</f>
      </c>
    </row>
    <row r="622" spans="15:17" x14ac:dyDescent="0.25">
      <c r="O622" s="40">
        <f>IF(AND($L622="Y",$J622&lt;&gt;""),$J622+'설정 Settings'!$C$18,"")</f>
      </c>
      <c r="P622" s="41">
        <f>IF($H622="","",$H622-ROUND(IFERROR($H622*VLOOKUP($G622,'설정 Settings'!$A$122:$F$130,4,0)+VLOOKUP($G622,'설정 Settings'!$A$122:$F$130,5,0),0),2))</f>
      </c>
      <c r="Q622" s="42">
        <f>IF(AND($I622="OPEN",$B622&lt;&gt;""),IF('설정 Settings'!$C$15-$B622&gt;='설정 Settings'!$C$62,"후속 연락 필요",""),"")</f>
      </c>
    </row>
    <row r="623" spans="15:17" x14ac:dyDescent="0.25">
      <c r="O623" s="40">
        <f>IF(AND($L623="Y",$J623&lt;&gt;""),$J623+'설정 Settings'!$C$18,"")</f>
      </c>
      <c r="P623" s="41">
        <f>IF($H623="","",$H623-ROUND(IFERROR($H623*VLOOKUP($G623,'설정 Settings'!$A$122:$F$130,4,0)+VLOOKUP($G623,'설정 Settings'!$A$122:$F$130,5,0),0),2))</f>
      </c>
      <c r="Q623" s="42">
        <f>IF(AND($I623="OPEN",$B623&lt;&gt;""),IF('설정 Settings'!$C$15-$B623&gt;='설정 Settings'!$C$62,"후속 연락 필요",""),"")</f>
      </c>
    </row>
    <row r="624" spans="15:17" x14ac:dyDescent="0.25">
      <c r="O624" s="40">
        <f>IF(AND($L624="Y",$J624&lt;&gt;""),$J624+'설정 Settings'!$C$18,"")</f>
      </c>
      <c r="P624" s="41">
        <f>IF($H624="","",$H624-ROUND(IFERROR($H624*VLOOKUP($G624,'설정 Settings'!$A$122:$F$130,4,0)+VLOOKUP($G624,'설정 Settings'!$A$122:$F$130,5,0),0),2))</f>
      </c>
      <c r="Q624" s="42">
        <f>IF(AND($I624="OPEN",$B624&lt;&gt;""),IF('설정 Settings'!$C$15-$B624&gt;='설정 Settings'!$C$62,"후속 연락 필요",""),"")</f>
      </c>
    </row>
    <row r="625" spans="15:17" x14ac:dyDescent="0.25">
      <c r="O625" s="40">
        <f>IF(AND($L625="Y",$J625&lt;&gt;""),$J625+'설정 Settings'!$C$18,"")</f>
      </c>
      <c r="P625" s="41">
        <f>IF($H625="","",$H625-ROUND(IFERROR($H625*VLOOKUP($G625,'설정 Settings'!$A$122:$F$130,4,0)+VLOOKUP($G625,'설정 Settings'!$A$122:$F$130,5,0),0),2))</f>
      </c>
      <c r="Q625" s="42">
        <f>IF(AND($I625="OPEN",$B625&lt;&gt;""),IF('설정 Settings'!$C$15-$B625&gt;='설정 Settings'!$C$62,"후속 연락 필요",""),"")</f>
      </c>
    </row>
    <row r="626" spans="15:17" x14ac:dyDescent="0.25">
      <c r="O626" s="40">
        <f>IF(AND($L626="Y",$J626&lt;&gt;""),$J626+'설정 Settings'!$C$18,"")</f>
      </c>
      <c r="P626" s="41">
        <f>IF($H626="","",$H626-ROUND(IFERROR($H626*VLOOKUP($G626,'설정 Settings'!$A$122:$F$130,4,0)+VLOOKUP($G626,'설정 Settings'!$A$122:$F$130,5,0),0),2))</f>
      </c>
      <c r="Q626" s="42">
        <f>IF(AND($I626="OPEN",$B626&lt;&gt;""),IF('설정 Settings'!$C$15-$B626&gt;='설정 Settings'!$C$62,"후속 연락 필요",""),"")</f>
      </c>
    </row>
    <row r="627" spans="15:17" x14ac:dyDescent="0.25">
      <c r="O627" s="40">
        <f>IF(AND($L627="Y",$J627&lt;&gt;""),$J627+'설정 Settings'!$C$18,"")</f>
      </c>
      <c r="P627" s="41">
        <f>IF($H627="","",$H627-ROUND(IFERROR($H627*VLOOKUP($G627,'설정 Settings'!$A$122:$F$130,4,0)+VLOOKUP($G627,'설정 Settings'!$A$122:$F$130,5,0),0),2))</f>
      </c>
      <c r="Q627" s="42">
        <f>IF(AND($I627="OPEN",$B627&lt;&gt;""),IF('설정 Settings'!$C$15-$B627&gt;='설정 Settings'!$C$62,"후속 연락 필요",""),"")</f>
      </c>
    </row>
    <row r="628" spans="15:17" x14ac:dyDescent="0.25">
      <c r="O628" s="40">
        <f>IF(AND($L628="Y",$J628&lt;&gt;""),$J628+'설정 Settings'!$C$18,"")</f>
      </c>
      <c r="P628" s="41">
        <f>IF($H628="","",$H628-ROUND(IFERROR($H628*VLOOKUP($G628,'설정 Settings'!$A$122:$F$130,4,0)+VLOOKUP($G628,'설정 Settings'!$A$122:$F$130,5,0),0),2))</f>
      </c>
      <c r="Q628" s="42">
        <f>IF(AND($I628="OPEN",$B628&lt;&gt;""),IF('설정 Settings'!$C$15-$B628&gt;='설정 Settings'!$C$62,"후속 연락 필요",""),"")</f>
      </c>
    </row>
    <row r="629" spans="15:17" x14ac:dyDescent="0.25">
      <c r="O629" s="40">
        <f>IF(AND($L629="Y",$J629&lt;&gt;""),$J629+'설정 Settings'!$C$18,"")</f>
      </c>
      <c r="P629" s="41">
        <f>IF($H629="","",$H629-ROUND(IFERROR($H629*VLOOKUP($G629,'설정 Settings'!$A$122:$F$130,4,0)+VLOOKUP($G629,'설정 Settings'!$A$122:$F$130,5,0),0),2))</f>
      </c>
      <c r="Q629" s="42">
        <f>IF(AND($I629="OPEN",$B629&lt;&gt;""),IF('설정 Settings'!$C$15-$B629&gt;='설정 Settings'!$C$62,"후속 연락 필요",""),"")</f>
      </c>
    </row>
    <row r="630" spans="15:17" x14ac:dyDescent="0.25">
      <c r="O630" s="40">
        <f>IF(AND($L630="Y",$J630&lt;&gt;""),$J630+'설정 Settings'!$C$18,"")</f>
      </c>
      <c r="P630" s="41">
        <f>IF($H630="","",$H630-ROUND(IFERROR($H630*VLOOKUP($G630,'설정 Settings'!$A$122:$F$130,4,0)+VLOOKUP($G630,'설정 Settings'!$A$122:$F$130,5,0),0),2))</f>
      </c>
      <c r="Q630" s="42">
        <f>IF(AND($I630="OPEN",$B630&lt;&gt;""),IF('설정 Settings'!$C$15-$B630&gt;='설정 Settings'!$C$62,"후속 연락 필요",""),"")</f>
      </c>
    </row>
    <row r="631" spans="15:17" x14ac:dyDescent="0.25">
      <c r="O631" s="40">
        <f>IF(AND($L631="Y",$J631&lt;&gt;""),$J631+'설정 Settings'!$C$18,"")</f>
      </c>
      <c r="P631" s="41">
        <f>IF($H631="","",$H631-ROUND(IFERROR($H631*VLOOKUP($G631,'설정 Settings'!$A$122:$F$130,4,0)+VLOOKUP($G631,'설정 Settings'!$A$122:$F$130,5,0),0),2))</f>
      </c>
      <c r="Q631" s="42">
        <f>IF(AND($I631="OPEN",$B631&lt;&gt;""),IF('설정 Settings'!$C$15-$B631&gt;='설정 Settings'!$C$62,"후속 연락 필요",""),"")</f>
      </c>
    </row>
    <row r="632" spans="15:17" x14ac:dyDescent="0.25">
      <c r="O632" s="40">
        <f>IF(AND($L632="Y",$J632&lt;&gt;""),$J632+'설정 Settings'!$C$18,"")</f>
      </c>
      <c r="P632" s="41">
        <f>IF($H632="","",$H632-ROUND(IFERROR($H632*VLOOKUP($G632,'설정 Settings'!$A$122:$F$130,4,0)+VLOOKUP($G632,'설정 Settings'!$A$122:$F$130,5,0),0),2))</f>
      </c>
      <c r="Q632" s="42">
        <f>IF(AND($I632="OPEN",$B632&lt;&gt;""),IF('설정 Settings'!$C$15-$B632&gt;='설정 Settings'!$C$62,"후속 연락 필요",""),"")</f>
      </c>
    </row>
    <row r="633" spans="15:17" x14ac:dyDescent="0.25">
      <c r="O633" s="40">
        <f>IF(AND($L633="Y",$J633&lt;&gt;""),$J633+'설정 Settings'!$C$18,"")</f>
      </c>
      <c r="P633" s="41">
        <f>IF($H633="","",$H633-ROUND(IFERROR($H633*VLOOKUP($G633,'설정 Settings'!$A$122:$F$130,4,0)+VLOOKUP($G633,'설정 Settings'!$A$122:$F$130,5,0),0),2))</f>
      </c>
      <c r="Q633" s="42">
        <f>IF(AND($I633="OPEN",$B633&lt;&gt;""),IF('설정 Settings'!$C$15-$B633&gt;='설정 Settings'!$C$62,"후속 연락 필요",""),"")</f>
      </c>
    </row>
    <row r="634" spans="15:17" x14ac:dyDescent="0.25">
      <c r="O634" s="40">
        <f>IF(AND($L634="Y",$J634&lt;&gt;""),$J634+'설정 Settings'!$C$18,"")</f>
      </c>
      <c r="P634" s="41">
        <f>IF($H634="","",$H634-ROUND(IFERROR($H634*VLOOKUP($G634,'설정 Settings'!$A$122:$F$130,4,0)+VLOOKUP($G634,'설정 Settings'!$A$122:$F$130,5,0),0),2))</f>
      </c>
      <c r="Q634" s="42">
        <f>IF(AND($I634="OPEN",$B634&lt;&gt;""),IF('설정 Settings'!$C$15-$B634&gt;='설정 Settings'!$C$62,"후속 연락 필요",""),"")</f>
      </c>
    </row>
    <row r="635" spans="15:17" x14ac:dyDescent="0.25">
      <c r="O635" s="40">
        <f>IF(AND($L635="Y",$J635&lt;&gt;""),$J635+'설정 Settings'!$C$18,"")</f>
      </c>
      <c r="P635" s="41">
        <f>IF($H635="","",$H635-ROUND(IFERROR($H635*VLOOKUP($G635,'설정 Settings'!$A$122:$F$130,4,0)+VLOOKUP($G635,'설정 Settings'!$A$122:$F$130,5,0),0),2))</f>
      </c>
      <c r="Q635" s="42">
        <f>IF(AND($I635="OPEN",$B635&lt;&gt;""),IF('설정 Settings'!$C$15-$B635&gt;='설정 Settings'!$C$62,"후속 연락 필요",""),"")</f>
      </c>
    </row>
    <row r="636" spans="15:17" x14ac:dyDescent="0.25">
      <c r="O636" s="40">
        <f>IF(AND($L636="Y",$J636&lt;&gt;""),$J636+'설정 Settings'!$C$18,"")</f>
      </c>
      <c r="P636" s="41">
        <f>IF($H636="","",$H636-ROUND(IFERROR($H636*VLOOKUP($G636,'설정 Settings'!$A$122:$F$130,4,0)+VLOOKUP($G636,'설정 Settings'!$A$122:$F$130,5,0),0),2))</f>
      </c>
      <c r="Q636" s="42">
        <f>IF(AND($I636="OPEN",$B636&lt;&gt;""),IF('설정 Settings'!$C$15-$B636&gt;='설정 Settings'!$C$62,"후속 연락 필요",""),"")</f>
      </c>
    </row>
    <row r="637" spans="15:17" x14ac:dyDescent="0.25">
      <c r="O637" s="40">
        <f>IF(AND($L637="Y",$J637&lt;&gt;""),$J637+'설정 Settings'!$C$18,"")</f>
      </c>
      <c r="P637" s="41">
        <f>IF($H637="","",$H637-ROUND(IFERROR($H637*VLOOKUP($G637,'설정 Settings'!$A$122:$F$130,4,0)+VLOOKUP($G637,'설정 Settings'!$A$122:$F$130,5,0),0),2))</f>
      </c>
      <c r="Q637" s="42">
        <f>IF(AND($I637="OPEN",$B637&lt;&gt;""),IF('설정 Settings'!$C$15-$B637&gt;='설정 Settings'!$C$62,"후속 연락 필요",""),"")</f>
      </c>
    </row>
    <row r="638" spans="15:17" x14ac:dyDescent="0.25">
      <c r="O638" s="40">
        <f>IF(AND($L638="Y",$J638&lt;&gt;""),$J638+'설정 Settings'!$C$18,"")</f>
      </c>
      <c r="P638" s="41">
        <f>IF($H638="","",$H638-ROUND(IFERROR($H638*VLOOKUP($G638,'설정 Settings'!$A$122:$F$130,4,0)+VLOOKUP($G638,'설정 Settings'!$A$122:$F$130,5,0),0),2))</f>
      </c>
      <c r="Q638" s="42">
        <f>IF(AND($I638="OPEN",$B638&lt;&gt;""),IF('설정 Settings'!$C$15-$B638&gt;='설정 Settings'!$C$62,"후속 연락 필요",""),"")</f>
      </c>
    </row>
    <row r="639" spans="15:17" x14ac:dyDescent="0.25">
      <c r="O639" s="40">
        <f>IF(AND($L639="Y",$J639&lt;&gt;""),$J639+'설정 Settings'!$C$18,"")</f>
      </c>
      <c r="P639" s="41">
        <f>IF($H639="","",$H639-ROUND(IFERROR($H639*VLOOKUP($G639,'설정 Settings'!$A$122:$F$130,4,0)+VLOOKUP($G639,'설정 Settings'!$A$122:$F$130,5,0),0),2))</f>
      </c>
      <c r="Q639" s="42">
        <f>IF(AND($I639="OPEN",$B639&lt;&gt;""),IF('설정 Settings'!$C$15-$B639&gt;='설정 Settings'!$C$62,"후속 연락 필요",""),"")</f>
      </c>
    </row>
    <row r="640" spans="15:17" x14ac:dyDescent="0.25">
      <c r="O640" s="40">
        <f>IF(AND($L640="Y",$J640&lt;&gt;""),$J640+'설정 Settings'!$C$18,"")</f>
      </c>
      <c r="P640" s="41">
        <f>IF($H640="","",$H640-ROUND(IFERROR($H640*VLOOKUP($G640,'설정 Settings'!$A$122:$F$130,4,0)+VLOOKUP($G640,'설정 Settings'!$A$122:$F$130,5,0),0),2))</f>
      </c>
      <c r="Q640" s="42">
        <f>IF(AND($I640="OPEN",$B640&lt;&gt;""),IF('설정 Settings'!$C$15-$B640&gt;='설정 Settings'!$C$62,"후속 연락 필요",""),"")</f>
      </c>
    </row>
    <row r="641" spans="15:17" x14ac:dyDescent="0.25">
      <c r="O641" s="40">
        <f>IF(AND($L641="Y",$J641&lt;&gt;""),$J641+'설정 Settings'!$C$18,"")</f>
      </c>
      <c r="P641" s="41">
        <f>IF($H641="","",$H641-ROUND(IFERROR($H641*VLOOKUP($G641,'설정 Settings'!$A$122:$F$130,4,0)+VLOOKUP($G641,'설정 Settings'!$A$122:$F$130,5,0),0),2))</f>
      </c>
      <c r="Q641" s="42">
        <f>IF(AND($I641="OPEN",$B641&lt;&gt;""),IF('설정 Settings'!$C$15-$B641&gt;='설정 Settings'!$C$62,"후속 연락 필요",""),"")</f>
      </c>
    </row>
    <row r="642" spans="15:17" x14ac:dyDescent="0.25">
      <c r="O642" s="40">
        <f>IF(AND($L642="Y",$J642&lt;&gt;""),$J642+'설정 Settings'!$C$18,"")</f>
      </c>
      <c r="P642" s="41">
        <f>IF($H642="","",$H642-ROUND(IFERROR($H642*VLOOKUP($G642,'설정 Settings'!$A$122:$F$130,4,0)+VLOOKUP($G642,'설정 Settings'!$A$122:$F$130,5,0),0),2))</f>
      </c>
      <c r="Q642" s="42">
        <f>IF(AND($I642="OPEN",$B642&lt;&gt;""),IF('설정 Settings'!$C$15-$B642&gt;='설정 Settings'!$C$62,"후속 연락 필요",""),"")</f>
      </c>
    </row>
    <row r="643" spans="15:17" x14ac:dyDescent="0.25">
      <c r="O643" s="40">
        <f>IF(AND($L643="Y",$J643&lt;&gt;""),$J643+'설정 Settings'!$C$18,"")</f>
      </c>
      <c r="P643" s="41">
        <f>IF($H643="","",$H643-ROUND(IFERROR($H643*VLOOKUP($G643,'설정 Settings'!$A$122:$F$130,4,0)+VLOOKUP($G643,'설정 Settings'!$A$122:$F$130,5,0),0),2))</f>
      </c>
      <c r="Q643" s="42">
        <f>IF(AND($I643="OPEN",$B643&lt;&gt;""),IF('설정 Settings'!$C$15-$B643&gt;='설정 Settings'!$C$62,"후속 연락 필요",""),"")</f>
      </c>
    </row>
    <row r="644" spans="15:17" x14ac:dyDescent="0.25">
      <c r="O644" s="40">
        <f>IF(AND($L644="Y",$J644&lt;&gt;""),$J644+'설정 Settings'!$C$18,"")</f>
      </c>
      <c r="P644" s="41">
        <f>IF($H644="","",$H644-ROUND(IFERROR($H644*VLOOKUP($G644,'설정 Settings'!$A$122:$F$130,4,0)+VLOOKUP($G644,'설정 Settings'!$A$122:$F$130,5,0),0),2))</f>
      </c>
      <c r="Q644" s="42">
        <f>IF(AND($I644="OPEN",$B644&lt;&gt;""),IF('설정 Settings'!$C$15-$B644&gt;='설정 Settings'!$C$62,"후속 연락 필요",""),"")</f>
      </c>
    </row>
    <row r="645" spans="15:17" x14ac:dyDescent="0.25">
      <c r="O645" s="40">
        <f>IF(AND($L645="Y",$J645&lt;&gt;""),$J645+'설정 Settings'!$C$18,"")</f>
      </c>
      <c r="P645" s="41">
        <f>IF($H645="","",$H645-ROUND(IFERROR($H645*VLOOKUP($G645,'설정 Settings'!$A$122:$F$130,4,0)+VLOOKUP($G645,'설정 Settings'!$A$122:$F$130,5,0),0),2))</f>
      </c>
      <c r="Q645" s="42">
        <f>IF(AND($I645="OPEN",$B645&lt;&gt;""),IF('설정 Settings'!$C$15-$B645&gt;='설정 Settings'!$C$62,"후속 연락 필요",""),"")</f>
      </c>
    </row>
    <row r="646" spans="15:17" x14ac:dyDescent="0.25">
      <c r="O646" s="40">
        <f>IF(AND($L646="Y",$J646&lt;&gt;""),$J646+'설정 Settings'!$C$18,"")</f>
      </c>
      <c r="P646" s="41">
        <f>IF($H646="","",$H646-ROUND(IFERROR($H646*VLOOKUP($G646,'설정 Settings'!$A$122:$F$130,4,0)+VLOOKUP($G646,'설정 Settings'!$A$122:$F$130,5,0),0),2))</f>
      </c>
      <c r="Q646" s="42">
        <f>IF(AND($I646="OPEN",$B646&lt;&gt;""),IF('설정 Settings'!$C$15-$B646&gt;='설정 Settings'!$C$62,"후속 연락 필요",""),"")</f>
      </c>
    </row>
    <row r="647" spans="15:17" x14ac:dyDescent="0.25">
      <c r="O647" s="40">
        <f>IF(AND($L647="Y",$J647&lt;&gt;""),$J647+'설정 Settings'!$C$18,"")</f>
      </c>
      <c r="P647" s="41">
        <f>IF($H647="","",$H647-ROUND(IFERROR($H647*VLOOKUP($G647,'설정 Settings'!$A$122:$F$130,4,0)+VLOOKUP($G647,'설정 Settings'!$A$122:$F$130,5,0),0),2))</f>
      </c>
      <c r="Q647" s="42">
        <f>IF(AND($I647="OPEN",$B647&lt;&gt;""),IF('설정 Settings'!$C$15-$B647&gt;='설정 Settings'!$C$62,"후속 연락 필요",""),"")</f>
      </c>
    </row>
    <row r="648" spans="15:17" x14ac:dyDescent="0.25">
      <c r="O648" s="40">
        <f>IF(AND($L648="Y",$J648&lt;&gt;""),$J648+'설정 Settings'!$C$18,"")</f>
      </c>
      <c r="P648" s="41">
        <f>IF($H648="","",$H648-ROUND(IFERROR($H648*VLOOKUP($G648,'설정 Settings'!$A$122:$F$130,4,0)+VLOOKUP($G648,'설정 Settings'!$A$122:$F$130,5,0),0),2))</f>
      </c>
      <c r="Q648" s="42">
        <f>IF(AND($I648="OPEN",$B648&lt;&gt;""),IF('설정 Settings'!$C$15-$B648&gt;='설정 Settings'!$C$62,"후속 연락 필요",""),"")</f>
      </c>
    </row>
    <row r="649" spans="15:17" x14ac:dyDescent="0.25">
      <c r="O649" s="40">
        <f>IF(AND($L649="Y",$J649&lt;&gt;""),$J649+'설정 Settings'!$C$18,"")</f>
      </c>
      <c r="P649" s="41">
        <f>IF($H649="","",$H649-ROUND(IFERROR($H649*VLOOKUP($G649,'설정 Settings'!$A$122:$F$130,4,0)+VLOOKUP($G649,'설정 Settings'!$A$122:$F$130,5,0),0),2))</f>
      </c>
      <c r="Q649" s="42">
        <f>IF(AND($I649="OPEN",$B649&lt;&gt;""),IF('설정 Settings'!$C$15-$B649&gt;='설정 Settings'!$C$62,"후속 연락 필요",""),"")</f>
      </c>
    </row>
    <row r="650" spans="15:17" x14ac:dyDescent="0.25">
      <c r="O650" s="40">
        <f>IF(AND($L650="Y",$J650&lt;&gt;""),$J650+'설정 Settings'!$C$18,"")</f>
      </c>
      <c r="P650" s="41">
        <f>IF($H650="","",$H650-ROUND(IFERROR($H650*VLOOKUP($G650,'설정 Settings'!$A$122:$F$130,4,0)+VLOOKUP($G650,'설정 Settings'!$A$122:$F$130,5,0),0),2))</f>
      </c>
      <c r="Q650" s="42">
        <f>IF(AND($I650="OPEN",$B650&lt;&gt;""),IF('설정 Settings'!$C$15-$B650&gt;='설정 Settings'!$C$62,"후속 연락 필요",""),"")</f>
      </c>
    </row>
    <row r="651" spans="15:17" x14ac:dyDescent="0.25">
      <c r="O651" s="40">
        <f>IF(AND($L651="Y",$J651&lt;&gt;""),$J651+'설정 Settings'!$C$18,"")</f>
      </c>
      <c r="P651" s="41">
        <f>IF($H651="","",$H651-ROUND(IFERROR($H651*VLOOKUP($G651,'설정 Settings'!$A$122:$F$130,4,0)+VLOOKUP($G651,'설정 Settings'!$A$122:$F$130,5,0),0),2))</f>
      </c>
      <c r="Q651" s="42">
        <f>IF(AND($I651="OPEN",$B651&lt;&gt;""),IF('설정 Settings'!$C$15-$B651&gt;='설정 Settings'!$C$62,"후속 연락 필요",""),"")</f>
      </c>
    </row>
    <row r="652" spans="15:17" x14ac:dyDescent="0.25">
      <c r="O652" s="40">
        <f>IF(AND($L652="Y",$J652&lt;&gt;""),$J652+'설정 Settings'!$C$18,"")</f>
      </c>
      <c r="P652" s="41">
        <f>IF($H652="","",$H652-ROUND(IFERROR($H652*VLOOKUP($G652,'설정 Settings'!$A$122:$F$130,4,0)+VLOOKUP($G652,'설정 Settings'!$A$122:$F$130,5,0),0),2))</f>
      </c>
      <c r="Q652" s="42">
        <f>IF(AND($I652="OPEN",$B652&lt;&gt;""),IF('설정 Settings'!$C$15-$B652&gt;='설정 Settings'!$C$62,"후속 연락 필요",""),"")</f>
      </c>
    </row>
    <row r="653" spans="15:17" x14ac:dyDescent="0.25">
      <c r="O653" s="40">
        <f>IF(AND($L653="Y",$J653&lt;&gt;""),$J653+'설정 Settings'!$C$18,"")</f>
      </c>
      <c r="P653" s="41">
        <f>IF($H653="","",$H653-ROUND(IFERROR($H653*VLOOKUP($G653,'설정 Settings'!$A$122:$F$130,4,0)+VLOOKUP($G653,'설정 Settings'!$A$122:$F$130,5,0),0),2))</f>
      </c>
      <c r="Q653" s="42">
        <f>IF(AND($I653="OPEN",$B653&lt;&gt;""),IF('설정 Settings'!$C$15-$B653&gt;='설정 Settings'!$C$62,"후속 연락 필요",""),"")</f>
      </c>
    </row>
    <row r="654" spans="15:17" x14ac:dyDescent="0.25">
      <c r="O654" s="40">
        <f>IF(AND($L654="Y",$J654&lt;&gt;""),$J654+'설정 Settings'!$C$18,"")</f>
      </c>
      <c r="P654" s="41">
        <f>IF($H654="","",$H654-ROUND(IFERROR($H654*VLOOKUP($G654,'설정 Settings'!$A$122:$F$130,4,0)+VLOOKUP($G654,'설정 Settings'!$A$122:$F$130,5,0),0),2))</f>
      </c>
      <c r="Q654" s="42">
        <f>IF(AND($I654="OPEN",$B654&lt;&gt;""),IF('설정 Settings'!$C$15-$B654&gt;='설정 Settings'!$C$62,"후속 연락 필요",""),"")</f>
      </c>
    </row>
    <row r="655" spans="15:17" x14ac:dyDescent="0.25">
      <c r="O655" s="40">
        <f>IF(AND($L655="Y",$J655&lt;&gt;""),$J655+'설정 Settings'!$C$18,"")</f>
      </c>
      <c r="P655" s="41">
        <f>IF($H655="","",$H655-ROUND(IFERROR($H655*VLOOKUP($G655,'설정 Settings'!$A$122:$F$130,4,0)+VLOOKUP($G655,'설정 Settings'!$A$122:$F$130,5,0),0),2))</f>
      </c>
      <c r="Q655" s="42">
        <f>IF(AND($I655="OPEN",$B655&lt;&gt;""),IF('설정 Settings'!$C$15-$B655&gt;='설정 Settings'!$C$62,"후속 연락 필요",""),"")</f>
      </c>
    </row>
    <row r="656" spans="15:17" x14ac:dyDescent="0.25">
      <c r="O656" s="40">
        <f>IF(AND($L656="Y",$J656&lt;&gt;""),$J656+'설정 Settings'!$C$18,"")</f>
      </c>
      <c r="P656" s="41">
        <f>IF($H656="","",$H656-ROUND(IFERROR($H656*VLOOKUP($G656,'설정 Settings'!$A$122:$F$130,4,0)+VLOOKUP($G656,'설정 Settings'!$A$122:$F$130,5,0),0),2))</f>
      </c>
      <c r="Q656" s="42">
        <f>IF(AND($I656="OPEN",$B656&lt;&gt;""),IF('설정 Settings'!$C$15-$B656&gt;='설정 Settings'!$C$62,"후속 연락 필요",""),"")</f>
      </c>
    </row>
    <row r="657" spans="15:17" x14ac:dyDescent="0.25">
      <c r="O657" s="40">
        <f>IF(AND($L657="Y",$J657&lt;&gt;""),$J657+'설정 Settings'!$C$18,"")</f>
      </c>
      <c r="P657" s="41">
        <f>IF($H657="","",$H657-ROUND(IFERROR($H657*VLOOKUP($G657,'설정 Settings'!$A$122:$F$130,4,0)+VLOOKUP($G657,'설정 Settings'!$A$122:$F$130,5,0),0),2))</f>
      </c>
      <c r="Q657" s="42">
        <f>IF(AND($I657="OPEN",$B657&lt;&gt;""),IF('설정 Settings'!$C$15-$B657&gt;='설정 Settings'!$C$62,"후속 연락 필요",""),"")</f>
      </c>
    </row>
    <row r="658" spans="15:17" x14ac:dyDescent="0.25">
      <c r="O658" s="40">
        <f>IF(AND($L658="Y",$J658&lt;&gt;""),$J658+'설정 Settings'!$C$18,"")</f>
      </c>
      <c r="P658" s="41">
        <f>IF($H658="","",$H658-ROUND(IFERROR($H658*VLOOKUP($G658,'설정 Settings'!$A$122:$F$130,4,0)+VLOOKUP($G658,'설정 Settings'!$A$122:$F$130,5,0),0),2))</f>
      </c>
      <c r="Q658" s="42">
        <f>IF(AND($I658="OPEN",$B658&lt;&gt;""),IF('설정 Settings'!$C$15-$B658&gt;='설정 Settings'!$C$62,"후속 연락 필요",""),"")</f>
      </c>
    </row>
    <row r="659" spans="15:17" x14ac:dyDescent="0.25">
      <c r="O659" s="40">
        <f>IF(AND($L659="Y",$J659&lt;&gt;""),$J659+'설정 Settings'!$C$18,"")</f>
      </c>
      <c r="P659" s="41">
        <f>IF($H659="","",$H659-ROUND(IFERROR($H659*VLOOKUP($G659,'설정 Settings'!$A$122:$F$130,4,0)+VLOOKUP($G659,'설정 Settings'!$A$122:$F$130,5,0),0),2))</f>
      </c>
      <c r="Q659" s="42">
        <f>IF(AND($I659="OPEN",$B659&lt;&gt;""),IF('설정 Settings'!$C$15-$B659&gt;='설정 Settings'!$C$62,"후속 연락 필요",""),"")</f>
      </c>
    </row>
    <row r="660" spans="15:17" x14ac:dyDescent="0.25">
      <c r="O660" s="40">
        <f>IF(AND($L660="Y",$J660&lt;&gt;""),$J660+'설정 Settings'!$C$18,"")</f>
      </c>
      <c r="P660" s="41">
        <f>IF($H660="","",$H660-ROUND(IFERROR($H660*VLOOKUP($G660,'설정 Settings'!$A$122:$F$130,4,0)+VLOOKUP($G660,'설정 Settings'!$A$122:$F$130,5,0),0),2))</f>
      </c>
      <c r="Q660" s="42">
        <f>IF(AND($I660="OPEN",$B660&lt;&gt;""),IF('설정 Settings'!$C$15-$B660&gt;='설정 Settings'!$C$62,"후속 연락 필요",""),"")</f>
      </c>
    </row>
    <row r="661" spans="15:17" x14ac:dyDescent="0.25">
      <c r="O661" s="40">
        <f>IF(AND($L661="Y",$J661&lt;&gt;""),$J661+'설정 Settings'!$C$18,"")</f>
      </c>
      <c r="P661" s="41">
        <f>IF($H661="","",$H661-ROUND(IFERROR($H661*VLOOKUP($G661,'설정 Settings'!$A$122:$F$130,4,0)+VLOOKUP($G661,'설정 Settings'!$A$122:$F$130,5,0),0),2))</f>
      </c>
      <c r="Q661" s="42">
        <f>IF(AND($I661="OPEN",$B661&lt;&gt;""),IF('설정 Settings'!$C$15-$B661&gt;='설정 Settings'!$C$62,"후속 연락 필요",""),"")</f>
      </c>
    </row>
    <row r="662" spans="15:17" x14ac:dyDescent="0.25">
      <c r="O662" s="40">
        <f>IF(AND($L662="Y",$J662&lt;&gt;""),$J662+'설정 Settings'!$C$18,"")</f>
      </c>
      <c r="P662" s="41">
        <f>IF($H662="","",$H662-ROUND(IFERROR($H662*VLOOKUP($G662,'설정 Settings'!$A$122:$F$130,4,0)+VLOOKUP($G662,'설정 Settings'!$A$122:$F$130,5,0),0),2))</f>
      </c>
      <c r="Q662" s="42">
        <f>IF(AND($I662="OPEN",$B662&lt;&gt;""),IF('설정 Settings'!$C$15-$B662&gt;='설정 Settings'!$C$62,"후속 연락 필요",""),"")</f>
      </c>
    </row>
    <row r="663" spans="15:17" x14ac:dyDescent="0.25">
      <c r="O663" s="40">
        <f>IF(AND($L663="Y",$J663&lt;&gt;""),$J663+'설정 Settings'!$C$18,"")</f>
      </c>
      <c r="P663" s="41">
        <f>IF($H663="","",$H663-ROUND(IFERROR($H663*VLOOKUP($G663,'설정 Settings'!$A$122:$F$130,4,0)+VLOOKUP($G663,'설정 Settings'!$A$122:$F$130,5,0),0),2))</f>
      </c>
      <c r="Q663" s="42">
        <f>IF(AND($I663="OPEN",$B663&lt;&gt;""),IF('설정 Settings'!$C$15-$B663&gt;='설정 Settings'!$C$62,"후속 연락 필요",""),"")</f>
      </c>
    </row>
    <row r="664" spans="15:17" x14ac:dyDescent="0.25">
      <c r="O664" s="40">
        <f>IF(AND($L664="Y",$J664&lt;&gt;""),$J664+'설정 Settings'!$C$18,"")</f>
      </c>
      <c r="P664" s="41">
        <f>IF($H664="","",$H664-ROUND(IFERROR($H664*VLOOKUP($G664,'설정 Settings'!$A$122:$F$130,4,0)+VLOOKUP($G664,'설정 Settings'!$A$122:$F$130,5,0),0),2))</f>
      </c>
      <c r="Q664" s="42">
        <f>IF(AND($I664="OPEN",$B664&lt;&gt;""),IF('설정 Settings'!$C$15-$B664&gt;='설정 Settings'!$C$62,"후속 연락 필요",""),"")</f>
      </c>
    </row>
    <row r="665" spans="15:17" x14ac:dyDescent="0.25">
      <c r="O665" s="40">
        <f>IF(AND($L665="Y",$J665&lt;&gt;""),$J665+'설정 Settings'!$C$18,"")</f>
      </c>
      <c r="P665" s="41">
        <f>IF($H665="","",$H665-ROUND(IFERROR($H665*VLOOKUP($G665,'설정 Settings'!$A$122:$F$130,4,0)+VLOOKUP($G665,'설정 Settings'!$A$122:$F$130,5,0),0),2))</f>
      </c>
      <c r="Q665" s="42">
        <f>IF(AND($I665="OPEN",$B665&lt;&gt;""),IF('설정 Settings'!$C$15-$B665&gt;='설정 Settings'!$C$62,"후속 연락 필요",""),"")</f>
      </c>
    </row>
    <row r="666" spans="15:17" x14ac:dyDescent="0.25">
      <c r="O666" s="40">
        <f>IF(AND($L666="Y",$J666&lt;&gt;""),$J666+'설정 Settings'!$C$18,"")</f>
      </c>
      <c r="P666" s="41">
        <f>IF($H666="","",$H666-ROUND(IFERROR($H666*VLOOKUP($G666,'설정 Settings'!$A$122:$F$130,4,0)+VLOOKUP($G666,'설정 Settings'!$A$122:$F$130,5,0),0),2))</f>
      </c>
      <c r="Q666" s="42">
        <f>IF(AND($I666="OPEN",$B666&lt;&gt;""),IF('설정 Settings'!$C$15-$B666&gt;='설정 Settings'!$C$62,"후속 연락 필요",""),"")</f>
      </c>
    </row>
    <row r="667" spans="15:17" x14ac:dyDescent="0.25">
      <c r="O667" s="40">
        <f>IF(AND($L667="Y",$J667&lt;&gt;""),$J667+'설정 Settings'!$C$18,"")</f>
      </c>
      <c r="P667" s="41">
        <f>IF($H667="","",$H667-ROUND(IFERROR($H667*VLOOKUP($G667,'설정 Settings'!$A$122:$F$130,4,0)+VLOOKUP($G667,'설정 Settings'!$A$122:$F$130,5,0),0),2))</f>
      </c>
      <c r="Q667" s="42">
        <f>IF(AND($I667="OPEN",$B667&lt;&gt;""),IF('설정 Settings'!$C$15-$B667&gt;='설정 Settings'!$C$62,"후속 연락 필요",""),"")</f>
      </c>
    </row>
    <row r="668" spans="15:17" x14ac:dyDescent="0.25">
      <c r="O668" s="40">
        <f>IF(AND($L668="Y",$J668&lt;&gt;""),$J668+'설정 Settings'!$C$18,"")</f>
      </c>
      <c r="P668" s="41">
        <f>IF($H668="","",$H668-ROUND(IFERROR($H668*VLOOKUP($G668,'설정 Settings'!$A$122:$F$130,4,0)+VLOOKUP($G668,'설정 Settings'!$A$122:$F$130,5,0),0),2))</f>
      </c>
      <c r="Q668" s="42">
        <f>IF(AND($I668="OPEN",$B668&lt;&gt;""),IF('설정 Settings'!$C$15-$B668&gt;='설정 Settings'!$C$62,"후속 연락 필요",""),"")</f>
      </c>
    </row>
    <row r="669" spans="15:17" x14ac:dyDescent="0.25">
      <c r="O669" s="40">
        <f>IF(AND($L669="Y",$J669&lt;&gt;""),$J669+'설정 Settings'!$C$18,"")</f>
      </c>
      <c r="P669" s="41">
        <f>IF($H669="","",$H669-ROUND(IFERROR($H669*VLOOKUP($G669,'설정 Settings'!$A$122:$F$130,4,0)+VLOOKUP($G669,'설정 Settings'!$A$122:$F$130,5,0),0),2))</f>
      </c>
      <c r="Q669" s="42">
        <f>IF(AND($I669="OPEN",$B669&lt;&gt;""),IF('설정 Settings'!$C$15-$B669&gt;='설정 Settings'!$C$62,"후속 연락 필요",""),"")</f>
      </c>
    </row>
    <row r="670" spans="15:17" x14ac:dyDescent="0.25">
      <c r="O670" s="40">
        <f>IF(AND($L670="Y",$J670&lt;&gt;""),$J670+'설정 Settings'!$C$18,"")</f>
      </c>
      <c r="P670" s="41">
        <f>IF($H670="","",$H670-ROUND(IFERROR($H670*VLOOKUP($G670,'설정 Settings'!$A$122:$F$130,4,0)+VLOOKUP($G670,'설정 Settings'!$A$122:$F$130,5,0),0),2))</f>
      </c>
      <c r="Q670" s="42">
        <f>IF(AND($I670="OPEN",$B670&lt;&gt;""),IF('설정 Settings'!$C$15-$B670&gt;='설정 Settings'!$C$62,"후속 연락 필요",""),"")</f>
      </c>
    </row>
    <row r="671" spans="15:17" x14ac:dyDescent="0.25">
      <c r="O671" s="40">
        <f>IF(AND($L671="Y",$J671&lt;&gt;""),$J671+'설정 Settings'!$C$18,"")</f>
      </c>
      <c r="P671" s="41">
        <f>IF($H671="","",$H671-ROUND(IFERROR($H671*VLOOKUP($G671,'설정 Settings'!$A$122:$F$130,4,0)+VLOOKUP($G671,'설정 Settings'!$A$122:$F$130,5,0),0),2))</f>
      </c>
      <c r="Q671" s="42">
        <f>IF(AND($I671="OPEN",$B671&lt;&gt;""),IF('설정 Settings'!$C$15-$B671&gt;='설정 Settings'!$C$62,"후속 연락 필요",""),"")</f>
      </c>
    </row>
    <row r="672" spans="15:17" x14ac:dyDescent="0.25">
      <c r="O672" s="40">
        <f>IF(AND($L672="Y",$J672&lt;&gt;""),$J672+'설정 Settings'!$C$18,"")</f>
      </c>
      <c r="P672" s="41">
        <f>IF($H672="","",$H672-ROUND(IFERROR($H672*VLOOKUP($G672,'설정 Settings'!$A$122:$F$130,4,0)+VLOOKUP($G672,'설정 Settings'!$A$122:$F$130,5,0),0),2))</f>
      </c>
      <c r="Q672" s="42">
        <f>IF(AND($I672="OPEN",$B672&lt;&gt;""),IF('설정 Settings'!$C$15-$B672&gt;='설정 Settings'!$C$62,"후속 연락 필요",""),"")</f>
      </c>
    </row>
    <row r="673" spans="15:17" x14ac:dyDescent="0.25">
      <c r="O673" s="40">
        <f>IF(AND($L673="Y",$J673&lt;&gt;""),$J673+'설정 Settings'!$C$18,"")</f>
      </c>
      <c r="P673" s="41">
        <f>IF($H673="","",$H673-ROUND(IFERROR($H673*VLOOKUP($G673,'설정 Settings'!$A$122:$F$130,4,0)+VLOOKUP($G673,'설정 Settings'!$A$122:$F$130,5,0),0),2))</f>
      </c>
      <c r="Q673" s="42">
        <f>IF(AND($I673="OPEN",$B673&lt;&gt;""),IF('설정 Settings'!$C$15-$B673&gt;='설정 Settings'!$C$62,"후속 연락 필요",""),"")</f>
      </c>
    </row>
    <row r="674" spans="15:17" x14ac:dyDescent="0.25">
      <c r="O674" s="40">
        <f>IF(AND($L674="Y",$J674&lt;&gt;""),$J674+'설정 Settings'!$C$18,"")</f>
      </c>
      <c r="P674" s="41">
        <f>IF($H674="","",$H674-ROUND(IFERROR($H674*VLOOKUP($G674,'설정 Settings'!$A$122:$F$130,4,0)+VLOOKUP($G674,'설정 Settings'!$A$122:$F$130,5,0),0),2))</f>
      </c>
      <c r="Q674" s="42">
        <f>IF(AND($I674="OPEN",$B674&lt;&gt;""),IF('설정 Settings'!$C$15-$B674&gt;='설정 Settings'!$C$62,"후속 연락 필요",""),"")</f>
      </c>
    </row>
    <row r="675" spans="15:17" x14ac:dyDescent="0.25">
      <c r="O675" s="40">
        <f>IF(AND($L675="Y",$J675&lt;&gt;""),$J675+'설정 Settings'!$C$18,"")</f>
      </c>
      <c r="P675" s="41">
        <f>IF($H675="","",$H675-ROUND(IFERROR($H675*VLOOKUP($G675,'설정 Settings'!$A$122:$F$130,4,0)+VLOOKUP($G675,'설정 Settings'!$A$122:$F$130,5,0),0),2))</f>
      </c>
      <c r="Q675" s="42">
        <f>IF(AND($I675="OPEN",$B675&lt;&gt;""),IF('설정 Settings'!$C$15-$B675&gt;='설정 Settings'!$C$62,"후속 연락 필요",""),"")</f>
      </c>
    </row>
    <row r="676" spans="15:17" x14ac:dyDescent="0.25">
      <c r="O676" s="40">
        <f>IF(AND($L676="Y",$J676&lt;&gt;""),$J676+'설정 Settings'!$C$18,"")</f>
      </c>
      <c r="P676" s="41">
        <f>IF($H676="","",$H676-ROUND(IFERROR($H676*VLOOKUP($G676,'설정 Settings'!$A$122:$F$130,4,0)+VLOOKUP($G676,'설정 Settings'!$A$122:$F$130,5,0),0),2))</f>
      </c>
      <c r="Q676" s="42">
        <f>IF(AND($I676="OPEN",$B676&lt;&gt;""),IF('설정 Settings'!$C$15-$B676&gt;='설정 Settings'!$C$62,"후속 연락 필요",""),"")</f>
      </c>
    </row>
    <row r="677" spans="15:17" x14ac:dyDescent="0.25">
      <c r="O677" s="40">
        <f>IF(AND($L677="Y",$J677&lt;&gt;""),$J677+'설정 Settings'!$C$18,"")</f>
      </c>
      <c r="P677" s="41">
        <f>IF($H677="","",$H677-ROUND(IFERROR($H677*VLOOKUP($G677,'설정 Settings'!$A$122:$F$130,4,0)+VLOOKUP($G677,'설정 Settings'!$A$122:$F$130,5,0),0),2))</f>
      </c>
      <c r="Q677" s="42">
        <f>IF(AND($I677="OPEN",$B677&lt;&gt;""),IF('설정 Settings'!$C$15-$B677&gt;='설정 Settings'!$C$62,"후속 연락 필요",""),"")</f>
      </c>
    </row>
    <row r="678" spans="15:17" x14ac:dyDescent="0.25">
      <c r="O678" s="40">
        <f>IF(AND($L678="Y",$J678&lt;&gt;""),$J678+'설정 Settings'!$C$18,"")</f>
      </c>
      <c r="P678" s="41">
        <f>IF($H678="","",$H678-ROUND(IFERROR($H678*VLOOKUP($G678,'설정 Settings'!$A$122:$F$130,4,0)+VLOOKUP($G678,'설정 Settings'!$A$122:$F$130,5,0),0),2))</f>
      </c>
      <c r="Q678" s="42">
        <f>IF(AND($I678="OPEN",$B678&lt;&gt;""),IF('설정 Settings'!$C$15-$B678&gt;='설정 Settings'!$C$62,"후속 연락 필요",""),"")</f>
      </c>
    </row>
    <row r="679" spans="15:17" x14ac:dyDescent="0.25">
      <c r="O679" s="40">
        <f>IF(AND($L679="Y",$J679&lt;&gt;""),$J679+'설정 Settings'!$C$18,"")</f>
      </c>
      <c r="P679" s="41">
        <f>IF($H679="","",$H679-ROUND(IFERROR($H679*VLOOKUP($G679,'설정 Settings'!$A$122:$F$130,4,0)+VLOOKUP($G679,'설정 Settings'!$A$122:$F$130,5,0),0),2))</f>
      </c>
      <c r="Q679" s="42">
        <f>IF(AND($I679="OPEN",$B679&lt;&gt;""),IF('설정 Settings'!$C$15-$B679&gt;='설정 Settings'!$C$62,"후속 연락 필요",""),"")</f>
      </c>
    </row>
    <row r="680" spans="15:17" x14ac:dyDescent="0.25">
      <c r="O680" s="40">
        <f>IF(AND($L680="Y",$J680&lt;&gt;""),$J680+'설정 Settings'!$C$18,"")</f>
      </c>
      <c r="P680" s="41">
        <f>IF($H680="","",$H680-ROUND(IFERROR($H680*VLOOKUP($G680,'설정 Settings'!$A$122:$F$130,4,0)+VLOOKUP($G680,'설정 Settings'!$A$122:$F$130,5,0),0),2))</f>
      </c>
      <c r="Q680" s="42">
        <f>IF(AND($I680="OPEN",$B680&lt;&gt;""),IF('설정 Settings'!$C$15-$B680&gt;='설정 Settings'!$C$62,"후속 연락 필요",""),"")</f>
      </c>
    </row>
    <row r="681" spans="15:17" x14ac:dyDescent="0.25">
      <c r="O681" s="40">
        <f>IF(AND($L681="Y",$J681&lt;&gt;""),$J681+'설정 Settings'!$C$18,"")</f>
      </c>
      <c r="P681" s="41">
        <f>IF($H681="","",$H681-ROUND(IFERROR($H681*VLOOKUP($G681,'설정 Settings'!$A$122:$F$130,4,0)+VLOOKUP($G681,'설정 Settings'!$A$122:$F$130,5,0),0),2))</f>
      </c>
      <c r="Q681" s="42">
        <f>IF(AND($I681="OPEN",$B681&lt;&gt;""),IF('설정 Settings'!$C$15-$B681&gt;='설정 Settings'!$C$62,"후속 연락 필요",""),"")</f>
      </c>
    </row>
    <row r="682" spans="15:17" x14ac:dyDescent="0.25">
      <c r="O682" s="40">
        <f>IF(AND($L682="Y",$J682&lt;&gt;""),$J682+'설정 Settings'!$C$18,"")</f>
      </c>
      <c r="P682" s="41">
        <f>IF($H682="","",$H682-ROUND(IFERROR($H682*VLOOKUP($G682,'설정 Settings'!$A$122:$F$130,4,0)+VLOOKUP($G682,'설정 Settings'!$A$122:$F$130,5,0),0),2))</f>
      </c>
      <c r="Q682" s="42">
        <f>IF(AND($I682="OPEN",$B682&lt;&gt;""),IF('설정 Settings'!$C$15-$B682&gt;='설정 Settings'!$C$62,"후속 연락 필요",""),"")</f>
      </c>
    </row>
    <row r="683" spans="15:17" x14ac:dyDescent="0.25">
      <c r="O683" s="40">
        <f>IF(AND($L683="Y",$J683&lt;&gt;""),$J683+'설정 Settings'!$C$18,"")</f>
      </c>
      <c r="P683" s="41">
        <f>IF($H683="","",$H683-ROUND(IFERROR($H683*VLOOKUP($G683,'설정 Settings'!$A$122:$F$130,4,0)+VLOOKUP($G683,'설정 Settings'!$A$122:$F$130,5,0),0),2))</f>
      </c>
      <c r="Q683" s="42">
        <f>IF(AND($I683="OPEN",$B683&lt;&gt;""),IF('설정 Settings'!$C$15-$B683&gt;='설정 Settings'!$C$62,"후속 연락 필요",""),"")</f>
      </c>
    </row>
    <row r="684" spans="15:17" x14ac:dyDescent="0.25">
      <c r="O684" s="40">
        <f>IF(AND($L684="Y",$J684&lt;&gt;""),$J684+'설정 Settings'!$C$18,"")</f>
      </c>
      <c r="P684" s="41">
        <f>IF($H684="","",$H684-ROUND(IFERROR($H684*VLOOKUP($G684,'설정 Settings'!$A$122:$F$130,4,0)+VLOOKUP($G684,'설정 Settings'!$A$122:$F$130,5,0),0),2))</f>
      </c>
      <c r="Q684" s="42">
        <f>IF(AND($I684="OPEN",$B684&lt;&gt;""),IF('설정 Settings'!$C$15-$B684&gt;='설정 Settings'!$C$62,"후속 연락 필요",""),"")</f>
      </c>
    </row>
    <row r="685" spans="15:17" x14ac:dyDescent="0.25">
      <c r="O685" s="40">
        <f>IF(AND($L685="Y",$J685&lt;&gt;""),$J685+'설정 Settings'!$C$18,"")</f>
      </c>
      <c r="P685" s="41">
        <f>IF($H685="","",$H685-ROUND(IFERROR($H685*VLOOKUP($G685,'설정 Settings'!$A$122:$F$130,4,0)+VLOOKUP($G685,'설정 Settings'!$A$122:$F$130,5,0),0),2))</f>
      </c>
      <c r="Q685" s="42">
        <f>IF(AND($I685="OPEN",$B685&lt;&gt;""),IF('설정 Settings'!$C$15-$B685&gt;='설정 Settings'!$C$62,"후속 연락 필요",""),"")</f>
      </c>
    </row>
    <row r="686" spans="15:17" x14ac:dyDescent="0.25">
      <c r="O686" s="40">
        <f>IF(AND($L686="Y",$J686&lt;&gt;""),$J686+'설정 Settings'!$C$18,"")</f>
      </c>
      <c r="P686" s="41">
        <f>IF($H686="","",$H686-ROUND(IFERROR($H686*VLOOKUP($G686,'설정 Settings'!$A$122:$F$130,4,0)+VLOOKUP($G686,'설정 Settings'!$A$122:$F$130,5,0),0),2))</f>
      </c>
      <c r="Q686" s="42">
        <f>IF(AND($I686="OPEN",$B686&lt;&gt;""),IF('설정 Settings'!$C$15-$B686&gt;='설정 Settings'!$C$62,"후속 연락 필요",""),"")</f>
      </c>
    </row>
    <row r="687" spans="15:17" x14ac:dyDescent="0.25">
      <c r="O687" s="40">
        <f>IF(AND($L687="Y",$J687&lt;&gt;""),$J687+'설정 Settings'!$C$18,"")</f>
      </c>
      <c r="P687" s="41">
        <f>IF($H687="","",$H687-ROUND(IFERROR($H687*VLOOKUP($G687,'설정 Settings'!$A$122:$F$130,4,0)+VLOOKUP($G687,'설정 Settings'!$A$122:$F$130,5,0),0),2))</f>
      </c>
      <c r="Q687" s="42">
        <f>IF(AND($I687="OPEN",$B687&lt;&gt;""),IF('설정 Settings'!$C$15-$B687&gt;='설정 Settings'!$C$62,"후속 연락 필요",""),"")</f>
      </c>
    </row>
    <row r="688" spans="15:17" x14ac:dyDescent="0.25">
      <c r="O688" s="40">
        <f>IF(AND($L688="Y",$J688&lt;&gt;""),$J688+'설정 Settings'!$C$18,"")</f>
      </c>
      <c r="P688" s="41">
        <f>IF($H688="","",$H688-ROUND(IFERROR($H688*VLOOKUP($G688,'설정 Settings'!$A$122:$F$130,4,0)+VLOOKUP($G688,'설정 Settings'!$A$122:$F$130,5,0),0),2))</f>
      </c>
      <c r="Q688" s="42">
        <f>IF(AND($I688="OPEN",$B688&lt;&gt;""),IF('설정 Settings'!$C$15-$B688&gt;='설정 Settings'!$C$62,"후속 연락 필요",""),"")</f>
      </c>
    </row>
    <row r="689" spans="15:17" x14ac:dyDescent="0.25">
      <c r="O689" s="40">
        <f>IF(AND($L689="Y",$J689&lt;&gt;""),$J689+'설정 Settings'!$C$18,"")</f>
      </c>
      <c r="P689" s="41">
        <f>IF($H689="","",$H689-ROUND(IFERROR($H689*VLOOKUP($G689,'설정 Settings'!$A$122:$F$130,4,0)+VLOOKUP($G689,'설정 Settings'!$A$122:$F$130,5,0),0),2))</f>
      </c>
      <c r="Q689" s="42">
        <f>IF(AND($I689="OPEN",$B689&lt;&gt;""),IF('설정 Settings'!$C$15-$B689&gt;='설정 Settings'!$C$62,"후속 연락 필요",""),"")</f>
      </c>
    </row>
    <row r="690" spans="15:17" x14ac:dyDescent="0.25">
      <c r="O690" s="40">
        <f>IF(AND($L690="Y",$J690&lt;&gt;""),$J690+'설정 Settings'!$C$18,"")</f>
      </c>
      <c r="P690" s="41">
        <f>IF($H690="","",$H690-ROUND(IFERROR($H690*VLOOKUP($G690,'설정 Settings'!$A$122:$F$130,4,0)+VLOOKUP($G690,'설정 Settings'!$A$122:$F$130,5,0),0),2))</f>
      </c>
      <c r="Q690" s="42">
        <f>IF(AND($I690="OPEN",$B690&lt;&gt;""),IF('설정 Settings'!$C$15-$B690&gt;='설정 Settings'!$C$62,"후속 연락 필요",""),"")</f>
      </c>
    </row>
    <row r="691" spans="15:17" x14ac:dyDescent="0.25">
      <c r="O691" s="40">
        <f>IF(AND($L691="Y",$J691&lt;&gt;""),$J691+'설정 Settings'!$C$18,"")</f>
      </c>
      <c r="P691" s="41">
        <f>IF($H691="","",$H691-ROUND(IFERROR($H691*VLOOKUP($G691,'설정 Settings'!$A$122:$F$130,4,0)+VLOOKUP($G691,'설정 Settings'!$A$122:$F$130,5,0),0),2))</f>
      </c>
      <c r="Q691" s="42">
        <f>IF(AND($I691="OPEN",$B691&lt;&gt;""),IF('설정 Settings'!$C$15-$B691&gt;='설정 Settings'!$C$62,"후속 연락 필요",""),"")</f>
      </c>
    </row>
    <row r="692" spans="15:17" x14ac:dyDescent="0.25">
      <c r="O692" s="40">
        <f>IF(AND($L692="Y",$J692&lt;&gt;""),$J692+'설정 Settings'!$C$18,"")</f>
      </c>
      <c r="P692" s="41">
        <f>IF($H692="","",$H692-ROUND(IFERROR($H692*VLOOKUP($G692,'설정 Settings'!$A$122:$F$130,4,0)+VLOOKUP($G692,'설정 Settings'!$A$122:$F$130,5,0),0),2))</f>
      </c>
      <c r="Q692" s="42">
        <f>IF(AND($I692="OPEN",$B692&lt;&gt;""),IF('설정 Settings'!$C$15-$B692&gt;='설정 Settings'!$C$62,"후속 연락 필요",""),"")</f>
      </c>
    </row>
    <row r="693" spans="15:17" x14ac:dyDescent="0.25">
      <c r="O693" s="40">
        <f>IF(AND($L693="Y",$J693&lt;&gt;""),$J693+'설정 Settings'!$C$18,"")</f>
      </c>
      <c r="P693" s="41">
        <f>IF($H693="","",$H693-ROUND(IFERROR($H693*VLOOKUP($G693,'설정 Settings'!$A$122:$F$130,4,0)+VLOOKUP($G693,'설정 Settings'!$A$122:$F$130,5,0),0),2))</f>
      </c>
      <c r="Q693" s="42">
        <f>IF(AND($I693="OPEN",$B693&lt;&gt;""),IF('설정 Settings'!$C$15-$B693&gt;='설정 Settings'!$C$62,"후속 연락 필요",""),"")</f>
      </c>
    </row>
    <row r="694" spans="15:17" x14ac:dyDescent="0.25">
      <c r="O694" s="40">
        <f>IF(AND($L694="Y",$J694&lt;&gt;""),$J694+'설정 Settings'!$C$18,"")</f>
      </c>
      <c r="P694" s="41">
        <f>IF($H694="","",$H694-ROUND(IFERROR($H694*VLOOKUP($G694,'설정 Settings'!$A$122:$F$130,4,0)+VLOOKUP($G694,'설정 Settings'!$A$122:$F$130,5,0),0),2))</f>
      </c>
      <c r="Q694" s="42">
        <f>IF(AND($I694="OPEN",$B694&lt;&gt;""),IF('설정 Settings'!$C$15-$B694&gt;='설정 Settings'!$C$62,"후속 연락 필요",""),"")</f>
      </c>
    </row>
    <row r="695" spans="15:17" x14ac:dyDescent="0.25">
      <c r="O695" s="40">
        <f>IF(AND($L695="Y",$J695&lt;&gt;""),$J695+'설정 Settings'!$C$18,"")</f>
      </c>
      <c r="P695" s="41">
        <f>IF($H695="","",$H695-ROUND(IFERROR($H695*VLOOKUP($G695,'설정 Settings'!$A$122:$F$130,4,0)+VLOOKUP($G695,'설정 Settings'!$A$122:$F$130,5,0),0),2))</f>
      </c>
      <c r="Q695" s="42">
        <f>IF(AND($I695="OPEN",$B695&lt;&gt;""),IF('설정 Settings'!$C$15-$B695&gt;='설정 Settings'!$C$62,"후속 연락 필요",""),"")</f>
      </c>
    </row>
    <row r="696" spans="15:17" x14ac:dyDescent="0.25">
      <c r="O696" s="40">
        <f>IF(AND($L696="Y",$J696&lt;&gt;""),$J696+'설정 Settings'!$C$18,"")</f>
      </c>
      <c r="P696" s="41">
        <f>IF($H696="","",$H696-ROUND(IFERROR($H696*VLOOKUP($G696,'설정 Settings'!$A$122:$F$130,4,0)+VLOOKUP($G696,'설정 Settings'!$A$122:$F$130,5,0),0),2))</f>
      </c>
      <c r="Q696" s="42">
        <f>IF(AND($I696="OPEN",$B696&lt;&gt;""),IF('설정 Settings'!$C$15-$B696&gt;='설정 Settings'!$C$62,"후속 연락 필요",""),"")</f>
      </c>
    </row>
    <row r="697" spans="15:17" x14ac:dyDescent="0.25">
      <c r="O697" s="40">
        <f>IF(AND($L697="Y",$J697&lt;&gt;""),$J697+'설정 Settings'!$C$18,"")</f>
      </c>
      <c r="P697" s="41">
        <f>IF($H697="","",$H697-ROUND(IFERROR($H697*VLOOKUP($G697,'설정 Settings'!$A$122:$F$130,4,0)+VLOOKUP($G697,'설정 Settings'!$A$122:$F$130,5,0),0),2))</f>
      </c>
      <c r="Q697" s="42">
        <f>IF(AND($I697="OPEN",$B697&lt;&gt;""),IF('설정 Settings'!$C$15-$B697&gt;='설정 Settings'!$C$62,"후속 연락 필요",""),"")</f>
      </c>
    </row>
    <row r="698" spans="15:17" x14ac:dyDescent="0.25">
      <c r="O698" s="40">
        <f>IF(AND($L698="Y",$J698&lt;&gt;""),$J698+'설정 Settings'!$C$18,"")</f>
      </c>
      <c r="P698" s="41">
        <f>IF($H698="","",$H698-ROUND(IFERROR($H698*VLOOKUP($G698,'설정 Settings'!$A$122:$F$130,4,0)+VLOOKUP($G698,'설정 Settings'!$A$122:$F$130,5,0),0),2))</f>
      </c>
      <c r="Q698" s="42">
        <f>IF(AND($I698="OPEN",$B698&lt;&gt;""),IF('설정 Settings'!$C$15-$B698&gt;='설정 Settings'!$C$62,"후속 연락 필요",""),"")</f>
      </c>
    </row>
    <row r="699" spans="15:17" x14ac:dyDescent="0.25">
      <c r="O699" s="40">
        <f>IF(AND($L699="Y",$J699&lt;&gt;""),$J699+'설정 Settings'!$C$18,"")</f>
      </c>
      <c r="P699" s="41">
        <f>IF($H699="","",$H699-ROUND(IFERROR($H699*VLOOKUP($G699,'설정 Settings'!$A$122:$F$130,4,0)+VLOOKUP($G699,'설정 Settings'!$A$122:$F$130,5,0),0),2))</f>
      </c>
      <c r="Q699" s="42">
        <f>IF(AND($I699="OPEN",$B699&lt;&gt;""),IF('설정 Settings'!$C$15-$B699&gt;='설정 Settings'!$C$62,"후속 연락 필요",""),"")</f>
      </c>
    </row>
    <row r="700" spans="15:17" x14ac:dyDescent="0.25">
      <c r="O700" s="40">
        <f>IF(AND($L700="Y",$J700&lt;&gt;""),$J700+'설정 Settings'!$C$18,"")</f>
      </c>
      <c r="P700" s="41">
        <f>IF($H700="","",$H700-ROUND(IFERROR($H700*VLOOKUP($G700,'설정 Settings'!$A$122:$F$130,4,0)+VLOOKUP($G700,'설정 Settings'!$A$122:$F$130,5,0),0),2))</f>
      </c>
      <c r="Q700" s="42">
        <f>IF(AND($I700="OPEN",$B700&lt;&gt;""),IF('설정 Settings'!$C$15-$B700&gt;='설정 Settings'!$C$62,"후속 연락 필요",""),"")</f>
      </c>
    </row>
    <row r="701" spans="15:17" x14ac:dyDescent="0.25">
      <c r="O701" s="40">
        <f>IF(AND($L701="Y",$J701&lt;&gt;""),$J701+'설정 Settings'!$C$18,"")</f>
      </c>
      <c r="P701" s="41">
        <f>IF($H701="","",$H701-ROUND(IFERROR($H701*VLOOKUP($G701,'설정 Settings'!$A$122:$F$130,4,0)+VLOOKUP($G701,'설정 Settings'!$A$122:$F$130,5,0),0),2))</f>
      </c>
      <c r="Q701" s="42">
        <f>IF(AND($I701="OPEN",$B701&lt;&gt;""),IF('설정 Settings'!$C$15-$B701&gt;='설정 Settings'!$C$62,"후속 연락 필요",""),"")</f>
      </c>
    </row>
    <row r="702" spans="15:17" x14ac:dyDescent="0.25">
      <c r="O702" s="40">
        <f>IF(AND($L702="Y",$J702&lt;&gt;""),$J702+'설정 Settings'!$C$18,"")</f>
      </c>
      <c r="P702" s="41">
        <f>IF($H702="","",$H702-ROUND(IFERROR($H702*VLOOKUP($G702,'설정 Settings'!$A$122:$F$130,4,0)+VLOOKUP($G702,'설정 Settings'!$A$122:$F$130,5,0),0),2))</f>
      </c>
      <c r="Q702" s="42">
        <f>IF(AND($I702="OPEN",$B702&lt;&gt;""),IF('설정 Settings'!$C$15-$B702&gt;='설정 Settings'!$C$62,"후속 연락 필요",""),"")</f>
      </c>
    </row>
    <row r="703" spans="15:17" x14ac:dyDescent="0.25">
      <c r="O703" s="40">
        <f>IF(AND($L703="Y",$J703&lt;&gt;""),$J703+'설정 Settings'!$C$18,"")</f>
      </c>
      <c r="P703" s="41">
        <f>IF($H703="","",$H703-ROUND(IFERROR($H703*VLOOKUP($G703,'설정 Settings'!$A$122:$F$130,4,0)+VLOOKUP($G703,'설정 Settings'!$A$122:$F$130,5,0),0),2))</f>
      </c>
      <c r="Q703" s="42">
        <f>IF(AND($I703="OPEN",$B703&lt;&gt;""),IF('설정 Settings'!$C$15-$B703&gt;='설정 Settings'!$C$62,"후속 연락 필요",""),"")</f>
      </c>
    </row>
    <row r="704" spans="15:17" x14ac:dyDescent="0.25">
      <c r="O704" s="40">
        <f>IF(AND($L704="Y",$J704&lt;&gt;""),$J704+'설정 Settings'!$C$18,"")</f>
      </c>
      <c r="P704" s="41">
        <f>IF($H704="","",$H704-ROUND(IFERROR($H704*VLOOKUP($G704,'설정 Settings'!$A$122:$F$130,4,0)+VLOOKUP($G704,'설정 Settings'!$A$122:$F$130,5,0),0),2))</f>
      </c>
      <c r="Q704" s="42">
        <f>IF(AND($I704="OPEN",$B704&lt;&gt;""),IF('설정 Settings'!$C$15-$B704&gt;='설정 Settings'!$C$62,"후속 연락 필요",""),"")</f>
      </c>
    </row>
    <row r="705" spans="15:17" x14ac:dyDescent="0.25">
      <c r="O705" s="40">
        <f>IF(AND($L705="Y",$J705&lt;&gt;""),$J705+'설정 Settings'!$C$18,"")</f>
      </c>
      <c r="P705" s="41">
        <f>IF($H705="","",$H705-ROUND(IFERROR($H705*VLOOKUP($G705,'설정 Settings'!$A$122:$F$130,4,0)+VLOOKUP($G705,'설정 Settings'!$A$122:$F$130,5,0),0),2))</f>
      </c>
      <c r="Q705" s="42">
        <f>IF(AND($I705="OPEN",$B705&lt;&gt;""),IF('설정 Settings'!$C$15-$B705&gt;='설정 Settings'!$C$62,"후속 연락 필요",""),"")</f>
      </c>
    </row>
    <row r="706" spans="15:17" x14ac:dyDescent="0.25">
      <c r="O706" s="40">
        <f>IF(AND($L706="Y",$J706&lt;&gt;""),$J706+'설정 Settings'!$C$18,"")</f>
      </c>
      <c r="P706" s="41">
        <f>IF($H706="","",$H706-ROUND(IFERROR($H706*VLOOKUP($G706,'설정 Settings'!$A$122:$F$130,4,0)+VLOOKUP($G706,'설정 Settings'!$A$122:$F$130,5,0),0),2))</f>
      </c>
      <c r="Q706" s="42">
        <f>IF(AND($I706="OPEN",$B706&lt;&gt;""),IF('설정 Settings'!$C$15-$B706&gt;='설정 Settings'!$C$62,"후속 연락 필요",""),"")</f>
      </c>
    </row>
    <row r="707" spans="15:17" x14ac:dyDescent="0.25">
      <c r="O707" s="40">
        <f>IF(AND($L707="Y",$J707&lt;&gt;""),$J707+'설정 Settings'!$C$18,"")</f>
      </c>
      <c r="P707" s="41">
        <f>IF($H707="","",$H707-ROUND(IFERROR($H707*VLOOKUP($G707,'설정 Settings'!$A$122:$F$130,4,0)+VLOOKUP($G707,'설정 Settings'!$A$122:$F$130,5,0),0),2))</f>
      </c>
      <c r="Q707" s="42">
        <f>IF(AND($I707="OPEN",$B707&lt;&gt;""),IF('설정 Settings'!$C$15-$B707&gt;='설정 Settings'!$C$62,"후속 연락 필요",""),"")</f>
      </c>
    </row>
    <row r="708" spans="15:17" x14ac:dyDescent="0.25">
      <c r="O708" s="40">
        <f>IF(AND($L708="Y",$J708&lt;&gt;""),$J708+'설정 Settings'!$C$18,"")</f>
      </c>
      <c r="P708" s="41">
        <f>IF($H708="","",$H708-ROUND(IFERROR($H708*VLOOKUP($G708,'설정 Settings'!$A$122:$F$130,4,0)+VLOOKUP($G708,'설정 Settings'!$A$122:$F$130,5,0),0),2))</f>
      </c>
      <c r="Q708" s="42">
        <f>IF(AND($I708="OPEN",$B708&lt;&gt;""),IF('설정 Settings'!$C$15-$B708&gt;='설정 Settings'!$C$62,"후속 연락 필요",""),"")</f>
      </c>
    </row>
    <row r="709" spans="15:17" x14ac:dyDescent="0.25">
      <c r="O709" s="40">
        <f>IF(AND($L709="Y",$J709&lt;&gt;""),$J709+'설정 Settings'!$C$18,"")</f>
      </c>
      <c r="P709" s="41">
        <f>IF($H709="","",$H709-ROUND(IFERROR($H709*VLOOKUP($G709,'설정 Settings'!$A$122:$F$130,4,0)+VLOOKUP($G709,'설정 Settings'!$A$122:$F$130,5,0),0),2))</f>
      </c>
      <c r="Q709" s="42">
        <f>IF(AND($I709="OPEN",$B709&lt;&gt;""),IF('설정 Settings'!$C$15-$B709&gt;='설정 Settings'!$C$62,"후속 연락 필요",""),"")</f>
      </c>
    </row>
    <row r="710" spans="15:17" x14ac:dyDescent="0.25">
      <c r="O710" s="40">
        <f>IF(AND($L710="Y",$J710&lt;&gt;""),$J710+'설정 Settings'!$C$18,"")</f>
      </c>
      <c r="P710" s="41">
        <f>IF($H710="","",$H710-ROUND(IFERROR($H710*VLOOKUP($G710,'설정 Settings'!$A$122:$F$130,4,0)+VLOOKUP($G710,'설정 Settings'!$A$122:$F$130,5,0),0),2))</f>
      </c>
      <c r="Q710" s="42">
        <f>IF(AND($I710="OPEN",$B710&lt;&gt;""),IF('설정 Settings'!$C$15-$B710&gt;='설정 Settings'!$C$62,"후속 연락 필요",""),"")</f>
      </c>
    </row>
    <row r="711" spans="15:17" x14ac:dyDescent="0.25">
      <c r="O711" s="40">
        <f>IF(AND($L711="Y",$J711&lt;&gt;""),$J711+'설정 Settings'!$C$18,"")</f>
      </c>
      <c r="P711" s="41">
        <f>IF($H711="","",$H711-ROUND(IFERROR($H711*VLOOKUP($G711,'설정 Settings'!$A$122:$F$130,4,0)+VLOOKUP($G711,'설정 Settings'!$A$122:$F$130,5,0),0),2))</f>
      </c>
      <c r="Q711" s="42">
        <f>IF(AND($I711="OPEN",$B711&lt;&gt;""),IF('설정 Settings'!$C$15-$B711&gt;='설정 Settings'!$C$62,"후속 연락 필요",""),"")</f>
      </c>
    </row>
    <row r="712" spans="15:17" x14ac:dyDescent="0.25">
      <c r="O712" s="40">
        <f>IF(AND($L712="Y",$J712&lt;&gt;""),$J712+'설정 Settings'!$C$18,"")</f>
      </c>
      <c r="P712" s="41">
        <f>IF($H712="","",$H712-ROUND(IFERROR($H712*VLOOKUP($G712,'설정 Settings'!$A$122:$F$130,4,0)+VLOOKUP($G712,'설정 Settings'!$A$122:$F$130,5,0),0),2))</f>
      </c>
      <c r="Q712" s="42">
        <f>IF(AND($I712="OPEN",$B712&lt;&gt;""),IF('설정 Settings'!$C$15-$B712&gt;='설정 Settings'!$C$62,"후속 연락 필요",""),"")</f>
      </c>
    </row>
    <row r="713" spans="15:17" x14ac:dyDescent="0.25">
      <c r="O713" s="40">
        <f>IF(AND($L713="Y",$J713&lt;&gt;""),$J713+'설정 Settings'!$C$18,"")</f>
      </c>
      <c r="P713" s="41">
        <f>IF($H713="","",$H713-ROUND(IFERROR($H713*VLOOKUP($G713,'설정 Settings'!$A$122:$F$130,4,0)+VLOOKUP($G713,'설정 Settings'!$A$122:$F$130,5,0),0),2))</f>
      </c>
      <c r="Q713" s="42">
        <f>IF(AND($I713="OPEN",$B713&lt;&gt;""),IF('설정 Settings'!$C$15-$B713&gt;='설정 Settings'!$C$62,"후속 연락 필요",""),"")</f>
      </c>
    </row>
    <row r="714" spans="15:17" x14ac:dyDescent="0.25">
      <c r="O714" s="40">
        <f>IF(AND($L714="Y",$J714&lt;&gt;""),$J714+'설정 Settings'!$C$18,"")</f>
      </c>
      <c r="P714" s="41">
        <f>IF($H714="","",$H714-ROUND(IFERROR($H714*VLOOKUP($G714,'설정 Settings'!$A$122:$F$130,4,0)+VLOOKUP($G714,'설정 Settings'!$A$122:$F$130,5,0),0),2))</f>
      </c>
      <c r="Q714" s="42">
        <f>IF(AND($I714="OPEN",$B714&lt;&gt;""),IF('설정 Settings'!$C$15-$B714&gt;='설정 Settings'!$C$62,"후속 연락 필요",""),"")</f>
      </c>
    </row>
    <row r="715" spans="15:17" x14ac:dyDescent="0.25">
      <c r="O715" s="40">
        <f>IF(AND($L715="Y",$J715&lt;&gt;""),$J715+'설정 Settings'!$C$18,"")</f>
      </c>
      <c r="P715" s="41">
        <f>IF($H715="","",$H715-ROUND(IFERROR($H715*VLOOKUP($G715,'설정 Settings'!$A$122:$F$130,4,0)+VLOOKUP($G715,'설정 Settings'!$A$122:$F$130,5,0),0),2))</f>
      </c>
      <c r="Q715" s="42">
        <f>IF(AND($I715="OPEN",$B715&lt;&gt;""),IF('설정 Settings'!$C$15-$B715&gt;='설정 Settings'!$C$62,"후속 연락 필요",""),"")</f>
      </c>
    </row>
    <row r="716" spans="15:17" x14ac:dyDescent="0.25">
      <c r="O716" s="40">
        <f>IF(AND($L716="Y",$J716&lt;&gt;""),$J716+'설정 Settings'!$C$18,"")</f>
      </c>
      <c r="P716" s="41">
        <f>IF($H716="","",$H716-ROUND(IFERROR($H716*VLOOKUP($G716,'설정 Settings'!$A$122:$F$130,4,0)+VLOOKUP($G716,'설정 Settings'!$A$122:$F$130,5,0),0),2))</f>
      </c>
      <c r="Q716" s="42">
        <f>IF(AND($I716="OPEN",$B716&lt;&gt;""),IF('설정 Settings'!$C$15-$B716&gt;='설정 Settings'!$C$62,"후속 연락 필요",""),"")</f>
      </c>
    </row>
    <row r="717" spans="15:17" x14ac:dyDescent="0.25">
      <c r="O717" s="40">
        <f>IF(AND($L717="Y",$J717&lt;&gt;""),$J717+'설정 Settings'!$C$18,"")</f>
      </c>
      <c r="P717" s="41">
        <f>IF($H717="","",$H717-ROUND(IFERROR($H717*VLOOKUP($G717,'설정 Settings'!$A$122:$F$130,4,0)+VLOOKUP($G717,'설정 Settings'!$A$122:$F$130,5,0),0),2))</f>
      </c>
      <c r="Q717" s="42">
        <f>IF(AND($I717="OPEN",$B717&lt;&gt;""),IF('설정 Settings'!$C$15-$B717&gt;='설정 Settings'!$C$62,"후속 연락 필요",""),"")</f>
      </c>
    </row>
    <row r="718" spans="15:17" x14ac:dyDescent="0.25">
      <c r="O718" s="40">
        <f>IF(AND($L718="Y",$J718&lt;&gt;""),$J718+'설정 Settings'!$C$18,"")</f>
      </c>
      <c r="P718" s="41">
        <f>IF($H718="","",$H718-ROUND(IFERROR($H718*VLOOKUP($G718,'설정 Settings'!$A$122:$F$130,4,0)+VLOOKUP($G718,'설정 Settings'!$A$122:$F$130,5,0),0),2))</f>
      </c>
      <c r="Q718" s="42">
        <f>IF(AND($I718="OPEN",$B718&lt;&gt;""),IF('설정 Settings'!$C$15-$B718&gt;='설정 Settings'!$C$62,"후속 연락 필요",""),"")</f>
      </c>
    </row>
    <row r="719" spans="15:17" x14ac:dyDescent="0.25">
      <c r="O719" s="40">
        <f>IF(AND($L719="Y",$J719&lt;&gt;""),$J719+'설정 Settings'!$C$18,"")</f>
      </c>
      <c r="P719" s="41">
        <f>IF($H719="","",$H719-ROUND(IFERROR($H719*VLOOKUP($G719,'설정 Settings'!$A$122:$F$130,4,0)+VLOOKUP($G719,'설정 Settings'!$A$122:$F$130,5,0),0),2))</f>
      </c>
      <c r="Q719" s="42">
        <f>IF(AND($I719="OPEN",$B719&lt;&gt;""),IF('설정 Settings'!$C$15-$B719&gt;='설정 Settings'!$C$62,"후속 연락 필요",""),"")</f>
      </c>
    </row>
    <row r="720" spans="15:17" x14ac:dyDescent="0.25">
      <c r="O720" s="40">
        <f>IF(AND($L720="Y",$J720&lt;&gt;""),$J720+'설정 Settings'!$C$18,"")</f>
      </c>
      <c r="P720" s="41">
        <f>IF($H720="","",$H720-ROUND(IFERROR($H720*VLOOKUP($G720,'설정 Settings'!$A$122:$F$130,4,0)+VLOOKUP($G720,'설정 Settings'!$A$122:$F$130,5,0),0),2))</f>
      </c>
      <c r="Q720" s="42">
        <f>IF(AND($I720="OPEN",$B720&lt;&gt;""),IF('설정 Settings'!$C$15-$B720&gt;='설정 Settings'!$C$62,"후속 연락 필요",""),"")</f>
      </c>
    </row>
    <row r="721" spans="15:17" x14ac:dyDescent="0.25">
      <c r="O721" s="40">
        <f>IF(AND($L721="Y",$J721&lt;&gt;""),$J721+'설정 Settings'!$C$18,"")</f>
      </c>
      <c r="P721" s="41">
        <f>IF($H721="","",$H721-ROUND(IFERROR($H721*VLOOKUP($G721,'설정 Settings'!$A$122:$F$130,4,0)+VLOOKUP($G721,'설정 Settings'!$A$122:$F$130,5,0),0),2))</f>
      </c>
      <c r="Q721" s="42">
        <f>IF(AND($I721="OPEN",$B721&lt;&gt;""),IF('설정 Settings'!$C$15-$B721&gt;='설정 Settings'!$C$62,"후속 연락 필요",""),"")</f>
      </c>
    </row>
    <row r="722" spans="15:17" x14ac:dyDescent="0.25">
      <c r="O722" s="40">
        <f>IF(AND($L722="Y",$J722&lt;&gt;""),$J722+'설정 Settings'!$C$18,"")</f>
      </c>
      <c r="P722" s="41">
        <f>IF($H722="","",$H722-ROUND(IFERROR($H722*VLOOKUP($G722,'설정 Settings'!$A$122:$F$130,4,0)+VLOOKUP($G722,'설정 Settings'!$A$122:$F$130,5,0),0),2))</f>
      </c>
      <c r="Q722" s="42">
        <f>IF(AND($I722="OPEN",$B722&lt;&gt;""),IF('설정 Settings'!$C$15-$B722&gt;='설정 Settings'!$C$62,"후속 연락 필요",""),"")</f>
      </c>
    </row>
    <row r="723" spans="15:17" x14ac:dyDescent="0.25">
      <c r="O723" s="40">
        <f>IF(AND($L723="Y",$J723&lt;&gt;""),$J723+'설정 Settings'!$C$18,"")</f>
      </c>
      <c r="P723" s="41">
        <f>IF($H723="","",$H723-ROUND(IFERROR($H723*VLOOKUP($G723,'설정 Settings'!$A$122:$F$130,4,0)+VLOOKUP($G723,'설정 Settings'!$A$122:$F$130,5,0),0),2))</f>
      </c>
      <c r="Q723" s="42">
        <f>IF(AND($I723="OPEN",$B723&lt;&gt;""),IF('설정 Settings'!$C$15-$B723&gt;='설정 Settings'!$C$62,"후속 연락 필요",""),"")</f>
      </c>
    </row>
    <row r="724" spans="15:17" x14ac:dyDescent="0.25">
      <c r="O724" s="40">
        <f>IF(AND($L724="Y",$J724&lt;&gt;""),$J724+'설정 Settings'!$C$18,"")</f>
      </c>
      <c r="P724" s="41">
        <f>IF($H724="","",$H724-ROUND(IFERROR($H724*VLOOKUP($G724,'설정 Settings'!$A$122:$F$130,4,0)+VLOOKUP($G724,'설정 Settings'!$A$122:$F$130,5,0),0),2))</f>
      </c>
      <c r="Q724" s="42">
        <f>IF(AND($I724="OPEN",$B724&lt;&gt;""),IF('설정 Settings'!$C$15-$B724&gt;='설정 Settings'!$C$62,"후속 연락 필요",""),"")</f>
      </c>
    </row>
    <row r="725" spans="15:17" x14ac:dyDescent="0.25">
      <c r="O725" s="40">
        <f>IF(AND($L725="Y",$J725&lt;&gt;""),$J725+'설정 Settings'!$C$18,"")</f>
      </c>
      <c r="P725" s="41">
        <f>IF($H725="","",$H725-ROUND(IFERROR($H725*VLOOKUP($G725,'설정 Settings'!$A$122:$F$130,4,0)+VLOOKUP($G725,'설정 Settings'!$A$122:$F$130,5,0),0),2))</f>
      </c>
      <c r="Q725" s="42">
        <f>IF(AND($I725="OPEN",$B725&lt;&gt;""),IF('설정 Settings'!$C$15-$B725&gt;='설정 Settings'!$C$62,"후속 연락 필요",""),"")</f>
      </c>
    </row>
    <row r="726" spans="15:17" x14ac:dyDescent="0.25">
      <c r="O726" s="40">
        <f>IF(AND($L726="Y",$J726&lt;&gt;""),$J726+'설정 Settings'!$C$18,"")</f>
      </c>
      <c r="P726" s="41">
        <f>IF($H726="","",$H726-ROUND(IFERROR($H726*VLOOKUP($G726,'설정 Settings'!$A$122:$F$130,4,0)+VLOOKUP($G726,'설정 Settings'!$A$122:$F$130,5,0),0),2))</f>
      </c>
      <c r="Q726" s="42">
        <f>IF(AND($I726="OPEN",$B726&lt;&gt;""),IF('설정 Settings'!$C$15-$B726&gt;='설정 Settings'!$C$62,"후속 연락 필요",""),"")</f>
      </c>
    </row>
    <row r="727" spans="15:17" x14ac:dyDescent="0.25">
      <c r="O727" s="40">
        <f>IF(AND($L727="Y",$J727&lt;&gt;""),$J727+'설정 Settings'!$C$18,"")</f>
      </c>
      <c r="P727" s="41">
        <f>IF($H727="","",$H727-ROUND(IFERROR($H727*VLOOKUP($G727,'설정 Settings'!$A$122:$F$130,4,0)+VLOOKUP($G727,'설정 Settings'!$A$122:$F$130,5,0),0),2))</f>
      </c>
      <c r="Q727" s="42">
        <f>IF(AND($I727="OPEN",$B727&lt;&gt;""),IF('설정 Settings'!$C$15-$B727&gt;='설정 Settings'!$C$62,"후속 연락 필요",""),"")</f>
      </c>
    </row>
    <row r="728" spans="15:17" x14ac:dyDescent="0.25">
      <c r="O728" s="40">
        <f>IF(AND($L728="Y",$J728&lt;&gt;""),$J728+'설정 Settings'!$C$18,"")</f>
      </c>
      <c r="P728" s="41">
        <f>IF($H728="","",$H728-ROUND(IFERROR($H728*VLOOKUP($G728,'설정 Settings'!$A$122:$F$130,4,0)+VLOOKUP($G728,'설정 Settings'!$A$122:$F$130,5,0),0),2))</f>
      </c>
      <c r="Q728" s="42">
        <f>IF(AND($I728="OPEN",$B728&lt;&gt;""),IF('설정 Settings'!$C$15-$B728&gt;='설정 Settings'!$C$62,"후속 연락 필요",""),"")</f>
      </c>
    </row>
    <row r="729" spans="15:17" x14ac:dyDescent="0.25">
      <c r="O729" s="40">
        <f>IF(AND($L729="Y",$J729&lt;&gt;""),$J729+'설정 Settings'!$C$18,"")</f>
      </c>
      <c r="P729" s="41">
        <f>IF($H729="","",$H729-ROUND(IFERROR($H729*VLOOKUP($G729,'설정 Settings'!$A$122:$F$130,4,0)+VLOOKUP($G729,'설정 Settings'!$A$122:$F$130,5,0),0),2))</f>
      </c>
      <c r="Q729" s="42">
        <f>IF(AND($I729="OPEN",$B729&lt;&gt;""),IF('설정 Settings'!$C$15-$B729&gt;='설정 Settings'!$C$62,"후속 연락 필요",""),"")</f>
      </c>
    </row>
    <row r="730" spans="15:17" x14ac:dyDescent="0.25">
      <c r="O730" s="40">
        <f>IF(AND($L730="Y",$J730&lt;&gt;""),$J730+'설정 Settings'!$C$18,"")</f>
      </c>
      <c r="P730" s="41">
        <f>IF($H730="","",$H730-ROUND(IFERROR($H730*VLOOKUP($G730,'설정 Settings'!$A$122:$F$130,4,0)+VLOOKUP($G730,'설정 Settings'!$A$122:$F$130,5,0),0),2))</f>
      </c>
      <c r="Q730" s="42">
        <f>IF(AND($I730="OPEN",$B730&lt;&gt;""),IF('설정 Settings'!$C$15-$B730&gt;='설정 Settings'!$C$62,"후속 연락 필요",""),"")</f>
      </c>
    </row>
    <row r="731" spans="15:17" x14ac:dyDescent="0.25">
      <c r="O731" s="40">
        <f>IF(AND($L731="Y",$J731&lt;&gt;""),$J731+'설정 Settings'!$C$18,"")</f>
      </c>
      <c r="P731" s="41">
        <f>IF($H731="","",$H731-ROUND(IFERROR($H731*VLOOKUP($G731,'설정 Settings'!$A$122:$F$130,4,0)+VLOOKUP($G731,'설정 Settings'!$A$122:$F$130,5,0),0),2))</f>
      </c>
      <c r="Q731" s="42">
        <f>IF(AND($I731="OPEN",$B731&lt;&gt;""),IF('설정 Settings'!$C$15-$B731&gt;='설정 Settings'!$C$62,"후속 연락 필요",""),"")</f>
      </c>
    </row>
    <row r="732" spans="15:17" x14ac:dyDescent="0.25">
      <c r="O732" s="40">
        <f>IF(AND($L732="Y",$J732&lt;&gt;""),$J732+'설정 Settings'!$C$18,"")</f>
      </c>
      <c r="P732" s="41">
        <f>IF($H732="","",$H732-ROUND(IFERROR($H732*VLOOKUP($G732,'설정 Settings'!$A$122:$F$130,4,0)+VLOOKUP($G732,'설정 Settings'!$A$122:$F$130,5,0),0),2))</f>
      </c>
      <c r="Q732" s="42">
        <f>IF(AND($I732="OPEN",$B732&lt;&gt;""),IF('설정 Settings'!$C$15-$B732&gt;='설정 Settings'!$C$62,"후속 연락 필요",""),"")</f>
      </c>
    </row>
    <row r="733" spans="15:17" x14ac:dyDescent="0.25">
      <c r="O733" s="40">
        <f>IF(AND($L733="Y",$J733&lt;&gt;""),$J733+'설정 Settings'!$C$18,"")</f>
      </c>
      <c r="P733" s="41">
        <f>IF($H733="","",$H733-ROUND(IFERROR($H733*VLOOKUP($G733,'설정 Settings'!$A$122:$F$130,4,0)+VLOOKUP($G733,'설정 Settings'!$A$122:$F$130,5,0),0),2))</f>
      </c>
      <c r="Q733" s="42">
        <f>IF(AND($I733="OPEN",$B733&lt;&gt;""),IF('설정 Settings'!$C$15-$B733&gt;='설정 Settings'!$C$62,"후속 연락 필요",""),"")</f>
      </c>
    </row>
    <row r="734" spans="15:17" x14ac:dyDescent="0.25">
      <c r="O734" s="40">
        <f>IF(AND($L734="Y",$J734&lt;&gt;""),$J734+'설정 Settings'!$C$18,"")</f>
      </c>
      <c r="P734" s="41">
        <f>IF($H734="","",$H734-ROUND(IFERROR($H734*VLOOKUP($G734,'설정 Settings'!$A$122:$F$130,4,0)+VLOOKUP($G734,'설정 Settings'!$A$122:$F$130,5,0),0),2))</f>
      </c>
      <c r="Q734" s="42">
        <f>IF(AND($I734="OPEN",$B734&lt;&gt;""),IF('설정 Settings'!$C$15-$B734&gt;='설정 Settings'!$C$62,"후속 연락 필요",""),"")</f>
      </c>
    </row>
    <row r="735" spans="15:17" x14ac:dyDescent="0.25">
      <c r="O735" s="40">
        <f>IF(AND($L735="Y",$J735&lt;&gt;""),$J735+'설정 Settings'!$C$18,"")</f>
      </c>
      <c r="P735" s="41">
        <f>IF($H735="","",$H735-ROUND(IFERROR($H735*VLOOKUP($G735,'설정 Settings'!$A$122:$F$130,4,0)+VLOOKUP($G735,'설정 Settings'!$A$122:$F$130,5,0),0),2))</f>
      </c>
      <c r="Q735" s="42">
        <f>IF(AND($I735="OPEN",$B735&lt;&gt;""),IF('설정 Settings'!$C$15-$B735&gt;='설정 Settings'!$C$62,"후속 연락 필요",""),"")</f>
      </c>
    </row>
    <row r="736" spans="15:17" x14ac:dyDescent="0.25">
      <c r="O736" s="40">
        <f>IF(AND($L736="Y",$J736&lt;&gt;""),$J736+'설정 Settings'!$C$18,"")</f>
      </c>
      <c r="P736" s="41">
        <f>IF($H736="","",$H736-ROUND(IFERROR($H736*VLOOKUP($G736,'설정 Settings'!$A$122:$F$130,4,0)+VLOOKUP($G736,'설정 Settings'!$A$122:$F$130,5,0),0),2))</f>
      </c>
      <c r="Q736" s="42">
        <f>IF(AND($I736="OPEN",$B736&lt;&gt;""),IF('설정 Settings'!$C$15-$B736&gt;='설정 Settings'!$C$62,"후속 연락 필요",""),"")</f>
      </c>
    </row>
    <row r="737" spans="15:17" x14ac:dyDescent="0.25">
      <c r="O737" s="40">
        <f>IF(AND($L737="Y",$J737&lt;&gt;""),$J737+'설정 Settings'!$C$18,"")</f>
      </c>
      <c r="P737" s="41">
        <f>IF($H737="","",$H737-ROUND(IFERROR($H737*VLOOKUP($G737,'설정 Settings'!$A$122:$F$130,4,0)+VLOOKUP($G737,'설정 Settings'!$A$122:$F$130,5,0),0),2))</f>
      </c>
      <c r="Q737" s="42">
        <f>IF(AND($I737="OPEN",$B737&lt;&gt;""),IF('설정 Settings'!$C$15-$B737&gt;='설정 Settings'!$C$62,"후속 연락 필요",""),"")</f>
      </c>
    </row>
    <row r="738" spans="15:17" x14ac:dyDescent="0.25">
      <c r="O738" s="40">
        <f>IF(AND($L738="Y",$J738&lt;&gt;""),$J738+'설정 Settings'!$C$18,"")</f>
      </c>
      <c r="P738" s="41">
        <f>IF($H738="","",$H738-ROUND(IFERROR($H738*VLOOKUP($G738,'설정 Settings'!$A$122:$F$130,4,0)+VLOOKUP($G738,'설정 Settings'!$A$122:$F$130,5,0),0),2))</f>
      </c>
      <c r="Q738" s="42">
        <f>IF(AND($I738="OPEN",$B738&lt;&gt;""),IF('설정 Settings'!$C$15-$B738&gt;='설정 Settings'!$C$62,"후속 연락 필요",""),"")</f>
      </c>
    </row>
    <row r="739" spans="15:17" x14ac:dyDescent="0.25">
      <c r="O739" s="40">
        <f>IF(AND($L739="Y",$J739&lt;&gt;""),$J739+'설정 Settings'!$C$18,"")</f>
      </c>
      <c r="P739" s="41">
        <f>IF($H739="","",$H739-ROUND(IFERROR($H739*VLOOKUP($G739,'설정 Settings'!$A$122:$F$130,4,0)+VLOOKUP($G739,'설정 Settings'!$A$122:$F$130,5,0),0),2))</f>
      </c>
      <c r="Q739" s="42">
        <f>IF(AND($I739="OPEN",$B739&lt;&gt;""),IF('설정 Settings'!$C$15-$B739&gt;='설정 Settings'!$C$62,"후속 연락 필요",""),"")</f>
      </c>
    </row>
    <row r="740" spans="15:17" x14ac:dyDescent="0.25">
      <c r="O740" s="40">
        <f>IF(AND($L740="Y",$J740&lt;&gt;""),$J740+'설정 Settings'!$C$18,"")</f>
      </c>
      <c r="P740" s="41">
        <f>IF($H740="","",$H740-ROUND(IFERROR($H740*VLOOKUP($G740,'설정 Settings'!$A$122:$F$130,4,0)+VLOOKUP($G740,'설정 Settings'!$A$122:$F$130,5,0),0),2))</f>
      </c>
      <c r="Q740" s="42">
        <f>IF(AND($I740="OPEN",$B740&lt;&gt;""),IF('설정 Settings'!$C$15-$B740&gt;='설정 Settings'!$C$62,"후속 연락 필요",""),"")</f>
      </c>
    </row>
    <row r="741" spans="15:17" x14ac:dyDescent="0.25">
      <c r="O741" s="40">
        <f>IF(AND($L741="Y",$J741&lt;&gt;""),$J741+'설정 Settings'!$C$18,"")</f>
      </c>
      <c r="P741" s="41">
        <f>IF($H741="","",$H741-ROUND(IFERROR($H741*VLOOKUP($G741,'설정 Settings'!$A$122:$F$130,4,0)+VLOOKUP($G741,'설정 Settings'!$A$122:$F$130,5,0),0),2))</f>
      </c>
      <c r="Q741" s="42">
        <f>IF(AND($I741="OPEN",$B741&lt;&gt;""),IF('설정 Settings'!$C$15-$B741&gt;='설정 Settings'!$C$62,"후속 연락 필요",""),"")</f>
      </c>
    </row>
    <row r="742" spans="15:17" x14ac:dyDescent="0.25">
      <c r="O742" s="40">
        <f>IF(AND($L742="Y",$J742&lt;&gt;""),$J742+'설정 Settings'!$C$18,"")</f>
      </c>
      <c r="P742" s="41">
        <f>IF($H742="","",$H742-ROUND(IFERROR($H742*VLOOKUP($G742,'설정 Settings'!$A$122:$F$130,4,0)+VLOOKUP($G742,'설정 Settings'!$A$122:$F$130,5,0),0),2))</f>
      </c>
      <c r="Q742" s="42">
        <f>IF(AND($I742="OPEN",$B742&lt;&gt;""),IF('설정 Settings'!$C$15-$B742&gt;='설정 Settings'!$C$62,"후속 연락 필요",""),"")</f>
      </c>
    </row>
    <row r="743" spans="15:17" x14ac:dyDescent="0.25">
      <c r="O743" s="40">
        <f>IF(AND($L743="Y",$J743&lt;&gt;""),$J743+'설정 Settings'!$C$18,"")</f>
      </c>
      <c r="P743" s="41">
        <f>IF($H743="","",$H743-ROUND(IFERROR($H743*VLOOKUP($G743,'설정 Settings'!$A$122:$F$130,4,0)+VLOOKUP($G743,'설정 Settings'!$A$122:$F$130,5,0),0),2))</f>
      </c>
      <c r="Q743" s="42">
        <f>IF(AND($I743="OPEN",$B743&lt;&gt;""),IF('설정 Settings'!$C$15-$B743&gt;='설정 Settings'!$C$62,"후속 연락 필요",""),"")</f>
      </c>
    </row>
    <row r="744" spans="15:17" x14ac:dyDescent="0.25">
      <c r="O744" s="40">
        <f>IF(AND($L744="Y",$J744&lt;&gt;""),$J744+'설정 Settings'!$C$18,"")</f>
      </c>
      <c r="P744" s="41">
        <f>IF($H744="","",$H744-ROUND(IFERROR($H744*VLOOKUP($G744,'설정 Settings'!$A$122:$F$130,4,0)+VLOOKUP($G744,'설정 Settings'!$A$122:$F$130,5,0),0),2))</f>
      </c>
      <c r="Q744" s="42">
        <f>IF(AND($I744="OPEN",$B744&lt;&gt;""),IF('설정 Settings'!$C$15-$B744&gt;='설정 Settings'!$C$62,"후속 연락 필요",""),"")</f>
      </c>
    </row>
    <row r="745" spans="15:17" x14ac:dyDescent="0.25">
      <c r="O745" s="40">
        <f>IF(AND($L745="Y",$J745&lt;&gt;""),$J745+'설정 Settings'!$C$18,"")</f>
      </c>
      <c r="P745" s="41">
        <f>IF($H745="","",$H745-ROUND(IFERROR($H745*VLOOKUP($G745,'설정 Settings'!$A$122:$F$130,4,0)+VLOOKUP($G745,'설정 Settings'!$A$122:$F$130,5,0),0),2))</f>
      </c>
      <c r="Q745" s="42">
        <f>IF(AND($I745="OPEN",$B745&lt;&gt;""),IF('설정 Settings'!$C$15-$B745&gt;='설정 Settings'!$C$62,"후속 연락 필요",""),"")</f>
      </c>
    </row>
    <row r="746" spans="15:17" x14ac:dyDescent="0.25">
      <c r="O746" s="40">
        <f>IF(AND($L746="Y",$J746&lt;&gt;""),$J746+'설정 Settings'!$C$18,"")</f>
      </c>
      <c r="P746" s="41">
        <f>IF($H746="","",$H746-ROUND(IFERROR($H746*VLOOKUP($G746,'설정 Settings'!$A$122:$F$130,4,0)+VLOOKUP($G746,'설정 Settings'!$A$122:$F$130,5,0),0),2))</f>
      </c>
      <c r="Q746" s="42">
        <f>IF(AND($I746="OPEN",$B746&lt;&gt;""),IF('설정 Settings'!$C$15-$B746&gt;='설정 Settings'!$C$62,"후속 연락 필요",""),"")</f>
      </c>
    </row>
    <row r="747" spans="15:17" x14ac:dyDescent="0.25">
      <c r="O747" s="40">
        <f>IF(AND($L747="Y",$J747&lt;&gt;""),$J747+'설정 Settings'!$C$18,"")</f>
      </c>
      <c r="P747" s="41">
        <f>IF($H747="","",$H747-ROUND(IFERROR($H747*VLOOKUP($G747,'설정 Settings'!$A$122:$F$130,4,0)+VLOOKUP($G747,'설정 Settings'!$A$122:$F$130,5,0),0),2))</f>
      </c>
      <c r="Q747" s="42">
        <f>IF(AND($I747="OPEN",$B747&lt;&gt;""),IF('설정 Settings'!$C$15-$B747&gt;='설정 Settings'!$C$62,"후속 연락 필요",""),"")</f>
      </c>
    </row>
    <row r="748" spans="15:17" x14ac:dyDescent="0.25">
      <c r="O748" s="40">
        <f>IF(AND($L748="Y",$J748&lt;&gt;""),$J748+'설정 Settings'!$C$18,"")</f>
      </c>
      <c r="P748" s="41">
        <f>IF($H748="","",$H748-ROUND(IFERROR($H748*VLOOKUP($G748,'설정 Settings'!$A$122:$F$130,4,0)+VLOOKUP($G748,'설정 Settings'!$A$122:$F$130,5,0),0),2))</f>
      </c>
      <c r="Q748" s="42">
        <f>IF(AND($I748="OPEN",$B748&lt;&gt;""),IF('설정 Settings'!$C$15-$B748&gt;='설정 Settings'!$C$62,"후속 연락 필요",""),"")</f>
      </c>
    </row>
    <row r="749" spans="15:17" x14ac:dyDescent="0.25">
      <c r="O749" s="40">
        <f>IF(AND($L749="Y",$J749&lt;&gt;""),$J749+'설정 Settings'!$C$18,"")</f>
      </c>
      <c r="P749" s="41">
        <f>IF($H749="","",$H749-ROUND(IFERROR($H749*VLOOKUP($G749,'설정 Settings'!$A$122:$F$130,4,0)+VLOOKUP($G749,'설정 Settings'!$A$122:$F$130,5,0),0),2))</f>
      </c>
      <c r="Q749" s="42">
        <f>IF(AND($I749="OPEN",$B749&lt;&gt;""),IF('설정 Settings'!$C$15-$B749&gt;='설정 Settings'!$C$62,"후속 연락 필요",""),"")</f>
      </c>
    </row>
    <row r="750" spans="15:17" x14ac:dyDescent="0.25">
      <c r="O750" s="40">
        <f>IF(AND($L750="Y",$J750&lt;&gt;""),$J750+'설정 Settings'!$C$18,"")</f>
      </c>
      <c r="P750" s="41">
        <f>IF($H750="","",$H750-ROUND(IFERROR($H750*VLOOKUP($G750,'설정 Settings'!$A$122:$F$130,4,0)+VLOOKUP($G750,'설정 Settings'!$A$122:$F$130,5,0),0),2))</f>
      </c>
      <c r="Q750" s="42">
        <f>IF(AND($I750="OPEN",$B750&lt;&gt;""),IF('설정 Settings'!$C$15-$B750&gt;='설정 Settings'!$C$62,"후속 연락 필요",""),"")</f>
      </c>
    </row>
    <row r="751" spans="15:17" x14ac:dyDescent="0.25">
      <c r="O751" s="40">
        <f>IF(AND($L751="Y",$J751&lt;&gt;""),$J751+'설정 Settings'!$C$18,"")</f>
      </c>
      <c r="P751" s="41">
        <f>IF($H751="","",$H751-ROUND(IFERROR($H751*VLOOKUP($G751,'설정 Settings'!$A$122:$F$130,4,0)+VLOOKUP($G751,'설정 Settings'!$A$122:$F$130,5,0),0),2))</f>
      </c>
      <c r="Q751" s="42">
        <f>IF(AND($I751="OPEN",$B751&lt;&gt;""),IF('설정 Settings'!$C$15-$B751&gt;='설정 Settings'!$C$62,"후속 연락 필요",""),"")</f>
      </c>
    </row>
    <row r="752" spans="15:17" x14ac:dyDescent="0.25">
      <c r="O752" s="40">
        <f>IF(AND($L752="Y",$J752&lt;&gt;""),$J752+'설정 Settings'!$C$18,"")</f>
      </c>
      <c r="P752" s="41">
        <f>IF($H752="","",$H752-ROUND(IFERROR($H752*VLOOKUP($G752,'설정 Settings'!$A$122:$F$130,4,0)+VLOOKUP($G752,'설정 Settings'!$A$122:$F$130,5,0),0),2))</f>
      </c>
      <c r="Q752" s="42">
        <f>IF(AND($I752="OPEN",$B752&lt;&gt;""),IF('설정 Settings'!$C$15-$B752&gt;='설정 Settings'!$C$62,"후속 연락 필요",""),"")</f>
      </c>
    </row>
    <row r="753" spans="15:17" x14ac:dyDescent="0.25">
      <c r="O753" s="40">
        <f>IF(AND($L753="Y",$J753&lt;&gt;""),$J753+'설정 Settings'!$C$18,"")</f>
      </c>
      <c r="P753" s="41">
        <f>IF($H753="","",$H753-ROUND(IFERROR($H753*VLOOKUP($G753,'설정 Settings'!$A$122:$F$130,4,0)+VLOOKUP($G753,'설정 Settings'!$A$122:$F$130,5,0),0),2))</f>
      </c>
      <c r="Q753" s="42">
        <f>IF(AND($I753="OPEN",$B753&lt;&gt;""),IF('설정 Settings'!$C$15-$B753&gt;='설정 Settings'!$C$62,"후속 연락 필요",""),"")</f>
      </c>
    </row>
    <row r="754" spans="15:17" x14ac:dyDescent="0.25">
      <c r="O754" s="40">
        <f>IF(AND($L754="Y",$J754&lt;&gt;""),$J754+'설정 Settings'!$C$18,"")</f>
      </c>
      <c r="P754" s="41">
        <f>IF($H754="","",$H754-ROUND(IFERROR($H754*VLOOKUP($G754,'설정 Settings'!$A$122:$F$130,4,0)+VLOOKUP($G754,'설정 Settings'!$A$122:$F$130,5,0),0),2))</f>
      </c>
      <c r="Q754" s="42">
        <f>IF(AND($I754="OPEN",$B754&lt;&gt;""),IF('설정 Settings'!$C$15-$B754&gt;='설정 Settings'!$C$62,"후속 연락 필요",""),"")</f>
      </c>
    </row>
    <row r="755" spans="15:17" x14ac:dyDescent="0.25">
      <c r="O755" s="40">
        <f>IF(AND($L755="Y",$J755&lt;&gt;""),$J755+'설정 Settings'!$C$18,"")</f>
      </c>
      <c r="P755" s="41">
        <f>IF($H755="","",$H755-ROUND(IFERROR($H755*VLOOKUP($G755,'설정 Settings'!$A$122:$F$130,4,0)+VLOOKUP($G755,'설정 Settings'!$A$122:$F$130,5,0),0),2))</f>
      </c>
      <c r="Q755" s="42">
        <f>IF(AND($I755="OPEN",$B755&lt;&gt;""),IF('설정 Settings'!$C$15-$B755&gt;='설정 Settings'!$C$62,"후속 연락 필요",""),"")</f>
      </c>
    </row>
    <row r="756" spans="15:17" x14ac:dyDescent="0.25">
      <c r="O756" s="40">
        <f>IF(AND($L756="Y",$J756&lt;&gt;""),$J756+'설정 Settings'!$C$18,"")</f>
      </c>
      <c r="P756" s="41">
        <f>IF($H756="","",$H756-ROUND(IFERROR($H756*VLOOKUP($G756,'설정 Settings'!$A$122:$F$130,4,0)+VLOOKUP($G756,'설정 Settings'!$A$122:$F$130,5,0),0),2))</f>
      </c>
      <c r="Q756" s="42">
        <f>IF(AND($I756="OPEN",$B756&lt;&gt;""),IF('설정 Settings'!$C$15-$B756&gt;='설정 Settings'!$C$62,"후속 연락 필요",""),"")</f>
      </c>
    </row>
    <row r="757" spans="15:17" x14ac:dyDescent="0.25">
      <c r="O757" s="40">
        <f>IF(AND($L757="Y",$J757&lt;&gt;""),$J757+'설정 Settings'!$C$18,"")</f>
      </c>
      <c r="P757" s="41">
        <f>IF($H757="","",$H757-ROUND(IFERROR($H757*VLOOKUP($G757,'설정 Settings'!$A$122:$F$130,4,0)+VLOOKUP($G757,'설정 Settings'!$A$122:$F$130,5,0),0),2))</f>
      </c>
      <c r="Q757" s="42">
        <f>IF(AND($I757="OPEN",$B757&lt;&gt;""),IF('설정 Settings'!$C$15-$B757&gt;='설정 Settings'!$C$62,"후속 연락 필요",""),"")</f>
      </c>
    </row>
    <row r="758" spans="15:17" x14ac:dyDescent="0.25">
      <c r="O758" s="40">
        <f>IF(AND($L758="Y",$J758&lt;&gt;""),$J758+'설정 Settings'!$C$18,"")</f>
      </c>
      <c r="P758" s="41">
        <f>IF($H758="","",$H758-ROUND(IFERROR($H758*VLOOKUP($G758,'설정 Settings'!$A$122:$F$130,4,0)+VLOOKUP($G758,'설정 Settings'!$A$122:$F$130,5,0),0),2))</f>
      </c>
      <c r="Q758" s="42">
        <f>IF(AND($I758="OPEN",$B758&lt;&gt;""),IF('설정 Settings'!$C$15-$B758&gt;='설정 Settings'!$C$62,"후속 연락 필요",""),"")</f>
      </c>
    </row>
    <row r="759" spans="15:17" x14ac:dyDescent="0.25">
      <c r="O759" s="40">
        <f>IF(AND($L759="Y",$J759&lt;&gt;""),$J759+'설정 Settings'!$C$18,"")</f>
      </c>
      <c r="P759" s="41">
        <f>IF($H759="","",$H759-ROUND(IFERROR($H759*VLOOKUP($G759,'설정 Settings'!$A$122:$F$130,4,0)+VLOOKUP($G759,'설정 Settings'!$A$122:$F$130,5,0),0),2))</f>
      </c>
      <c r="Q759" s="42">
        <f>IF(AND($I759="OPEN",$B759&lt;&gt;""),IF('설정 Settings'!$C$15-$B759&gt;='설정 Settings'!$C$62,"후속 연락 필요",""),"")</f>
      </c>
    </row>
    <row r="760" spans="15:17" x14ac:dyDescent="0.25">
      <c r="O760" s="40">
        <f>IF(AND($L760="Y",$J760&lt;&gt;""),$J760+'설정 Settings'!$C$18,"")</f>
      </c>
      <c r="P760" s="41">
        <f>IF($H760="","",$H760-ROUND(IFERROR($H760*VLOOKUP($G760,'설정 Settings'!$A$122:$F$130,4,0)+VLOOKUP($G760,'설정 Settings'!$A$122:$F$130,5,0),0),2))</f>
      </c>
      <c r="Q760" s="42">
        <f>IF(AND($I760="OPEN",$B760&lt;&gt;""),IF('설정 Settings'!$C$15-$B760&gt;='설정 Settings'!$C$62,"후속 연락 필요",""),"")</f>
      </c>
    </row>
    <row r="761" spans="15:17" x14ac:dyDescent="0.25">
      <c r="O761" s="40">
        <f>IF(AND($L761="Y",$J761&lt;&gt;""),$J761+'설정 Settings'!$C$18,"")</f>
      </c>
      <c r="P761" s="41">
        <f>IF($H761="","",$H761-ROUND(IFERROR($H761*VLOOKUP($G761,'설정 Settings'!$A$122:$F$130,4,0)+VLOOKUP($G761,'설정 Settings'!$A$122:$F$130,5,0),0),2))</f>
      </c>
      <c r="Q761" s="42">
        <f>IF(AND($I761="OPEN",$B761&lt;&gt;""),IF('설정 Settings'!$C$15-$B761&gt;='설정 Settings'!$C$62,"후속 연락 필요",""),"")</f>
      </c>
    </row>
    <row r="762" spans="15:17" x14ac:dyDescent="0.25">
      <c r="O762" s="40">
        <f>IF(AND($L762="Y",$J762&lt;&gt;""),$J762+'설정 Settings'!$C$18,"")</f>
      </c>
      <c r="P762" s="41">
        <f>IF($H762="","",$H762-ROUND(IFERROR($H762*VLOOKUP($G762,'설정 Settings'!$A$122:$F$130,4,0)+VLOOKUP($G762,'설정 Settings'!$A$122:$F$130,5,0),0),2))</f>
      </c>
      <c r="Q762" s="42">
        <f>IF(AND($I762="OPEN",$B762&lt;&gt;""),IF('설정 Settings'!$C$15-$B762&gt;='설정 Settings'!$C$62,"후속 연락 필요",""),"")</f>
      </c>
    </row>
    <row r="763" spans="15:17" x14ac:dyDescent="0.25">
      <c r="O763" s="40">
        <f>IF(AND($L763="Y",$J763&lt;&gt;""),$J763+'설정 Settings'!$C$18,"")</f>
      </c>
      <c r="P763" s="41">
        <f>IF($H763="","",$H763-ROUND(IFERROR($H763*VLOOKUP($G763,'설정 Settings'!$A$122:$F$130,4,0)+VLOOKUP($G763,'설정 Settings'!$A$122:$F$130,5,0),0),2))</f>
      </c>
      <c r="Q763" s="42">
        <f>IF(AND($I763="OPEN",$B763&lt;&gt;""),IF('설정 Settings'!$C$15-$B763&gt;='설정 Settings'!$C$62,"후속 연락 필요",""),"")</f>
      </c>
    </row>
    <row r="764" spans="15:17" x14ac:dyDescent="0.25">
      <c r="O764" s="40">
        <f>IF(AND($L764="Y",$J764&lt;&gt;""),$J764+'설정 Settings'!$C$18,"")</f>
      </c>
      <c r="P764" s="41">
        <f>IF($H764="","",$H764-ROUND(IFERROR($H764*VLOOKUP($G764,'설정 Settings'!$A$122:$F$130,4,0)+VLOOKUP($G764,'설정 Settings'!$A$122:$F$130,5,0),0),2))</f>
      </c>
      <c r="Q764" s="42">
        <f>IF(AND($I764="OPEN",$B764&lt;&gt;""),IF('설정 Settings'!$C$15-$B764&gt;='설정 Settings'!$C$62,"후속 연락 필요",""),"")</f>
      </c>
    </row>
    <row r="765" spans="15:17" x14ac:dyDescent="0.25">
      <c r="O765" s="40">
        <f>IF(AND($L765="Y",$J765&lt;&gt;""),$J765+'설정 Settings'!$C$18,"")</f>
      </c>
      <c r="P765" s="41">
        <f>IF($H765="","",$H765-ROUND(IFERROR($H765*VLOOKUP($G765,'설정 Settings'!$A$122:$F$130,4,0)+VLOOKUP($G765,'설정 Settings'!$A$122:$F$130,5,0),0),2))</f>
      </c>
      <c r="Q765" s="42">
        <f>IF(AND($I765="OPEN",$B765&lt;&gt;""),IF('설정 Settings'!$C$15-$B765&gt;='설정 Settings'!$C$62,"후속 연락 필요",""),"")</f>
      </c>
    </row>
    <row r="766" spans="15:17" x14ac:dyDescent="0.25">
      <c r="O766" s="40">
        <f>IF(AND($L766="Y",$J766&lt;&gt;""),$J766+'설정 Settings'!$C$18,"")</f>
      </c>
      <c r="P766" s="41">
        <f>IF($H766="","",$H766-ROUND(IFERROR($H766*VLOOKUP($G766,'설정 Settings'!$A$122:$F$130,4,0)+VLOOKUP($G766,'설정 Settings'!$A$122:$F$130,5,0),0),2))</f>
      </c>
      <c r="Q766" s="42">
        <f>IF(AND($I766="OPEN",$B766&lt;&gt;""),IF('설정 Settings'!$C$15-$B766&gt;='설정 Settings'!$C$62,"후속 연락 필요",""),"")</f>
      </c>
    </row>
    <row r="767" spans="15:17" x14ac:dyDescent="0.25">
      <c r="O767" s="40">
        <f>IF(AND($L767="Y",$J767&lt;&gt;""),$J767+'설정 Settings'!$C$18,"")</f>
      </c>
      <c r="P767" s="41">
        <f>IF($H767="","",$H767-ROUND(IFERROR($H767*VLOOKUP($G767,'설정 Settings'!$A$122:$F$130,4,0)+VLOOKUP($G767,'설정 Settings'!$A$122:$F$130,5,0),0),2))</f>
      </c>
      <c r="Q767" s="42">
        <f>IF(AND($I767="OPEN",$B767&lt;&gt;""),IF('설정 Settings'!$C$15-$B767&gt;='설정 Settings'!$C$62,"후속 연락 필요",""),"")</f>
      </c>
    </row>
    <row r="768" spans="15:17" x14ac:dyDescent="0.25">
      <c r="O768" s="40">
        <f>IF(AND($L768="Y",$J768&lt;&gt;""),$J768+'설정 Settings'!$C$18,"")</f>
      </c>
      <c r="P768" s="41">
        <f>IF($H768="","",$H768-ROUND(IFERROR($H768*VLOOKUP($G768,'설정 Settings'!$A$122:$F$130,4,0)+VLOOKUP($G768,'설정 Settings'!$A$122:$F$130,5,0),0),2))</f>
      </c>
      <c r="Q768" s="42">
        <f>IF(AND($I768="OPEN",$B768&lt;&gt;""),IF('설정 Settings'!$C$15-$B768&gt;='설정 Settings'!$C$62,"후속 연락 필요",""),"")</f>
      </c>
    </row>
    <row r="769" spans="15:17" x14ac:dyDescent="0.25">
      <c r="O769" s="40">
        <f>IF(AND($L769="Y",$J769&lt;&gt;""),$J769+'설정 Settings'!$C$18,"")</f>
      </c>
      <c r="P769" s="41">
        <f>IF($H769="","",$H769-ROUND(IFERROR($H769*VLOOKUP($G769,'설정 Settings'!$A$122:$F$130,4,0)+VLOOKUP($G769,'설정 Settings'!$A$122:$F$130,5,0),0),2))</f>
      </c>
      <c r="Q769" s="42">
        <f>IF(AND($I769="OPEN",$B769&lt;&gt;""),IF('설정 Settings'!$C$15-$B769&gt;='설정 Settings'!$C$62,"후속 연락 필요",""),"")</f>
      </c>
    </row>
    <row r="770" spans="15:17" x14ac:dyDescent="0.25">
      <c r="O770" s="40">
        <f>IF(AND($L770="Y",$J770&lt;&gt;""),$J770+'설정 Settings'!$C$18,"")</f>
      </c>
      <c r="P770" s="41">
        <f>IF($H770="","",$H770-ROUND(IFERROR($H770*VLOOKUP($G770,'설정 Settings'!$A$122:$F$130,4,0)+VLOOKUP($G770,'설정 Settings'!$A$122:$F$130,5,0),0),2))</f>
      </c>
      <c r="Q770" s="42">
        <f>IF(AND($I770="OPEN",$B770&lt;&gt;""),IF('설정 Settings'!$C$15-$B770&gt;='설정 Settings'!$C$62,"후속 연락 필요",""),"")</f>
      </c>
    </row>
    <row r="771" spans="15:17" x14ac:dyDescent="0.25">
      <c r="O771" s="40">
        <f>IF(AND($L771="Y",$J771&lt;&gt;""),$J771+'설정 Settings'!$C$18,"")</f>
      </c>
      <c r="P771" s="41">
        <f>IF($H771="","",$H771-ROUND(IFERROR($H771*VLOOKUP($G771,'설정 Settings'!$A$122:$F$130,4,0)+VLOOKUP($G771,'설정 Settings'!$A$122:$F$130,5,0),0),2))</f>
      </c>
      <c r="Q771" s="42">
        <f>IF(AND($I771="OPEN",$B771&lt;&gt;""),IF('설정 Settings'!$C$15-$B771&gt;='설정 Settings'!$C$62,"후속 연락 필요",""),"")</f>
      </c>
    </row>
    <row r="772" spans="15:17" x14ac:dyDescent="0.25">
      <c r="O772" s="40">
        <f>IF(AND($L772="Y",$J772&lt;&gt;""),$J772+'설정 Settings'!$C$18,"")</f>
      </c>
      <c r="P772" s="41">
        <f>IF($H772="","",$H772-ROUND(IFERROR($H772*VLOOKUP($G772,'설정 Settings'!$A$122:$F$130,4,0)+VLOOKUP($G772,'설정 Settings'!$A$122:$F$130,5,0),0),2))</f>
      </c>
      <c r="Q772" s="42">
        <f>IF(AND($I772="OPEN",$B772&lt;&gt;""),IF('설정 Settings'!$C$15-$B772&gt;='설정 Settings'!$C$62,"후속 연락 필요",""),"")</f>
      </c>
    </row>
    <row r="773" spans="15:17" x14ac:dyDescent="0.25">
      <c r="O773" s="40">
        <f>IF(AND($L773="Y",$J773&lt;&gt;""),$J773+'설정 Settings'!$C$18,"")</f>
      </c>
      <c r="P773" s="41">
        <f>IF($H773="","",$H773-ROUND(IFERROR($H773*VLOOKUP($G773,'설정 Settings'!$A$122:$F$130,4,0)+VLOOKUP($G773,'설정 Settings'!$A$122:$F$130,5,0),0),2))</f>
      </c>
      <c r="Q773" s="42">
        <f>IF(AND($I773="OPEN",$B773&lt;&gt;""),IF('설정 Settings'!$C$15-$B773&gt;='설정 Settings'!$C$62,"후속 연락 필요",""),"")</f>
      </c>
    </row>
    <row r="774" spans="15:17" x14ac:dyDescent="0.25">
      <c r="O774" s="40">
        <f>IF(AND($L774="Y",$J774&lt;&gt;""),$J774+'설정 Settings'!$C$18,"")</f>
      </c>
      <c r="P774" s="41">
        <f>IF($H774="","",$H774-ROUND(IFERROR($H774*VLOOKUP($G774,'설정 Settings'!$A$122:$F$130,4,0)+VLOOKUP($G774,'설정 Settings'!$A$122:$F$130,5,0),0),2))</f>
      </c>
      <c r="Q774" s="42">
        <f>IF(AND($I774="OPEN",$B774&lt;&gt;""),IF('설정 Settings'!$C$15-$B774&gt;='설정 Settings'!$C$62,"후속 연락 필요",""),"")</f>
      </c>
    </row>
    <row r="775" spans="15:17" x14ac:dyDescent="0.25">
      <c r="O775" s="40">
        <f>IF(AND($L775="Y",$J775&lt;&gt;""),$J775+'설정 Settings'!$C$18,"")</f>
      </c>
      <c r="P775" s="41">
        <f>IF($H775="","",$H775-ROUND(IFERROR($H775*VLOOKUP($G775,'설정 Settings'!$A$122:$F$130,4,0)+VLOOKUP($G775,'설정 Settings'!$A$122:$F$130,5,0),0),2))</f>
      </c>
      <c r="Q775" s="42">
        <f>IF(AND($I775="OPEN",$B775&lt;&gt;""),IF('설정 Settings'!$C$15-$B775&gt;='설정 Settings'!$C$62,"후속 연락 필요",""),"")</f>
      </c>
    </row>
    <row r="776" spans="15:17" x14ac:dyDescent="0.25">
      <c r="O776" s="40">
        <f>IF(AND($L776="Y",$J776&lt;&gt;""),$J776+'설정 Settings'!$C$18,"")</f>
      </c>
      <c r="P776" s="41">
        <f>IF($H776="","",$H776-ROUND(IFERROR($H776*VLOOKUP($G776,'설정 Settings'!$A$122:$F$130,4,0)+VLOOKUP($G776,'설정 Settings'!$A$122:$F$130,5,0),0),2))</f>
      </c>
      <c r="Q776" s="42">
        <f>IF(AND($I776="OPEN",$B776&lt;&gt;""),IF('설정 Settings'!$C$15-$B776&gt;='설정 Settings'!$C$62,"후속 연락 필요",""),"")</f>
      </c>
    </row>
    <row r="777" spans="15:17" x14ac:dyDescent="0.25">
      <c r="O777" s="40">
        <f>IF(AND($L777="Y",$J777&lt;&gt;""),$J777+'설정 Settings'!$C$18,"")</f>
      </c>
      <c r="P777" s="41">
        <f>IF($H777="","",$H777-ROUND(IFERROR($H777*VLOOKUP($G777,'설정 Settings'!$A$122:$F$130,4,0)+VLOOKUP($G777,'설정 Settings'!$A$122:$F$130,5,0),0),2))</f>
      </c>
      <c r="Q777" s="42">
        <f>IF(AND($I777="OPEN",$B777&lt;&gt;""),IF('설정 Settings'!$C$15-$B777&gt;='설정 Settings'!$C$62,"후속 연락 필요",""),"")</f>
      </c>
    </row>
    <row r="778" spans="15:17" x14ac:dyDescent="0.25">
      <c r="O778" s="40">
        <f>IF(AND($L778="Y",$J778&lt;&gt;""),$J778+'설정 Settings'!$C$18,"")</f>
      </c>
      <c r="P778" s="41">
        <f>IF($H778="","",$H778-ROUND(IFERROR($H778*VLOOKUP($G778,'설정 Settings'!$A$122:$F$130,4,0)+VLOOKUP($G778,'설정 Settings'!$A$122:$F$130,5,0),0),2))</f>
      </c>
      <c r="Q778" s="42">
        <f>IF(AND($I778="OPEN",$B778&lt;&gt;""),IF('설정 Settings'!$C$15-$B778&gt;='설정 Settings'!$C$62,"후속 연락 필요",""),"")</f>
      </c>
    </row>
    <row r="779" spans="15:17" x14ac:dyDescent="0.25">
      <c r="O779" s="40">
        <f>IF(AND($L779="Y",$J779&lt;&gt;""),$J779+'설정 Settings'!$C$18,"")</f>
      </c>
      <c r="P779" s="41">
        <f>IF($H779="","",$H779-ROUND(IFERROR($H779*VLOOKUP($G779,'설정 Settings'!$A$122:$F$130,4,0)+VLOOKUP($G779,'설정 Settings'!$A$122:$F$130,5,0),0),2))</f>
      </c>
      <c r="Q779" s="42">
        <f>IF(AND($I779="OPEN",$B779&lt;&gt;""),IF('설정 Settings'!$C$15-$B779&gt;='설정 Settings'!$C$62,"후속 연락 필요",""),"")</f>
      </c>
    </row>
    <row r="780" spans="15:17" x14ac:dyDescent="0.25">
      <c r="O780" s="40">
        <f>IF(AND($L780="Y",$J780&lt;&gt;""),$J780+'설정 Settings'!$C$18,"")</f>
      </c>
      <c r="P780" s="41">
        <f>IF($H780="","",$H780-ROUND(IFERROR($H780*VLOOKUP($G780,'설정 Settings'!$A$122:$F$130,4,0)+VLOOKUP($G780,'설정 Settings'!$A$122:$F$130,5,0),0),2))</f>
      </c>
      <c r="Q780" s="42">
        <f>IF(AND($I780="OPEN",$B780&lt;&gt;""),IF('설정 Settings'!$C$15-$B780&gt;='설정 Settings'!$C$62,"후속 연락 필요",""),"")</f>
      </c>
    </row>
    <row r="781" spans="15:17" x14ac:dyDescent="0.25">
      <c r="O781" s="40">
        <f>IF(AND($L781="Y",$J781&lt;&gt;""),$J781+'설정 Settings'!$C$18,"")</f>
      </c>
      <c r="P781" s="41">
        <f>IF($H781="","",$H781-ROUND(IFERROR($H781*VLOOKUP($G781,'설정 Settings'!$A$122:$F$130,4,0)+VLOOKUP($G781,'설정 Settings'!$A$122:$F$130,5,0),0),2))</f>
      </c>
      <c r="Q781" s="42">
        <f>IF(AND($I781="OPEN",$B781&lt;&gt;""),IF('설정 Settings'!$C$15-$B781&gt;='설정 Settings'!$C$62,"후속 연락 필요",""),"")</f>
      </c>
    </row>
    <row r="782" spans="15:17" x14ac:dyDescent="0.25">
      <c r="O782" s="40">
        <f>IF(AND($L782="Y",$J782&lt;&gt;""),$J782+'설정 Settings'!$C$18,"")</f>
      </c>
      <c r="P782" s="41">
        <f>IF($H782="","",$H782-ROUND(IFERROR($H782*VLOOKUP($G782,'설정 Settings'!$A$122:$F$130,4,0)+VLOOKUP($G782,'설정 Settings'!$A$122:$F$130,5,0),0),2))</f>
      </c>
      <c r="Q782" s="42">
        <f>IF(AND($I782="OPEN",$B782&lt;&gt;""),IF('설정 Settings'!$C$15-$B782&gt;='설정 Settings'!$C$62,"후속 연락 필요",""),"")</f>
      </c>
    </row>
    <row r="783" spans="15:17" x14ac:dyDescent="0.25">
      <c r="O783" s="40">
        <f>IF(AND($L783="Y",$J783&lt;&gt;""),$J783+'설정 Settings'!$C$18,"")</f>
      </c>
      <c r="P783" s="41">
        <f>IF($H783="","",$H783-ROUND(IFERROR($H783*VLOOKUP($G783,'설정 Settings'!$A$122:$F$130,4,0)+VLOOKUP($G783,'설정 Settings'!$A$122:$F$130,5,0),0),2))</f>
      </c>
      <c r="Q783" s="42">
        <f>IF(AND($I783="OPEN",$B783&lt;&gt;""),IF('설정 Settings'!$C$15-$B783&gt;='설정 Settings'!$C$62,"후속 연락 필요",""),"")</f>
      </c>
    </row>
    <row r="784" spans="15:17" x14ac:dyDescent="0.25">
      <c r="O784" s="40">
        <f>IF(AND($L784="Y",$J784&lt;&gt;""),$J784+'설정 Settings'!$C$18,"")</f>
      </c>
      <c r="P784" s="41">
        <f>IF($H784="","",$H784-ROUND(IFERROR($H784*VLOOKUP($G784,'설정 Settings'!$A$122:$F$130,4,0)+VLOOKUP($G784,'설정 Settings'!$A$122:$F$130,5,0),0),2))</f>
      </c>
      <c r="Q784" s="42">
        <f>IF(AND($I784="OPEN",$B784&lt;&gt;""),IF('설정 Settings'!$C$15-$B784&gt;='설정 Settings'!$C$62,"후속 연락 필요",""),"")</f>
      </c>
    </row>
    <row r="785" spans="15:17" x14ac:dyDescent="0.25">
      <c r="O785" s="40">
        <f>IF(AND($L785="Y",$J785&lt;&gt;""),$J785+'설정 Settings'!$C$18,"")</f>
      </c>
      <c r="P785" s="41">
        <f>IF($H785="","",$H785-ROUND(IFERROR($H785*VLOOKUP($G785,'설정 Settings'!$A$122:$F$130,4,0)+VLOOKUP($G785,'설정 Settings'!$A$122:$F$130,5,0),0),2))</f>
      </c>
      <c r="Q785" s="42">
        <f>IF(AND($I785="OPEN",$B785&lt;&gt;""),IF('설정 Settings'!$C$15-$B785&gt;='설정 Settings'!$C$62,"후속 연락 필요",""),"")</f>
      </c>
    </row>
    <row r="786" spans="15:17" x14ac:dyDescent="0.25">
      <c r="O786" s="40">
        <f>IF(AND($L786="Y",$J786&lt;&gt;""),$J786+'설정 Settings'!$C$18,"")</f>
      </c>
      <c r="P786" s="41">
        <f>IF($H786="","",$H786-ROUND(IFERROR($H786*VLOOKUP($G786,'설정 Settings'!$A$122:$F$130,4,0)+VLOOKUP($G786,'설정 Settings'!$A$122:$F$130,5,0),0),2))</f>
      </c>
      <c r="Q786" s="42">
        <f>IF(AND($I786="OPEN",$B786&lt;&gt;""),IF('설정 Settings'!$C$15-$B786&gt;='설정 Settings'!$C$62,"후속 연락 필요",""),"")</f>
      </c>
    </row>
    <row r="787" spans="15:17" x14ac:dyDescent="0.25">
      <c r="O787" s="40">
        <f>IF(AND($L787="Y",$J787&lt;&gt;""),$J787+'설정 Settings'!$C$18,"")</f>
      </c>
      <c r="P787" s="41">
        <f>IF($H787="","",$H787-ROUND(IFERROR($H787*VLOOKUP($G787,'설정 Settings'!$A$122:$F$130,4,0)+VLOOKUP($G787,'설정 Settings'!$A$122:$F$130,5,0),0),2))</f>
      </c>
      <c r="Q787" s="42">
        <f>IF(AND($I787="OPEN",$B787&lt;&gt;""),IF('설정 Settings'!$C$15-$B787&gt;='설정 Settings'!$C$62,"후속 연락 필요",""),"")</f>
      </c>
    </row>
    <row r="788" spans="15:17" x14ac:dyDescent="0.25">
      <c r="O788" s="40">
        <f>IF(AND($L788="Y",$J788&lt;&gt;""),$J788+'설정 Settings'!$C$18,"")</f>
      </c>
      <c r="P788" s="41">
        <f>IF($H788="","",$H788-ROUND(IFERROR($H788*VLOOKUP($G788,'설정 Settings'!$A$122:$F$130,4,0)+VLOOKUP($G788,'설정 Settings'!$A$122:$F$130,5,0),0),2))</f>
      </c>
      <c r="Q788" s="42">
        <f>IF(AND($I788="OPEN",$B788&lt;&gt;""),IF('설정 Settings'!$C$15-$B788&gt;='설정 Settings'!$C$62,"후속 연락 필요",""),"")</f>
      </c>
    </row>
    <row r="789" spans="15:17" x14ac:dyDescent="0.25">
      <c r="O789" s="40">
        <f>IF(AND($L789="Y",$J789&lt;&gt;""),$J789+'설정 Settings'!$C$18,"")</f>
      </c>
      <c r="P789" s="41">
        <f>IF($H789="","",$H789-ROUND(IFERROR($H789*VLOOKUP($G789,'설정 Settings'!$A$122:$F$130,4,0)+VLOOKUP($G789,'설정 Settings'!$A$122:$F$130,5,0),0),2))</f>
      </c>
      <c r="Q789" s="42">
        <f>IF(AND($I789="OPEN",$B789&lt;&gt;""),IF('설정 Settings'!$C$15-$B789&gt;='설정 Settings'!$C$62,"후속 연락 필요",""),"")</f>
      </c>
    </row>
    <row r="790" spans="15:17" x14ac:dyDescent="0.25">
      <c r="O790" s="40">
        <f>IF(AND($L790="Y",$J790&lt;&gt;""),$J790+'설정 Settings'!$C$18,"")</f>
      </c>
      <c r="P790" s="41">
        <f>IF($H790="","",$H790-ROUND(IFERROR($H790*VLOOKUP($G790,'설정 Settings'!$A$122:$F$130,4,0)+VLOOKUP($G790,'설정 Settings'!$A$122:$F$130,5,0),0),2))</f>
      </c>
      <c r="Q790" s="42">
        <f>IF(AND($I790="OPEN",$B790&lt;&gt;""),IF('설정 Settings'!$C$15-$B790&gt;='설정 Settings'!$C$62,"후속 연락 필요",""),"")</f>
      </c>
    </row>
    <row r="791" spans="15:17" x14ac:dyDescent="0.25">
      <c r="O791" s="40">
        <f>IF(AND($L791="Y",$J791&lt;&gt;""),$J791+'설정 Settings'!$C$18,"")</f>
      </c>
      <c r="P791" s="41">
        <f>IF($H791="","",$H791-ROUND(IFERROR($H791*VLOOKUP($G791,'설정 Settings'!$A$122:$F$130,4,0)+VLOOKUP($G791,'설정 Settings'!$A$122:$F$130,5,0),0),2))</f>
      </c>
      <c r="Q791" s="42">
        <f>IF(AND($I791="OPEN",$B791&lt;&gt;""),IF('설정 Settings'!$C$15-$B791&gt;='설정 Settings'!$C$62,"후속 연락 필요",""),"")</f>
      </c>
    </row>
    <row r="792" spans="15:17" x14ac:dyDescent="0.25">
      <c r="O792" s="40">
        <f>IF(AND($L792="Y",$J792&lt;&gt;""),$J792+'설정 Settings'!$C$18,"")</f>
      </c>
      <c r="P792" s="41">
        <f>IF($H792="","",$H792-ROUND(IFERROR($H792*VLOOKUP($G792,'설정 Settings'!$A$122:$F$130,4,0)+VLOOKUP($G792,'설정 Settings'!$A$122:$F$130,5,0),0),2))</f>
      </c>
      <c r="Q792" s="42">
        <f>IF(AND($I792="OPEN",$B792&lt;&gt;""),IF('설정 Settings'!$C$15-$B792&gt;='설정 Settings'!$C$62,"후속 연락 필요",""),"")</f>
      </c>
    </row>
    <row r="793" spans="15:17" x14ac:dyDescent="0.25">
      <c r="O793" s="40">
        <f>IF(AND($L793="Y",$J793&lt;&gt;""),$J793+'설정 Settings'!$C$18,"")</f>
      </c>
      <c r="P793" s="41">
        <f>IF($H793="","",$H793-ROUND(IFERROR($H793*VLOOKUP($G793,'설정 Settings'!$A$122:$F$130,4,0)+VLOOKUP($G793,'설정 Settings'!$A$122:$F$130,5,0),0),2))</f>
      </c>
      <c r="Q793" s="42">
        <f>IF(AND($I793="OPEN",$B793&lt;&gt;""),IF('설정 Settings'!$C$15-$B793&gt;='설정 Settings'!$C$62,"후속 연락 필요",""),"")</f>
      </c>
    </row>
    <row r="794" spans="15:17" x14ac:dyDescent="0.25">
      <c r="O794" s="40">
        <f>IF(AND($L794="Y",$J794&lt;&gt;""),$J794+'설정 Settings'!$C$18,"")</f>
      </c>
      <c r="P794" s="41">
        <f>IF($H794="","",$H794-ROUND(IFERROR($H794*VLOOKUP($G794,'설정 Settings'!$A$122:$F$130,4,0)+VLOOKUP($G794,'설정 Settings'!$A$122:$F$130,5,0),0),2))</f>
      </c>
      <c r="Q794" s="42">
        <f>IF(AND($I794="OPEN",$B794&lt;&gt;""),IF('설정 Settings'!$C$15-$B794&gt;='설정 Settings'!$C$62,"후속 연락 필요",""),"")</f>
      </c>
    </row>
    <row r="795" spans="15:17" x14ac:dyDescent="0.25">
      <c r="O795" s="40">
        <f>IF(AND($L795="Y",$J795&lt;&gt;""),$J795+'설정 Settings'!$C$18,"")</f>
      </c>
      <c r="P795" s="41">
        <f>IF($H795="","",$H795-ROUND(IFERROR($H795*VLOOKUP($G795,'설정 Settings'!$A$122:$F$130,4,0)+VLOOKUP($G795,'설정 Settings'!$A$122:$F$130,5,0),0),2))</f>
      </c>
      <c r="Q795" s="42">
        <f>IF(AND($I795="OPEN",$B795&lt;&gt;""),IF('설정 Settings'!$C$15-$B795&gt;='설정 Settings'!$C$62,"후속 연락 필요",""),"")</f>
      </c>
    </row>
    <row r="796" spans="15:17" x14ac:dyDescent="0.25">
      <c r="O796" s="40">
        <f>IF(AND($L796="Y",$J796&lt;&gt;""),$J796+'설정 Settings'!$C$18,"")</f>
      </c>
      <c r="P796" s="41">
        <f>IF($H796="","",$H796-ROUND(IFERROR($H796*VLOOKUP($G796,'설정 Settings'!$A$122:$F$130,4,0)+VLOOKUP($G796,'설정 Settings'!$A$122:$F$130,5,0),0),2))</f>
      </c>
      <c r="Q796" s="42">
        <f>IF(AND($I796="OPEN",$B796&lt;&gt;""),IF('설정 Settings'!$C$15-$B796&gt;='설정 Settings'!$C$62,"후속 연락 필요",""),"")</f>
      </c>
    </row>
    <row r="797" spans="15:17" x14ac:dyDescent="0.25">
      <c r="O797" s="40">
        <f>IF(AND($L797="Y",$J797&lt;&gt;""),$J797+'설정 Settings'!$C$18,"")</f>
      </c>
      <c r="P797" s="41">
        <f>IF($H797="","",$H797-ROUND(IFERROR($H797*VLOOKUP($G797,'설정 Settings'!$A$122:$F$130,4,0)+VLOOKUP($G797,'설정 Settings'!$A$122:$F$130,5,0),0),2))</f>
      </c>
      <c r="Q797" s="42">
        <f>IF(AND($I797="OPEN",$B797&lt;&gt;""),IF('설정 Settings'!$C$15-$B797&gt;='설정 Settings'!$C$62,"후속 연락 필요",""),"")</f>
      </c>
    </row>
    <row r="798" spans="15:17" x14ac:dyDescent="0.25">
      <c r="O798" s="40">
        <f>IF(AND($L798="Y",$J798&lt;&gt;""),$J798+'설정 Settings'!$C$18,"")</f>
      </c>
      <c r="P798" s="41">
        <f>IF($H798="","",$H798-ROUND(IFERROR($H798*VLOOKUP($G798,'설정 Settings'!$A$122:$F$130,4,0)+VLOOKUP($G798,'설정 Settings'!$A$122:$F$130,5,0),0),2))</f>
      </c>
      <c r="Q798" s="42">
        <f>IF(AND($I798="OPEN",$B798&lt;&gt;""),IF('설정 Settings'!$C$15-$B798&gt;='설정 Settings'!$C$62,"후속 연락 필요",""),"")</f>
      </c>
    </row>
    <row r="799" spans="15:17" x14ac:dyDescent="0.25">
      <c r="O799" s="40">
        <f>IF(AND($L799="Y",$J799&lt;&gt;""),$J799+'설정 Settings'!$C$18,"")</f>
      </c>
      <c r="P799" s="41">
        <f>IF($H799="","",$H799-ROUND(IFERROR($H799*VLOOKUP($G799,'설정 Settings'!$A$122:$F$130,4,0)+VLOOKUP($G799,'설정 Settings'!$A$122:$F$130,5,0),0),2))</f>
      </c>
      <c r="Q799" s="42">
        <f>IF(AND($I799="OPEN",$B799&lt;&gt;""),IF('설정 Settings'!$C$15-$B799&gt;='설정 Settings'!$C$62,"후속 연락 필요",""),"")</f>
      </c>
    </row>
    <row r="800" spans="15:17" x14ac:dyDescent="0.25">
      <c r="O800" s="40">
        <f>IF(AND($L800="Y",$J800&lt;&gt;""),$J800+'설정 Settings'!$C$18,"")</f>
      </c>
      <c r="P800" s="41">
        <f>IF($H800="","",$H800-ROUND(IFERROR($H800*VLOOKUP($G800,'설정 Settings'!$A$122:$F$130,4,0)+VLOOKUP($G800,'설정 Settings'!$A$122:$F$130,5,0),0),2))</f>
      </c>
      <c r="Q800" s="42">
        <f>IF(AND($I800="OPEN",$B800&lt;&gt;""),IF('설정 Settings'!$C$15-$B800&gt;='설정 Settings'!$C$62,"후속 연락 필요",""),"")</f>
      </c>
    </row>
    <row r="801" spans="15:17" x14ac:dyDescent="0.25">
      <c r="O801" s="40">
        <f>IF(AND($L801="Y",$J801&lt;&gt;""),$J801+'설정 Settings'!$C$18,"")</f>
      </c>
      <c r="P801" s="41">
        <f>IF($H801="","",$H801-ROUND(IFERROR($H801*VLOOKUP($G801,'설정 Settings'!$A$122:$F$130,4,0)+VLOOKUP($G801,'설정 Settings'!$A$122:$F$130,5,0),0),2))</f>
      </c>
      <c r="Q801" s="42">
        <f>IF(AND($I801="OPEN",$B801&lt;&gt;""),IF('설정 Settings'!$C$15-$B801&gt;='설정 Settings'!$C$62,"후속 연락 필요",""),"")</f>
      </c>
    </row>
    <row r="802" spans="15:17" x14ac:dyDescent="0.25">
      <c r="O802" s="40">
        <f>IF(AND($L802="Y",$J802&lt;&gt;""),$J802+'설정 Settings'!$C$18,"")</f>
      </c>
      <c r="P802" s="41">
        <f>IF($H802="","",$H802-ROUND(IFERROR($H802*VLOOKUP($G802,'설정 Settings'!$A$122:$F$130,4,0)+VLOOKUP($G802,'설정 Settings'!$A$122:$F$130,5,0),0),2))</f>
      </c>
      <c r="Q802" s="42">
        <f>IF(AND($I802="OPEN",$B802&lt;&gt;""),IF('설정 Settings'!$C$15-$B802&gt;='설정 Settings'!$C$62,"후속 연락 필요",""),"")</f>
      </c>
    </row>
    <row r="803" spans="15:17" x14ac:dyDescent="0.25">
      <c r="O803" s="40">
        <f>IF(AND($L803="Y",$J803&lt;&gt;""),$J803+'설정 Settings'!$C$18,"")</f>
      </c>
      <c r="P803" s="41">
        <f>IF($H803="","",$H803-ROUND(IFERROR($H803*VLOOKUP($G803,'설정 Settings'!$A$122:$F$130,4,0)+VLOOKUP($G803,'설정 Settings'!$A$122:$F$130,5,0),0),2))</f>
      </c>
      <c r="Q803" s="42">
        <f>IF(AND($I803="OPEN",$B803&lt;&gt;""),IF('설정 Settings'!$C$15-$B803&gt;='설정 Settings'!$C$62,"후속 연락 필요",""),"")</f>
      </c>
    </row>
    <row r="804" spans="15:17" x14ac:dyDescent="0.25">
      <c r="O804" s="40">
        <f>IF(AND($L804="Y",$J804&lt;&gt;""),$J804+'설정 Settings'!$C$18,"")</f>
      </c>
      <c r="P804" s="41">
        <f>IF($H804="","",$H804-ROUND(IFERROR($H804*VLOOKUP($G804,'설정 Settings'!$A$122:$F$130,4,0)+VLOOKUP($G804,'설정 Settings'!$A$122:$F$130,5,0),0),2))</f>
      </c>
      <c r="Q804" s="42">
        <f>IF(AND($I804="OPEN",$B804&lt;&gt;""),IF('설정 Settings'!$C$15-$B804&gt;='설정 Settings'!$C$62,"후속 연락 필요",""),"")</f>
      </c>
    </row>
    <row r="805" spans="15:17" x14ac:dyDescent="0.25">
      <c r="O805" s="40">
        <f>IF(AND($L805="Y",$J805&lt;&gt;""),$J805+'설정 Settings'!$C$18,"")</f>
      </c>
      <c r="P805" s="41">
        <f>IF($H805="","",$H805-ROUND(IFERROR($H805*VLOOKUP($G805,'설정 Settings'!$A$122:$F$130,4,0)+VLOOKUP($G805,'설정 Settings'!$A$122:$F$130,5,0),0),2))</f>
      </c>
      <c r="Q805" s="42">
        <f>IF(AND($I805="OPEN",$B805&lt;&gt;""),IF('설정 Settings'!$C$15-$B805&gt;='설정 Settings'!$C$62,"후속 연락 필요",""),"")</f>
      </c>
    </row>
    <row r="806" spans="15:17" x14ac:dyDescent="0.25">
      <c r="O806" s="40">
        <f>IF(AND($L806="Y",$J806&lt;&gt;""),$J806+'설정 Settings'!$C$18,"")</f>
      </c>
      <c r="P806" s="41">
        <f>IF($H806="","",$H806-ROUND(IFERROR($H806*VLOOKUP($G806,'설정 Settings'!$A$122:$F$130,4,0)+VLOOKUP($G806,'설정 Settings'!$A$122:$F$130,5,0),0),2))</f>
      </c>
      <c r="Q806" s="42">
        <f>IF(AND($I806="OPEN",$B806&lt;&gt;""),IF('설정 Settings'!$C$15-$B806&gt;='설정 Settings'!$C$62,"후속 연락 필요",""),"")</f>
      </c>
    </row>
    <row r="807" spans="15:17" x14ac:dyDescent="0.25">
      <c r="O807" s="40">
        <f>IF(AND($L807="Y",$J807&lt;&gt;""),$J807+'설정 Settings'!$C$18,"")</f>
      </c>
      <c r="P807" s="41">
        <f>IF($H807="","",$H807-ROUND(IFERROR($H807*VLOOKUP($G807,'설정 Settings'!$A$122:$F$130,4,0)+VLOOKUP($G807,'설정 Settings'!$A$122:$F$130,5,0),0),2))</f>
      </c>
      <c r="Q807" s="42">
        <f>IF(AND($I807="OPEN",$B807&lt;&gt;""),IF('설정 Settings'!$C$15-$B807&gt;='설정 Settings'!$C$62,"후속 연락 필요",""),"")</f>
      </c>
    </row>
    <row r="808" spans="15:17" x14ac:dyDescent="0.25">
      <c r="O808" s="40">
        <f>IF(AND($L808="Y",$J808&lt;&gt;""),$J808+'설정 Settings'!$C$18,"")</f>
      </c>
      <c r="P808" s="41">
        <f>IF($H808="","",$H808-ROUND(IFERROR($H808*VLOOKUP($G808,'설정 Settings'!$A$122:$F$130,4,0)+VLOOKUP($G808,'설정 Settings'!$A$122:$F$130,5,0),0),2))</f>
      </c>
      <c r="Q808" s="42">
        <f>IF(AND($I808="OPEN",$B808&lt;&gt;""),IF('설정 Settings'!$C$15-$B808&gt;='설정 Settings'!$C$62,"후속 연락 필요",""),"")</f>
      </c>
    </row>
    <row r="809" spans="15:17" x14ac:dyDescent="0.25">
      <c r="O809" s="40">
        <f>IF(AND($L809="Y",$J809&lt;&gt;""),$J809+'설정 Settings'!$C$18,"")</f>
      </c>
      <c r="P809" s="41">
        <f>IF($H809="","",$H809-ROUND(IFERROR($H809*VLOOKUP($G809,'설정 Settings'!$A$122:$F$130,4,0)+VLOOKUP($G809,'설정 Settings'!$A$122:$F$130,5,0),0),2))</f>
      </c>
      <c r="Q809" s="42">
        <f>IF(AND($I809="OPEN",$B809&lt;&gt;""),IF('설정 Settings'!$C$15-$B809&gt;='설정 Settings'!$C$62,"후속 연락 필요",""),"")</f>
      </c>
    </row>
    <row r="810" spans="15:17" x14ac:dyDescent="0.25">
      <c r="O810" s="40">
        <f>IF(AND($L810="Y",$J810&lt;&gt;""),$J810+'설정 Settings'!$C$18,"")</f>
      </c>
      <c r="P810" s="41">
        <f>IF($H810="","",$H810-ROUND(IFERROR($H810*VLOOKUP($G810,'설정 Settings'!$A$122:$F$130,4,0)+VLOOKUP($G810,'설정 Settings'!$A$122:$F$130,5,0),0),2))</f>
      </c>
      <c r="Q810" s="42">
        <f>IF(AND($I810="OPEN",$B810&lt;&gt;""),IF('설정 Settings'!$C$15-$B810&gt;='설정 Settings'!$C$62,"후속 연락 필요",""),"")</f>
      </c>
    </row>
    <row r="811" spans="15:17" x14ac:dyDescent="0.25">
      <c r="O811" s="40">
        <f>IF(AND($L811="Y",$J811&lt;&gt;""),$J811+'설정 Settings'!$C$18,"")</f>
      </c>
      <c r="P811" s="41">
        <f>IF($H811="","",$H811-ROUND(IFERROR($H811*VLOOKUP($G811,'설정 Settings'!$A$122:$F$130,4,0)+VLOOKUP($G811,'설정 Settings'!$A$122:$F$130,5,0),0),2))</f>
      </c>
      <c r="Q811" s="42">
        <f>IF(AND($I811="OPEN",$B811&lt;&gt;""),IF('설정 Settings'!$C$15-$B811&gt;='설정 Settings'!$C$62,"후속 연락 필요",""),"")</f>
      </c>
    </row>
    <row r="812" spans="15:17" x14ac:dyDescent="0.25">
      <c r="O812" s="40">
        <f>IF(AND($L812="Y",$J812&lt;&gt;""),$J812+'설정 Settings'!$C$18,"")</f>
      </c>
      <c r="P812" s="41">
        <f>IF($H812="","",$H812-ROUND(IFERROR($H812*VLOOKUP($G812,'설정 Settings'!$A$122:$F$130,4,0)+VLOOKUP($G812,'설정 Settings'!$A$122:$F$130,5,0),0),2))</f>
      </c>
      <c r="Q812" s="42">
        <f>IF(AND($I812="OPEN",$B812&lt;&gt;""),IF('설정 Settings'!$C$15-$B812&gt;='설정 Settings'!$C$62,"후속 연락 필요",""),"")</f>
      </c>
    </row>
    <row r="813" spans="15:17" x14ac:dyDescent="0.25">
      <c r="O813" s="40">
        <f>IF(AND($L813="Y",$J813&lt;&gt;""),$J813+'설정 Settings'!$C$18,"")</f>
      </c>
      <c r="P813" s="41">
        <f>IF($H813="","",$H813-ROUND(IFERROR($H813*VLOOKUP($G813,'설정 Settings'!$A$122:$F$130,4,0)+VLOOKUP($G813,'설정 Settings'!$A$122:$F$130,5,0),0),2))</f>
      </c>
      <c r="Q813" s="42">
        <f>IF(AND($I813="OPEN",$B813&lt;&gt;""),IF('설정 Settings'!$C$15-$B813&gt;='설정 Settings'!$C$62,"후속 연락 필요",""),"")</f>
      </c>
    </row>
    <row r="814" spans="15:17" x14ac:dyDescent="0.25">
      <c r="O814" s="40">
        <f>IF(AND($L814="Y",$J814&lt;&gt;""),$J814+'설정 Settings'!$C$18,"")</f>
      </c>
      <c r="P814" s="41">
        <f>IF($H814="","",$H814-ROUND(IFERROR($H814*VLOOKUP($G814,'설정 Settings'!$A$122:$F$130,4,0)+VLOOKUP($G814,'설정 Settings'!$A$122:$F$130,5,0),0),2))</f>
      </c>
      <c r="Q814" s="42">
        <f>IF(AND($I814="OPEN",$B814&lt;&gt;""),IF('설정 Settings'!$C$15-$B814&gt;='설정 Settings'!$C$62,"후속 연락 필요",""),"")</f>
      </c>
    </row>
    <row r="815" spans="15:17" x14ac:dyDescent="0.25">
      <c r="O815" s="40">
        <f>IF(AND($L815="Y",$J815&lt;&gt;""),$J815+'설정 Settings'!$C$18,"")</f>
      </c>
      <c r="P815" s="41">
        <f>IF($H815="","",$H815-ROUND(IFERROR($H815*VLOOKUP($G815,'설정 Settings'!$A$122:$F$130,4,0)+VLOOKUP($G815,'설정 Settings'!$A$122:$F$130,5,0),0),2))</f>
      </c>
      <c r="Q815" s="42">
        <f>IF(AND($I815="OPEN",$B815&lt;&gt;""),IF('설정 Settings'!$C$15-$B815&gt;='설정 Settings'!$C$62,"후속 연락 필요",""),"")</f>
      </c>
    </row>
    <row r="816" spans="15:17" x14ac:dyDescent="0.25">
      <c r="O816" s="40">
        <f>IF(AND($L816="Y",$J816&lt;&gt;""),$J816+'설정 Settings'!$C$18,"")</f>
      </c>
      <c r="P816" s="41">
        <f>IF($H816="","",$H816-ROUND(IFERROR($H816*VLOOKUP($G816,'설정 Settings'!$A$122:$F$130,4,0)+VLOOKUP($G816,'설정 Settings'!$A$122:$F$130,5,0),0),2))</f>
      </c>
      <c r="Q816" s="42">
        <f>IF(AND($I816="OPEN",$B816&lt;&gt;""),IF('설정 Settings'!$C$15-$B816&gt;='설정 Settings'!$C$62,"후속 연락 필요",""),"")</f>
      </c>
    </row>
    <row r="817" spans="15:17" x14ac:dyDescent="0.25">
      <c r="O817" s="40">
        <f>IF(AND($L817="Y",$J817&lt;&gt;""),$J817+'설정 Settings'!$C$18,"")</f>
      </c>
      <c r="P817" s="41">
        <f>IF($H817="","",$H817-ROUND(IFERROR($H817*VLOOKUP($G817,'설정 Settings'!$A$122:$F$130,4,0)+VLOOKUP($G817,'설정 Settings'!$A$122:$F$130,5,0),0),2))</f>
      </c>
      <c r="Q817" s="42">
        <f>IF(AND($I817="OPEN",$B817&lt;&gt;""),IF('설정 Settings'!$C$15-$B817&gt;='설정 Settings'!$C$62,"후속 연락 필요",""),"")</f>
      </c>
    </row>
    <row r="818" spans="15:17" x14ac:dyDescent="0.25">
      <c r="O818" s="40">
        <f>IF(AND($L818="Y",$J818&lt;&gt;""),$J818+'설정 Settings'!$C$18,"")</f>
      </c>
      <c r="P818" s="41">
        <f>IF($H818="","",$H818-ROUND(IFERROR($H818*VLOOKUP($G818,'설정 Settings'!$A$122:$F$130,4,0)+VLOOKUP($G818,'설정 Settings'!$A$122:$F$130,5,0),0),2))</f>
      </c>
      <c r="Q818" s="42">
        <f>IF(AND($I818="OPEN",$B818&lt;&gt;""),IF('설정 Settings'!$C$15-$B818&gt;='설정 Settings'!$C$62,"후속 연락 필요",""),"")</f>
      </c>
    </row>
    <row r="819" spans="15:17" x14ac:dyDescent="0.25">
      <c r="O819" s="40">
        <f>IF(AND($L819="Y",$J819&lt;&gt;""),$J819+'설정 Settings'!$C$18,"")</f>
      </c>
      <c r="P819" s="41">
        <f>IF($H819="","",$H819-ROUND(IFERROR($H819*VLOOKUP($G819,'설정 Settings'!$A$122:$F$130,4,0)+VLOOKUP($G819,'설정 Settings'!$A$122:$F$130,5,0),0),2))</f>
      </c>
      <c r="Q819" s="42">
        <f>IF(AND($I819="OPEN",$B819&lt;&gt;""),IF('설정 Settings'!$C$15-$B819&gt;='설정 Settings'!$C$62,"후속 연락 필요",""),"")</f>
      </c>
    </row>
    <row r="820" spans="15:17" x14ac:dyDescent="0.25">
      <c r="O820" s="40">
        <f>IF(AND($L820="Y",$J820&lt;&gt;""),$J820+'설정 Settings'!$C$18,"")</f>
      </c>
      <c r="P820" s="41">
        <f>IF($H820="","",$H820-ROUND(IFERROR($H820*VLOOKUP($G820,'설정 Settings'!$A$122:$F$130,4,0)+VLOOKUP($G820,'설정 Settings'!$A$122:$F$130,5,0),0),2))</f>
      </c>
      <c r="Q820" s="42">
        <f>IF(AND($I820="OPEN",$B820&lt;&gt;""),IF('설정 Settings'!$C$15-$B820&gt;='설정 Settings'!$C$62,"후속 연락 필요",""),"")</f>
      </c>
    </row>
    <row r="821" spans="15:17" x14ac:dyDescent="0.25">
      <c r="O821" s="40">
        <f>IF(AND($L821="Y",$J821&lt;&gt;""),$J821+'설정 Settings'!$C$18,"")</f>
      </c>
      <c r="P821" s="41">
        <f>IF($H821="","",$H821-ROUND(IFERROR($H821*VLOOKUP($G821,'설정 Settings'!$A$122:$F$130,4,0)+VLOOKUP($G821,'설정 Settings'!$A$122:$F$130,5,0),0),2))</f>
      </c>
      <c r="Q821" s="42">
        <f>IF(AND($I821="OPEN",$B821&lt;&gt;""),IF('설정 Settings'!$C$15-$B821&gt;='설정 Settings'!$C$62,"후속 연락 필요",""),"")</f>
      </c>
    </row>
    <row r="822" spans="15:17" x14ac:dyDescent="0.25">
      <c r="O822" s="40">
        <f>IF(AND($L822="Y",$J822&lt;&gt;""),$J822+'설정 Settings'!$C$18,"")</f>
      </c>
      <c r="P822" s="41">
        <f>IF($H822="","",$H822-ROUND(IFERROR($H822*VLOOKUP($G822,'설정 Settings'!$A$122:$F$130,4,0)+VLOOKUP($G822,'설정 Settings'!$A$122:$F$130,5,0),0),2))</f>
      </c>
      <c r="Q822" s="42">
        <f>IF(AND($I822="OPEN",$B822&lt;&gt;""),IF('설정 Settings'!$C$15-$B822&gt;='설정 Settings'!$C$62,"후속 연락 필요",""),"")</f>
      </c>
    </row>
    <row r="823" spans="15:17" x14ac:dyDescent="0.25">
      <c r="O823" s="40">
        <f>IF(AND($L823="Y",$J823&lt;&gt;""),$J823+'설정 Settings'!$C$18,"")</f>
      </c>
      <c r="P823" s="41">
        <f>IF($H823="","",$H823-ROUND(IFERROR($H823*VLOOKUP($G823,'설정 Settings'!$A$122:$F$130,4,0)+VLOOKUP($G823,'설정 Settings'!$A$122:$F$130,5,0),0),2))</f>
      </c>
      <c r="Q823" s="42">
        <f>IF(AND($I823="OPEN",$B823&lt;&gt;""),IF('설정 Settings'!$C$15-$B823&gt;='설정 Settings'!$C$62,"후속 연락 필요",""),"")</f>
      </c>
    </row>
    <row r="824" spans="15:17" x14ac:dyDescent="0.25">
      <c r="O824" s="40">
        <f>IF(AND($L824="Y",$J824&lt;&gt;""),$J824+'설정 Settings'!$C$18,"")</f>
      </c>
      <c r="P824" s="41">
        <f>IF($H824="","",$H824-ROUND(IFERROR($H824*VLOOKUP($G824,'설정 Settings'!$A$122:$F$130,4,0)+VLOOKUP($G824,'설정 Settings'!$A$122:$F$130,5,0),0),2))</f>
      </c>
      <c r="Q824" s="42">
        <f>IF(AND($I824="OPEN",$B824&lt;&gt;""),IF('설정 Settings'!$C$15-$B824&gt;='설정 Settings'!$C$62,"후속 연락 필요",""),"")</f>
      </c>
    </row>
    <row r="825" spans="15:17" x14ac:dyDescent="0.25">
      <c r="O825" s="40">
        <f>IF(AND($L825="Y",$J825&lt;&gt;""),$J825+'설정 Settings'!$C$18,"")</f>
      </c>
      <c r="P825" s="41">
        <f>IF($H825="","",$H825-ROUND(IFERROR($H825*VLOOKUP($G825,'설정 Settings'!$A$122:$F$130,4,0)+VLOOKUP($G825,'설정 Settings'!$A$122:$F$130,5,0),0),2))</f>
      </c>
      <c r="Q825" s="42">
        <f>IF(AND($I825="OPEN",$B825&lt;&gt;""),IF('설정 Settings'!$C$15-$B825&gt;='설정 Settings'!$C$62,"후속 연락 필요",""),"")</f>
      </c>
    </row>
    <row r="826" spans="15:17" x14ac:dyDescent="0.25">
      <c r="O826" s="40">
        <f>IF(AND($L826="Y",$J826&lt;&gt;""),$J826+'설정 Settings'!$C$18,"")</f>
      </c>
      <c r="P826" s="41">
        <f>IF($H826="","",$H826-ROUND(IFERROR($H826*VLOOKUP($G826,'설정 Settings'!$A$122:$F$130,4,0)+VLOOKUP($G826,'설정 Settings'!$A$122:$F$130,5,0),0),2))</f>
      </c>
      <c r="Q826" s="42">
        <f>IF(AND($I826="OPEN",$B826&lt;&gt;""),IF('설정 Settings'!$C$15-$B826&gt;='설정 Settings'!$C$62,"후속 연락 필요",""),"")</f>
      </c>
    </row>
    <row r="827" spans="15:17" x14ac:dyDescent="0.25">
      <c r="O827" s="40">
        <f>IF(AND($L827="Y",$J827&lt;&gt;""),$J827+'설정 Settings'!$C$18,"")</f>
      </c>
      <c r="P827" s="41">
        <f>IF($H827="","",$H827-ROUND(IFERROR($H827*VLOOKUP($G827,'설정 Settings'!$A$122:$F$130,4,0)+VLOOKUP($G827,'설정 Settings'!$A$122:$F$130,5,0),0),2))</f>
      </c>
      <c r="Q827" s="42">
        <f>IF(AND($I827="OPEN",$B827&lt;&gt;""),IF('설정 Settings'!$C$15-$B827&gt;='설정 Settings'!$C$62,"후속 연락 필요",""),"")</f>
      </c>
    </row>
    <row r="828" spans="15:17" x14ac:dyDescent="0.25">
      <c r="O828" s="40">
        <f>IF(AND($L828="Y",$J828&lt;&gt;""),$J828+'설정 Settings'!$C$18,"")</f>
      </c>
      <c r="P828" s="41">
        <f>IF($H828="","",$H828-ROUND(IFERROR($H828*VLOOKUP($G828,'설정 Settings'!$A$122:$F$130,4,0)+VLOOKUP($G828,'설정 Settings'!$A$122:$F$130,5,0),0),2))</f>
      </c>
      <c r="Q828" s="42">
        <f>IF(AND($I828="OPEN",$B828&lt;&gt;""),IF('설정 Settings'!$C$15-$B828&gt;='설정 Settings'!$C$62,"후속 연락 필요",""),"")</f>
      </c>
    </row>
    <row r="829" spans="15:17" x14ac:dyDescent="0.25">
      <c r="O829" s="40">
        <f>IF(AND($L829="Y",$J829&lt;&gt;""),$J829+'설정 Settings'!$C$18,"")</f>
      </c>
      <c r="P829" s="41">
        <f>IF($H829="","",$H829-ROUND(IFERROR($H829*VLOOKUP($G829,'설정 Settings'!$A$122:$F$130,4,0)+VLOOKUP($G829,'설정 Settings'!$A$122:$F$130,5,0),0),2))</f>
      </c>
      <c r="Q829" s="42">
        <f>IF(AND($I829="OPEN",$B829&lt;&gt;""),IF('설정 Settings'!$C$15-$B829&gt;='설정 Settings'!$C$62,"후속 연락 필요",""),"")</f>
      </c>
    </row>
    <row r="830" spans="15:17" x14ac:dyDescent="0.25">
      <c r="O830" s="40">
        <f>IF(AND($L830="Y",$J830&lt;&gt;""),$J830+'설정 Settings'!$C$18,"")</f>
      </c>
      <c r="P830" s="41">
        <f>IF($H830="","",$H830-ROUND(IFERROR($H830*VLOOKUP($G830,'설정 Settings'!$A$122:$F$130,4,0)+VLOOKUP($G830,'설정 Settings'!$A$122:$F$130,5,0),0),2))</f>
      </c>
      <c r="Q830" s="42">
        <f>IF(AND($I830="OPEN",$B830&lt;&gt;""),IF('설정 Settings'!$C$15-$B830&gt;='설정 Settings'!$C$62,"후속 연락 필요",""),"")</f>
      </c>
    </row>
    <row r="831" spans="15:17" x14ac:dyDescent="0.25">
      <c r="O831" s="40">
        <f>IF(AND($L831="Y",$J831&lt;&gt;""),$J831+'설정 Settings'!$C$18,"")</f>
      </c>
      <c r="P831" s="41">
        <f>IF($H831="","",$H831-ROUND(IFERROR($H831*VLOOKUP($G831,'설정 Settings'!$A$122:$F$130,4,0)+VLOOKUP($G831,'설정 Settings'!$A$122:$F$130,5,0),0),2))</f>
      </c>
      <c r="Q831" s="42">
        <f>IF(AND($I831="OPEN",$B831&lt;&gt;""),IF('설정 Settings'!$C$15-$B831&gt;='설정 Settings'!$C$62,"후속 연락 필요",""),"")</f>
      </c>
    </row>
    <row r="832" spans="15:17" x14ac:dyDescent="0.25">
      <c r="O832" s="40">
        <f>IF(AND($L832="Y",$J832&lt;&gt;""),$J832+'설정 Settings'!$C$18,"")</f>
      </c>
      <c r="P832" s="41">
        <f>IF($H832="","",$H832-ROUND(IFERROR($H832*VLOOKUP($G832,'설정 Settings'!$A$122:$F$130,4,0)+VLOOKUP($G832,'설정 Settings'!$A$122:$F$130,5,0),0),2))</f>
      </c>
      <c r="Q832" s="42">
        <f>IF(AND($I832="OPEN",$B832&lt;&gt;""),IF('설정 Settings'!$C$15-$B832&gt;='설정 Settings'!$C$62,"후속 연락 필요",""),"")</f>
      </c>
    </row>
    <row r="833" spans="15:17" x14ac:dyDescent="0.25">
      <c r="O833" s="40">
        <f>IF(AND($L833="Y",$J833&lt;&gt;""),$J833+'설정 Settings'!$C$18,"")</f>
      </c>
      <c r="P833" s="41">
        <f>IF($H833="","",$H833-ROUND(IFERROR($H833*VLOOKUP($G833,'설정 Settings'!$A$122:$F$130,4,0)+VLOOKUP($G833,'설정 Settings'!$A$122:$F$130,5,0),0),2))</f>
      </c>
      <c r="Q833" s="42">
        <f>IF(AND($I833="OPEN",$B833&lt;&gt;""),IF('설정 Settings'!$C$15-$B833&gt;='설정 Settings'!$C$62,"후속 연락 필요",""),"")</f>
      </c>
    </row>
    <row r="834" spans="15:17" x14ac:dyDescent="0.25">
      <c r="O834" s="40">
        <f>IF(AND($L834="Y",$J834&lt;&gt;""),$J834+'설정 Settings'!$C$18,"")</f>
      </c>
      <c r="P834" s="41">
        <f>IF($H834="","",$H834-ROUND(IFERROR($H834*VLOOKUP($G834,'설정 Settings'!$A$122:$F$130,4,0)+VLOOKUP($G834,'설정 Settings'!$A$122:$F$130,5,0),0),2))</f>
      </c>
      <c r="Q834" s="42">
        <f>IF(AND($I834="OPEN",$B834&lt;&gt;""),IF('설정 Settings'!$C$15-$B834&gt;='설정 Settings'!$C$62,"후속 연락 필요",""),"")</f>
      </c>
    </row>
    <row r="835" spans="15:17" x14ac:dyDescent="0.25">
      <c r="O835" s="40">
        <f>IF(AND($L835="Y",$J835&lt;&gt;""),$J835+'설정 Settings'!$C$18,"")</f>
      </c>
      <c r="P835" s="41">
        <f>IF($H835="","",$H835-ROUND(IFERROR($H835*VLOOKUP($G835,'설정 Settings'!$A$122:$F$130,4,0)+VLOOKUP($G835,'설정 Settings'!$A$122:$F$130,5,0),0),2))</f>
      </c>
      <c r="Q835" s="42">
        <f>IF(AND($I835="OPEN",$B835&lt;&gt;""),IF('설정 Settings'!$C$15-$B835&gt;='설정 Settings'!$C$62,"후속 연락 필요",""),"")</f>
      </c>
    </row>
    <row r="836" spans="15:17" x14ac:dyDescent="0.25">
      <c r="O836" s="40">
        <f>IF(AND($L836="Y",$J836&lt;&gt;""),$J836+'설정 Settings'!$C$18,"")</f>
      </c>
      <c r="P836" s="41">
        <f>IF($H836="","",$H836-ROUND(IFERROR($H836*VLOOKUP($G836,'설정 Settings'!$A$122:$F$130,4,0)+VLOOKUP($G836,'설정 Settings'!$A$122:$F$130,5,0),0),2))</f>
      </c>
      <c r="Q836" s="42">
        <f>IF(AND($I836="OPEN",$B836&lt;&gt;""),IF('설정 Settings'!$C$15-$B836&gt;='설정 Settings'!$C$62,"후속 연락 필요",""),"")</f>
      </c>
    </row>
    <row r="837" spans="15:17" x14ac:dyDescent="0.25">
      <c r="O837" s="40">
        <f>IF(AND($L837="Y",$J837&lt;&gt;""),$J837+'설정 Settings'!$C$18,"")</f>
      </c>
      <c r="P837" s="41">
        <f>IF($H837="","",$H837-ROUND(IFERROR($H837*VLOOKUP($G837,'설정 Settings'!$A$122:$F$130,4,0)+VLOOKUP($G837,'설정 Settings'!$A$122:$F$130,5,0),0),2))</f>
      </c>
      <c r="Q837" s="42">
        <f>IF(AND($I837="OPEN",$B837&lt;&gt;""),IF('설정 Settings'!$C$15-$B837&gt;='설정 Settings'!$C$62,"후속 연락 필요",""),"")</f>
      </c>
    </row>
    <row r="838" spans="15:17" x14ac:dyDescent="0.25">
      <c r="O838" s="40">
        <f>IF(AND($L838="Y",$J838&lt;&gt;""),$J838+'설정 Settings'!$C$18,"")</f>
      </c>
      <c r="P838" s="41">
        <f>IF($H838="","",$H838-ROUND(IFERROR($H838*VLOOKUP($G838,'설정 Settings'!$A$122:$F$130,4,0)+VLOOKUP($G838,'설정 Settings'!$A$122:$F$130,5,0),0),2))</f>
      </c>
      <c r="Q838" s="42">
        <f>IF(AND($I838="OPEN",$B838&lt;&gt;""),IF('설정 Settings'!$C$15-$B838&gt;='설정 Settings'!$C$62,"후속 연락 필요",""),"")</f>
      </c>
    </row>
    <row r="839" spans="15:17" x14ac:dyDescent="0.25">
      <c r="O839" s="40">
        <f>IF(AND($L839="Y",$J839&lt;&gt;""),$J839+'설정 Settings'!$C$18,"")</f>
      </c>
      <c r="P839" s="41">
        <f>IF($H839="","",$H839-ROUND(IFERROR($H839*VLOOKUP($G839,'설정 Settings'!$A$122:$F$130,4,0)+VLOOKUP($G839,'설정 Settings'!$A$122:$F$130,5,0),0),2))</f>
      </c>
      <c r="Q839" s="42">
        <f>IF(AND($I839="OPEN",$B839&lt;&gt;""),IF('설정 Settings'!$C$15-$B839&gt;='설정 Settings'!$C$62,"후속 연락 필요",""),"")</f>
      </c>
    </row>
    <row r="840" spans="15:17" x14ac:dyDescent="0.25">
      <c r="O840" s="40">
        <f>IF(AND($L840="Y",$J840&lt;&gt;""),$J840+'설정 Settings'!$C$18,"")</f>
      </c>
      <c r="P840" s="41">
        <f>IF($H840="","",$H840-ROUND(IFERROR($H840*VLOOKUP($G840,'설정 Settings'!$A$122:$F$130,4,0)+VLOOKUP($G840,'설정 Settings'!$A$122:$F$130,5,0),0),2))</f>
      </c>
      <c r="Q840" s="42">
        <f>IF(AND($I840="OPEN",$B840&lt;&gt;""),IF('설정 Settings'!$C$15-$B840&gt;='설정 Settings'!$C$62,"후속 연락 필요",""),"")</f>
      </c>
    </row>
    <row r="841" spans="15:17" x14ac:dyDescent="0.25">
      <c r="O841" s="40">
        <f>IF(AND($L841="Y",$J841&lt;&gt;""),$J841+'설정 Settings'!$C$18,"")</f>
      </c>
      <c r="P841" s="41">
        <f>IF($H841="","",$H841-ROUND(IFERROR($H841*VLOOKUP($G841,'설정 Settings'!$A$122:$F$130,4,0)+VLOOKUP($G841,'설정 Settings'!$A$122:$F$130,5,0),0),2))</f>
      </c>
      <c r="Q841" s="42">
        <f>IF(AND($I841="OPEN",$B841&lt;&gt;""),IF('설정 Settings'!$C$15-$B841&gt;='설정 Settings'!$C$62,"후속 연락 필요",""),"")</f>
      </c>
    </row>
    <row r="842" spans="15:17" x14ac:dyDescent="0.25">
      <c r="O842" s="40">
        <f>IF(AND($L842="Y",$J842&lt;&gt;""),$J842+'설정 Settings'!$C$18,"")</f>
      </c>
      <c r="P842" s="41">
        <f>IF($H842="","",$H842-ROUND(IFERROR($H842*VLOOKUP($G842,'설정 Settings'!$A$122:$F$130,4,0)+VLOOKUP($G842,'설정 Settings'!$A$122:$F$130,5,0),0),2))</f>
      </c>
      <c r="Q842" s="42">
        <f>IF(AND($I842="OPEN",$B842&lt;&gt;""),IF('설정 Settings'!$C$15-$B842&gt;='설정 Settings'!$C$62,"후속 연락 필요",""),"")</f>
      </c>
    </row>
    <row r="843" spans="15:17" x14ac:dyDescent="0.25">
      <c r="O843" s="40">
        <f>IF(AND($L843="Y",$J843&lt;&gt;""),$J843+'설정 Settings'!$C$18,"")</f>
      </c>
      <c r="P843" s="41">
        <f>IF($H843="","",$H843-ROUND(IFERROR($H843*VLOOKUP($G843,'설정 Settings'!$A$122:$F$130,4,0)+VLOOKUP($G843,'설정 Settings'!$A$122:$F$130,5,0),0),2))</f>
      </c>
      <c r="Q843" s="42">
        <f>IF(AND($I843="OPEN",$B843&lt;&gt;""),IF('설정 Settings'!$C$15-$B843&gt;='설정 Settings'!$C$62,"후속 연락 필요",""),"")</f>
      </c>
    </row>
    <row r="844" spans="15:17" x14ac:dyDescent="0.25">
      <c r="O844" s="40">
        <f>IF(AND($L844="Y",$J844&lt;&gt;""),$J844+'설정 Settings'!$C$18,"")</f>
      </c>
      <c r="P844" s="41">
        <f>IF($H844="","",$H844-ROUND(IFERROR($H844*VLOOKUP($G844,'설정 Settings'!$A$122:$F$130,4,0)+VLOOKUP($G844,'설정 Settings'!$A$122:$F$130,5,0),0),2))</f>
      </c>
      <c r="Q844" s="42">
        <f>IF(AND($I844="OPEN",$B844&lt;&gt;""),IF('설정 Settings'!$C$15-$B844&gt;='설정 Settings'!$C$62,"후속 연락 필요",""),"")</f>
      </c>
    </row>
    <row r="845" spans="15:17" x14ac:dyDescent="0.25">
      <c r="O845" s="40">
        <f>IF(AND($L845="Y",$J845&lt;&gt;""),$J845+'설정 Settings'!$C$18,"")</f>
      </c>
      <c r="P845" s="41">
        <f>IF($H845="","",$H845-ROUND(IFERROR($H845*VLOOKUP($G845,'설정 Settings'!$A$122:$F$130,4,0)+VLOOKUP($G845,'설정 Settings'!$A$122:$F$130,5,0),0),2))</f>
      </c>
      <c r="Q845" s="42">
        <f>IF(AND($I845="OPEN",$B845&lt;&gt;""),IF('설정 Settings'!$C$15-$B845&gt;='설정 Settings'!$C$62,"후속 연락 필요",""),"")</f>
      </c>
    </row>
    <row r="846" spans="15:17" x14ac:dyDescent="0.25">
      <c r="O846" s="40">
        <f>IF(AND($L846="Y",$J846&lt;&gt;""),$J846+'설정 Settings'!$C$18,"")</f>
      </c>
      <c r="P846" s="41">
        <f>IF($H846="","",$H846-ROUND(IFERROR($H846*VLOOKUP($G846,'설정 Settings'!$A$122:$F$130,4,0)+VLOOKUP($G846,'설정 Settings'!$A$122:$F$130,5,0),0),2))</f>
      </c>
      <c r="Q846" s="42">
        <f>IF(AND($I846="OPEN",$B846&lt;&gt;""),IF('설정 Settings'!$C$15-$B846&gt;='설정 Settings'!$C$62,"후속 연락 필요",""),"")</f>
      </c>
    </row>
    <row r="847" spans="15:17" x14ac:dyDescent="0.25">
      <c r="O847" s="40">
        <f>IF(AND($L847="Y",$J847&lt;&gt;""),$J847+'설정 Settings'!$C$18,"")</f>
      </c>
      <c r="P847" s="41">
        <f>IF($H847="","",$H847-ROUND(IFERROR($H847*VLOOKUP($G847,'설정 Settings'!$A$122:$F$130,4,0)+VLOOKUP($G847,'설정 Settings'!$A$122:$F$130,5,0),0),2))</f>
      </c>
      <c r="Q847" s="42">
        <f>IF(AND($I847="OPEN",$B847&lt;&gt;""),IF('설정 Settings'!$C$15-$B847&gt;='설정 Settings'!$C$62,"후속 연락 필요",""),"")</f>
      </c>
    </row>
    <row r="848" spans="15:17" x14ac:dyDescent="0.25">
      <c r="O848" s="40">
        <f>IF(AND($L848="Y",$J848&lt;&gt;""),$J848+'설정 Settings'!$C$18,"")</f>
      </c>
      <c r="P848" s="41">
        <f>IF($H848="","",$H848-ROUND(IFERROR($H848*VLOOKUP($G848,'설정 Settings'!$A$122:$F$130,4,0)+VLOOKUP($G848,'설정 Settings'!$A$122:$F$130,5,0),0),2))</f>
      </c>
      <c r="Q848" s="42">
        <f>IF(AND($I848="OPEN",$B848&lt;&gt;""),IF('설정 Settings'!$C$15-$B848&gt;='설정 Settings'!$C$62,"후속 연락 필요",""),"")</f>
      </c>
    </row>
    <row r="849" spans="15:17" x14ac:dyDescent="0.25">
      <c r="O849" s="40">
        <f>IF(AND($L849="Y",$J849&lt;&gt;""),$J849+'설정 Settings'!$C$18,"")</f>
      </c>
      <c r="P849" s="41">
        <f>IF($H849="","",$H849-ROUND(IFERROR($H849*VLOOKUP($G849,'설정 Settings'!$A$122:$F$130,4,0)+VLOOKUP($G849,'설정 Settings'!$A$122:$F$130,5,0),0),2))</f>
      </c>
      <c r="Q849" s="42">
        <f>IF(AND($I849="OPEN",$B849&lt;&gt;""),IF('설정 Settings'!$C$15-$B849&gt;='설정 Settings'!$C$62,"후속 연락 필요",""),"")</f>
      </c>
    </row>
    <row r="850" spans="15:17" x14ac:dyDescent="0.25">
      <c r="O850" s="40">
        <f>IF(AND($L850="Y",$J850&lt;&gt;""),$J850+'설정 Settings'!$C$18,"")</f>
      </c>
      <c r="P850" s="41">
        <f>IF($H850="","",$H850-ROUND(IFERROR($H850*VLOOKUP($G850,'설정 Settings'!$A$122:$F$130,4,0)+VLOOKUP($G850,'설정 Settings'!$A$122:$F$130,5,0),0),2))</f>
      </c>
      <c r="Q850" s="42">
        <f>IF(AND($I850="OPEN",$B850&lt;&gt;""),IF('설정 Settings'!$C$15-$B850&gt;='설정 Settings'!$C$62,"후속 연락 필요",""),"")</f>
      </c>
    </row>
    <row r="851" spans="15:17" x14ac:dyDescent="0.25">
      <c r="O851" s="40">
        <f>IF(AND($L851="Y",$J851&lt;&gt;""),$J851+'설정 Settings'!$C$18,"")</f>
      </c>
      <c r="P851" s="41">
        <f>IF($H851="","",$H851-ROUND(IFERROR($H851*VLOOKUP($G851,'설정 Settings'!$A$122:$F$130,4,0)+VLOOKUP($G851,'설정 Settings'!$A$122:$F$130,5,0),0),2))</f>
      </c>
      <c r="Q851" s="42">
        <f>IF(AND($I851="OPEN",$B851&lt;&gt;""),IF('설정 Settings'!$C$15-$B851&gt;='설정 Settings'!$C$62,"후속 연락 필요",""),"")</f>
      </c>
    </row>
    <row r="852" spans="15:17" x14ac:dyDescent="0.25">
      <c r="O852" s="40">
        <f>IF(AND($L852="Y",$J852&lt;&gt;""),$J852+'설정 Settings'!$C$18,"")</f>
      </c>
      <c r="P852" s="41">
        <f>IF($H852="","",$H852-ROUND(IFERROR($H852*VLOOKUP($G852,'설정 Settings'!$A$122:$F$130,4,0)+VLOOKUP($G852,'설정 Settings'!$A$122:$F$130,5,0),0),2))</f>
      </c>
      <c r="Q852" s="42">
        <f>IF(AND($I852="OPEN",$B852&lt;&gt;""),IF('설정 Settings'!$C$15-$B852&gt;='설정 Settings'!$C$62,"후속 연락 필요",""),"")</f>
      </c>
    </row>
    <row r="853" spans="15:17" x14ac:dyDescent="0.25">
      <c r="O853" s="40">
        <f>IF(AND($L853="Y",$J853&lt;&gt;""),$J853+'설정 Settings'!$C$18,"")</f>
      </c>
      <c r="P853" s="41">
        <f>IF($H853="","",$H853-ROUND(IFERROR($H853*VLOOKUP($G853,'설정 Settings'!$A$122:$F$130,4,0)+VLOOKUP($G853,'설정 Settings'!$A$122:$F$130,5,0),0),2))</f>
      </c>
      <c r="Q853" s="42">
        <f>IF(AND($I853="OPEN",$B853&lt;&gt;""),IF('설정 Settings'!$C$15-$B853&gt;='설정 Settings'!$C$62,"후속 연락 필요",""),"")</f>
      </c>
    </row>
    <row r="854" spans="15:17" x14ac:dyDescent="0.25">
      <c r="O854" s="40">
        <f>IF(AND($L854="Y",$J854&lt;&gt;""),$J854+'설정 Settings'!$C$18,"")</f>
      </c>
      <c r="P854" s="41">
        <f>IF($H854="","",$H854-ROUND(IFERROR($H854*VLOOKUP($G854,'설정 Settings'!$A$122:$F$130,4,0)+VLOOKUP($G854,'설정 Settings'!$A$122:$F$130,5,0),0),2))</f>
      </c>
      <c r="Q854" s="42">
        <f>IF(AND($I854="OPEN",$B854&lt;&gt;""),IF('설정 Settings'!$C$15-$B854&gt;='설정 Settings'!$C$62,"후속 연락 필요",""),"")</f>
      </c>
    </row>
    <row r="855" spans="15:17" x14ac:dyDescent="0.25">
      <c r="O855" s="40">
        <f>IF(AND($L855="Y",$J855&lt;&gt;""),$J855+'설정 Settings'!$C$18,"")</f>
      </c>
      <c r="P855" s="41">
        <f>IF($H855="","",$H855-ROUND(IFERROR($H855*VLOOKUP($G855,'설정 Settings'!$A$122:$F$130,4,0)+VLOOKUP($G855,'설정 Settings'!$A$122:$F$130,5,0),0),2))</f>
      </c>
      <c r="Q855" s="42">
        <f>IF(AND($I855="OPEN",$B855&lt;&gt;""),IF('설정 Settings'!$C$15-$B855&gt;='설정 Settings'!$C$62,"후속 연락 필요",""),"")</f>
      </c>
    </row>
    <row r="856" spans="15:17" x14ac:dyDescent="0.25">
      <c r="O856" s="40">
        <f>IF(AND($L856="Y",$J856&lt;&gt;""),$J856+'설정 Settings'!$C$18,"")</f>
      </c>
      <c r="P856" s="41">
        <f>IF($H856="","",$H856-ROUND(IFERROR($H856*VLOOKUP($G856,'설정 Settings'!$A$122:$F$130,4,0)+VLOOKUP($G856,'설정 Settings'!$A$122:$F$130,5,0),0),2))</f>
      </c>
      <c r="Q856" s="42">
        <f>IF(AND($I856="OPEN",$B856&lt;&gt;""),IF('설정 Settings'!$C$15-$B856&gt;='설정 Settings'!$C$62,"후속 연락 필요",""),"")</f>
      </c>
    </row>
    <row r="857" spans="15:17" x14ac:dyDescent="0.25">
      <c r="O857" s="40">
        <f>IF(AND($L857="Y",$J857&lt;&gt;""),$J857+'설정 Settings'!$C$18,"")</f>
      </c>
      <c r="P857" s="41">
        <f>IF($H857="","",$H857-ROUND(IFERROR($H857*VLOOKUP($G857,'설정 Settings'!$A$122:$F$130,4,0)+VLOOKUP($G857,'설정 Settings'!$A$122:$F$130,5,0),0),2))</f>
      </c>
      <c r="Q857" s="42">
        <f>IF(AND($I857="OPEN",$B857&lt;&gt;""),IF('설정 Settings'!$C$15-$B857&gt;='설정 Settings'!$C$62,"후속 연락 필요",""),"")</f>
      </c>
    </row>
    <row r="858" spans="15:17" x14ac:dyDescent="0.25">
      <c r="O858" s="40">
        <f>IF(AND($L858="Y",$J858&lt;&gt;""),$J858+'설정 Settings'!$C$18,"")</f>
      </c>
      <c r="P858" s="41">
        <f>IF($H858="","",$H858-ROUND(IFERROR($H858*VLOOKUP($G858,'설정 Settings'!$A$122:$F$130,4,0)+VLOOKUP($G858,'설정 Settings'!$A$122:$F$130,5,0),0),2))</f>
      </c>
      <c r="Q858" s="42">
        <f>IF(AND($I858="OPEN",$B858&lt;&gt;""),IF('설정 Settings'!$C$15-$B858&gt;='설정 Settings'!$C$62,"후속 연락 필요",""),"")</f>
      </c>
    </row>
    <row r="859" spans="15:17" x14ac:dyDescent="0.25">
      <c r="O859" s="40">
        <f>IF(AND($L859="Y",$J859&lt;&gt;""),$J859+'설정 Settings'!$C$18,"")</f>
      </c>
      <c r="P859" s="41">
        <f>IF($H859="","",$H859-ROUND(IFERROR($H859*VLOOKUP($G859,'설정 Settings'!$A$122:$F$130,4,0)+VLOOKUP($G859,'설정 Settings'!$A$122:$F$130,5,0),0),2))</f>
      </c>
      <c r="Q859" s="42">
        <f>IF(AND($I859="OPEN",$B859&lt;&gt;""),IF('설정 Settings'!$C$15-$B859&gt;='설정 Settings'!$C$62,"후속 연락 필요",""),"")</f>
      </c>
    </row>
    <row r="860" spans="15:17" x14ac:dyDescent="0.25">
      <c r="O860" s="40">
        <f>IF(AND($L860="Y",$J860&lt;&gt;""),$J860+'설정 Settings'!$C$18,"")</f>
      </c>
      <c r="P860" s="41">
        <f>IF($H860="","",$H860-ROUND(IFERROR($H860*VLOOKUP($G860,'설정 Settings'!$A$122:$F$130,4,0)+VLOOKUP($G860,'설정 Settings'!$A$122:$F$130,5,0),0),2))</f>
      </c>
      <c r="Q860" s="42">
        <f>IF(AND($I860="OPEN",$B860&lt;&gt;""),IF('설정 Settings'!$C$15-$B860&gt;='설정 Settings'!$C$62,"후속 연락 필요",""),"")</f>
      </c>
    </row>
    <row r="861" spans="15:17" x14ac:dyDescent="0.25">
      <c r="O861" s="40">
        <f>IF(AND($L861="Y",$J861&lt;&gt;""),$J861+'설정 Settings'!$C$18,"")</f>
      </c>
      <c r="P861" s="41">
        <f>IF($H861="","",$H861-ROUND(IFERROR($H861*VLOOKUP($G861,'설정 Settings'!$A$122:$F$130,4,0)+VLOOKUP($G861,'설정 Settings'!$A$122:$F$130,5,0),0),2))</f>
      </c>
      <c r="Q861" s="42">
        <f>IF(AND($I861="OPEN",$B861&lt;&gt;""),IF('설정 Settings'!$C$15-$B861&gt;='설정 Settings'!$C$62,"후속 연락 필요",""),"")</f>
      </c>
    </row>
    <row r="862" spans="15:17" x14ac:dyDescent="0.25">
      <c r="O862" s="40">
        <f>IF(AND($L862="Y",$J862&lt;&gt;""),$J862+'설정 Settings'!$C$18,"")</f>
      </c>
      <c r="P862" s="41">
        <f>IF($H862="","",$H862-ROUND(IFERROR($H862*VLOOKUP($G862,'설정 Settings'!$A$122:$F$130,4,0)+VLOOKUP($G862,'설정 Settings'!$A$122:$F$130,5,0),0),2))</f>
      </c>
      <c r="Q862" s="42">
        <f>IF(AND($I862="OPEN",$B862&lt;&gt;""),IF('설정 Settings'!$C$15-$B862&gt;='설정 Settings'!$C$62,"후속 연락 필요",""),"")</f>
      </c>
    </row>
    <row r="863" spans="15:17" x14ac:dyDescent="0.25">
      <c r="O863" s="40">
        <f>IF(AND($L863="Y",$J863&lt;&gt;""),$J863+'설정 Settings'!$C$18,"")</f>
      </c>
      <c r="P863" s="41">
        <f>IF($H863="","",$H863-ROUND(IFERROR($H863*VLOOKUP($G863,'설정 Settings'!$A$122:$F$130,4,0)+VLOOKUP($G863,'설정 Settings'!$A$122:$F$130,5,0),0),2))</f>
      </c>
      <c r="Q863" s="42">
        <f>IF(AND($I863="OPEN",$B863&lt;&gt;""),IF('설정 Settings'!$C$15-$B863&gt;='설정 Settings'!$C$62,"후속 연락 필요",""),"")</f>
      </c>
    </row>
    <row r="864" spans="15:17" x14ac:dyDescent="0.25">
      <c r="O864" s="40">
        <f>IF(AND($L864="Y",$J864&lt;&gt;""),$J864+'설정 Settings'!$C$18,"")</f>
      </c>
      <c r="P864" s="41">
        <f>IF($H864="","",$H864-ROUND(IFERROR($H864*VLOOKUP($G864,'설정 Settings'!$A$122:$F$130,4,0)+VLOOKUP($G864,'설정 Settings'!$A$122:$F$130,5,0),0),2))</f>
      </c>
      <c r="Q864" s="42">
        <f>IF(AND($I864="OPEN",$B864&lt;&gt;""),IF('설정 Settings'!$C$15-$B864&gt;='설정 Settings'!$C$62,"후속 연락 필요",""),"")</f>
      </c>
    </row>
    <row r="865" spans="15:17" x14ac:dyDescent="0.25">
      <c r="O865" s="40">
        <f>IF(AND($L865="Y",$J865&lt;&gt;""),$J865+'설정 Settings'!$C$18,"")</f>
      </c>
      <c r="P865" s="41">
        <f>IF($H865="","",$H865-ROUND(IFERROR($H865*VLOOKUP($G865,'설정 Settings'!$A$122:$F$130,4,0)+VLOOKUP($G865,'설정 Settings'!$A$122:$F$130,5,0),0),2))</f>
      </c>
      <c r="Q865" s="42">
        <f>IF(AND($I865="OPEN",$B865&lt;&gt;""),IF('설정 Settings'!$C$15-$B865&gt;='설정 Settings'!$C$62,"후속 연락 필요",""),"")</f>
      </c>
    </row>
    <row r="866" spans="15:17" x14ac:dyDescent="0.25">
      <c r="O866" s="40">
        <f>IF(AND($L866="Y",$J866&lt;&gt;""),$J866+'설정 Settings'!$C$18,"")</f>
      </c>
      <c r="P866" s="41">
        <f>IF($H866="","",$H866-ROUND(IFERROR($H866*VLOOKUP($G866,'설정 Settings'!$A$122:$F$130,4,0)+VLOOKUP($G866,'설정 Settings'!$A$122:$F$130,5,0),0),2))</f>
      </c>
      <c r="Q866" s="42">
        <f>IF(AND($I866="OPEN",$B866&lt;&gt;""),IF('설정 Settings'!$C$15-$B866&gt;='설정 Settings'!$C$62,"후속 연락 필요",""),"")</f>
      </c>
    </row>
    <row r="867" spans="15:17" x14ac:dyDescent="0.25">
      <c r="O867" s="40">
        <f>IF(AND($L867="Y",$J867&lt;&gt;""),$J867+'설정 Settings'!$C$18,"")</f>
      </c>
      <c r="P867" s="41">
        <f>IF($H867="","",$H867-ROUND(IFERROR($H867*VLOOKUP($G867,'설정 Settings'!$A$122:$F$130,4,0)+VLOOKUP($G867,'설정 Settings'!$A$122:$F$130,5,0),0),2))</f>
      </c>
      <c r="Q867" s="42">
        <f>IF(AND($I867="OPEN",$B867&lt;&gt;""),IF('설정 Settings'!$C$15-$B867&gt;='설정 Settings'!$C$62,"후속 연락 필요",""),"")</f>
      </c>
    </row>
    <row r="868" spans="15:17" x14ac:dyDescent="0.25">
      <c r="O868" s="40">
        <f>IF(AND($L868="Y",$J868&lt;&gt;""),$J868+'설정 Settings'!$C$18,"")</f>
      </c>
      <c r="P868" s="41">
        <f>IF($H868="","",$H868-ROUND(IFERROR($H868*VLOOKUP($G868,'설정 Settings'!$A$122:$F$130,4,0)+VLOOKUP($G868,'설정 Settings'!$A$122:$F$130,5,0),0),2))</f>
      </c>
      <c r="Q868" s="42">
        <f>IF(AND($I868="OPEN",$B868&lt;&gt;""),IF('설정 Settings'!$C$15-$B868&gt;='설정 Settings'!$C$62,"후속 연락 필요",""),"")</f>
      </c>
    </row>
    <row r="869" spans="15:17" x14ac:dyDescent="0.25">
      <c r="O869" s="40">
        <f>IF(AND($L869="Y",$J869&lt;&gt;""),$J869+'설정 Settings'!$C$18,"")</f>
      </c>
      <c r="P869" s="41">
        <f>IF($H869="","",$H869-ROUND(IFERROR($H869*VLOOKUP($G869,'설정 Settings'!$A$122:$F$130,4,0)+VLOOKUP($G869,'설정 Settings'!$A$122:$F$130,5,0),0),2))</f>
      </c>
      <c r="Q869" s="42">
        <f>IF(AND($I869="OPEN",$B869&lt;&gt;""),IF('설정 Settings'!$C$15-$B869&gt;='설정 Settings'!$C$62,"후속 연락 필요",""),"")</f>
      </c>
    </row>
    <row r="870" spans="15:17" x14ac:dyDescent="0.25">
      <c r="O870" s="40">
        <f>IF(AND($L870="Y",$J870&lt;&gt;""),$J870+'설정 Settings'!$C$18,"")</f>
      </c>
      <c r="P870" s="41">
        <f>IF($H870="","",$H870-ROUND(IFERROR($H870*VLOOKUP($G870,'설정 Settings'!$A$122:$F$130,4,0)+VLOOKUP($G870,'설정 Settings'!$A$122:$F$130,5,0),0),2))</f>
      </c>
      <c r="Q870" s="42">
        <f>IF(AND($I870="OPEN",$B870&lt;&gt;""),IF('설정 Settings'!$C$15-$B870&gt;='설정 Settings'!$C$62,"후속 연락 필요",""),"")</f>
      </c>
    </row>
    <row r="871" spans="15:17" x14ac:dyDescent="0.25">
      <c r="O871" s="40">
        <f>IF(AND($L871="Y",$J871&lt;&gt;""),$J871+'설정 Settings'!$C$18,"")</f>
      </c>
      <c r="P871" s="41">
        <f>IF($H871="","",$H871-ROUND(IFERROR($H871*VLOOKUP($G871,'설정 Settings'!$A$122:$F$130,4,0)+VLOOKUP($G871,'설정 Settings'!$A$122:$F$130,5,0),0),2))</f>
      </c>
      <c r="Q871" s="42">
        <f>IF(AND($I871="OPEN",$B871&lt;&gt;""),IF('설정 Settings'!$C$15-$B871&gt;='설정 Settings'!$C$62,"후속 연락 필요",""),"")</f>
      </c>
    </row>
    <row r="872" spans="15:17" x14ac:dyDescent="0.25">
      <c r="O872" s="40">
        <f>IF(AND($L872="Y",$J872&lt;&gt;""),$J872+'설정 Settings'!$C$18,"")</f>
      </c>
      <c r="P872" s="41">
        <f>IF($H872="","",$H872-ROUND(IFERROR($H872*VLOOKUP($G872,'설정 Settings'!$A$122:$F$130,4,0)+VLOOKUP($G872,'설정 Settings'!$A$122:$F$130,5,0),0),2))</f>
      </c>
      <c r="Q872" s="42">
        <f>IF(AND($I872="OPEN",$B872&lt;&gt;""),IF('설정 Settings'!$C$15-$B872&gt;='설정 Settings'!$C$62,"후속 연락 필요",""),"")</f>
      </c>
    </row>
    <row r="873" spans="15:17" x14ac:dyDescent="0.25">
      <c r="O873" s="40">
        <f>IF(AND($L873="Y",$J873&lt;&gt;""),$J873+'설정 Settings'!$C$18,"")</f>
      </c>
      <c r="P873" s="41">
        <f>IF($H873="","",$H873-ROUND(IFERROR($H873*VLOOKUP($G873,'설정 Settings'!$A$122:$F$130,4,0)+VLOOKUP($G873,'설정 Settings'!$A$122:$F$130,5,0),0),2))</f>
      </c>
      <c r="Q873" s="42">
        <f>IF(AND($I873="OPEN",$B873&lt;&gt;""),IF('설정 Settings'!$C$15-$B873&gt;='설정 Settings'!$C$62,"후속 연락 필요",""),"")</f>
      </c>
    </row>
    <row r="874" spans="15:17" x14ac:dyDescent="0.25">
      <c r="O874" s="40">
        <f>IF(AND($L874="Y",$J874&lt;&gt;""),$J874+'설정 Settings'!$C$18,"")</f>
      </c>
      <c r="P874" s="41">
        <f>IF($H874="","",$H874-ROUND(IFERROR($H874*VLOOKUP($G874,'설정 Settings'!$A$122:$F$130,4,0)+VLOOKUP($G874,'설정 Settings'!$A$122:$F$130,5,0),0),2))</f>
      </c>
      <c r="Q874" s="42">
        <f>IF(AND($I874="OPEN",$B874&lt;&gt;""),IF('설정 Settings'!$C$15-$B874&gt;='설정 Settings'!$C$62,"후속 연락 필요",""),"")</f>
      </c>
    </row>
    <row r="875" spans="15:17" x14ac:dyDescent="0.25">
      <c r="O875" s="40">
        <f>IF(AND($L875="Y",$J875&lt;&gt;""),$J875+'설정 Settings'!$C$18,"")</f>
      </c>
      <c r="P875" s="41">
        <f>IF($H875="","",$H875-ROUND(IFERROR($H875*VLOOKUP($G875,'설정 Settings'!$A$122:$F$130,4,0)+VLOOKUP($G875,'설정 Settings'!$A$122:$F$130,5,0),0),2))</f>
      </c>
      <c r="Q875" s="42">
        <f>IF(AND($I875="OPEN",$B875&lt;&gt;""),IF('설정 Settings'!$C$15-$B875&gt;='설정 Settings'!$C$62,"후속 연락 필요",""),"")</f>
      </c>
    </row>
    <row r="876" spans="15:17" x14ac:dyDescent="0.25">
      <c r="O876" s="40">
        <f>IF(AND($L876="Y",$J876&lt;&gt;""),$J876+'설정 Settings'!$C$18,"")</f>
      </c>
      <c r="P876" s="41">
        <f>IF($H876="","",$H876-ROUND(IFERROR($H876*VLOOKUP($G876,'설정 Settings'!$A$122:$F$130,4,0)+VLOOKUP($G876,'설정 Settings'!$A$122:$F$130,5,0),0),2))</f>
      </c>
      <c r="Q876" s="42">
        <f>IF(AND($I876="OPEN",$B876&lt;&gt;""),IF('설정 Settings'!$C$15-$B876&gt;='설정 Settings'!$C$62,"후속 연락 필요",""),"")</f>
      </c>
    </row>
    <row r="877" spans="15:17" x14ac:dyDescent="0.25">
      <c r="O877" s="40">
        <f>IF(AND($L877="Y",$J877&lt;&gt;""),$J877+'설정 Settings'!$C$18,"")</f>
      </c>
      <c r="P877" s="41">
        <f>IF($H877="","",$H877-ROUND(IFERROR($H877*VLOOKUP($G877,'설정 Settings'!$A$122:$F$130,4,0)+VLOOKUP($G877,'설정 Settings'!$A$122:$F$130,5,0),0),2))</f>
      </c>
      <c r="Q877" s="42">
        <f>IF(AND($I877="OPEN",$B877&lt;&gt;""),IF('설정 Settings'!$C$15-$B877&gt;='설정 Settings'!$C$62,"후속 연락 필요",""),"")</f>
      </c>
    </row>
    <row r="878" spans="15:17" x14ac:dyDescent="0.25">
      <c r="O878" s="40">
        <f>IF(AND($L878="Y",$J878&lt;&gt;""),$J878+'설정 Settings'!$C$18,"")</f>
      </c>
      <c r="P878" s="41">
        <f>IF($H878="","",$H878-ROUND(IFERROR($H878*VLOOKUP($G878,'설정 Settings'!$A$122:$F$130,4,0)+VLOOKUP($G878,'설정 Settings'!$A$122:$F$130,5,0),0),2))</f>
      </c>
      <c r="Q878" s="42">
        <f>IF(AND($I878="OPEN",$B878&lt;&gt;""),IF('설정 Settings'!$C$15-$B878&gt;='설정 Settings'!$C$62,"후속 연락 필요",""),"")</f>
      </c>
    </row>
    <row r="879" spans="15:17" x14ac:dyDescent="0.25">
      <c r="O879" s="40">
        <f>IF(AND($L879="Y",$J879&lt;&gt;""),$J879+'설정 Settings'!$C$18,"")</f>
      </c>
      <c r="P879" s="41">
        <f>IF($H879="","",$H879-ROUND(IFERROR($H879*VLOOKUP($G879,'설정 Settings'!$A$122:$F$130,4,0)+VLOOKUP($G879,'설정 Settings'!$A$122:$F$130,5,0),0),2))</f>
      </c>
      <c r="Q879" s="42">
        <f>IF(AND($I879="OPEN",$B879&lt;&gt;""),IF('설정 Settings'!$C$15-$B879&gt;='설정 Settings'!$C$62,"후속 연락 필요",""),"")</f>
      </c>
    </row>
    <row r="880" spans="15:17" x14ac:dyDescent="0.25">
      <c r="O880" s="40">
        <f>IF(AND($L880="Y",$J880&lt;&gt;""),$J880+'설정 Settings'!$C$18,"")</f>
      </c>
      <c r="P880" s="41">
        <f>IF($H880="","",$H880-ROUND(IFERROR($H880*VLOOKUP($G880,'설정 Settings'!$A$122:$F$130,4,0)+VLOOKUP($G880,'설정 Settings'!$A$122:$F$130,5,0),0),2))</f>
      </c>
      <c r="Q880" s="42">
        <f>IF(AND($I880="OPEN",$B880&lt;&gt;""),IF('설정 Settings'!$C$15-$B880&gt;='설정 Settings'!$C$62,"후속 연락 필요",""),"")</f>
      </c>
    </row>
    <row r="881" spans="15:17" x14ac:dyDescent="0.25">
      <c r="O881" s="40">
        <f>IF(AND($L881="Y",$J881&lt;&gt;""),$J881+'설정 Settings'!$C$18,"")</f>
      </c>
      <c r="P881" s="41">
        <f>IF($H881="","",$H881-ROUND(IFERROR($H881*VLOOKUP($G881,'설정 Settings'!$A$122:$F$130,4,0)+VLOOKUP($G881,'설정 Settings'!$A$122:$F$130,5,0),0),2))</f>
      </c>
      <c r="Q881" s="42">
        <f>IF(AND($I881="OPEN",$B881&lt;&gt;""),IF('설정 Settings'!$C$15-$B881&gt;='설정 Settings'!$C$62,"후속 연락 필요",""),"")</f>
      </c>
    </row>
    <row r="882" spans="15:17" x14ac:dyDescent="0.25">
      <c r="O882" s="40">
        <f>IF(AND($L882="Y",$J882&lt;&gt;""),$J882+'설정 Settings'!$C$18,"")</f>
      </c>
      <c r="P882" s="41">
        <f>IF($H882="","",$H882-ROUND(IFERROR($H882*VLOOKUP($G882,'설정 Settings'!$A$122:$F$130,4,0)+VLOOKUP($G882,'설정 Settings'!$A$122:$F$130,5,0),0),2))</f>
      </c>
      <c r="Q882" s="42">
        <f>IF(AND($I882="OPEN",$B882&lt;&gt;""),IF('설정 Settings'!$C$15-$B882&gt;='설정 Settings'!$C$62,"후속 연락 필요",""),"")</f>
      </c>
    </row>
    <row r="883" spans="15:17" x14ac:dyDescent="0.25">
      <c r="O883" s="40">
        <f>IF(AND($L883="Y",$J883&lt;&gt;""),$J883+'설정 Settings'!$C$18,"")</f>
      </c>
      <c r="P883" s="41">
        <f>IF($H883="","",$H883-ROUND(IFERROR($H883*VLOOKUP($G883,'설정 Settings'!$A$122:$F$130,4,0)+VLOOKUP($G883,'설정 Settings'!$A$122:$F$130,5,0),0),2))</f>
      </c>
      <c r="Q883" s="42">
        <f>IF(AND($I883="OPEN",$B883&lt;&gt;""),IF('설정 Settings'!$C$15-$B883&gt;='설정 Settings'!$C$62,"후속 연락 필요",""),"")</f>
      </c>
    </row>
    <row r="884" spans="15:17" x14ac:dyDescent="0.25">
      <c r="O884" s="40">
        <f>IF(AND($L884="Y",$J884&lt;&gt;""),$J884+'설정 Settings'!$C$18,"")</f>
      </c>
      <c r="P884" s="41">
        <f>IF($H884="","",$H884-ROUND(IFERROR($H884*VLOOKUP($G884,'설정 Settings'!$A$122:$F$130,4,0)+VLOOKUP($G884,'설정 Settings'!$A$122:$F$130,5,0),0),2))</f>
      </c>
      <c r="Q884" s="42">
        <f>IF(AND($I884="OPEN",$B884&lt;&gt;""),IF('설정 Settings'!$C$15-$B884&gt;='설정 Settings'!$C$62,"후속 연락 필요",""),"")</f>
      </c>
    </row>
    <row r="885" spans="15:17" x14ac:dyDescent="0.25">
      <c r="O885" s="40">
        <f>IF(AND($L885="Y",$J885&lt;&gt;""),$J885+'설정 Settings'!$C$18,"")</f>
      </c>
      <c r="P885" s="41">
        <f>IF($H885="","",$H885-ROUND(IFERROR($H885*VLOOKUP($G885,'설정 Settings'!$A$122:$F$130,4,0)+VLOOKUP($G885,'설정 Settings'!$A$122:$F$130,5,0),0),2))</f>
      </c>
      <c r="Q885" s="42">
        <f>IF(AND($I885="OPEN",$B885&lt;&gt;""),IF('설정 Settings'!$C$15-$B885&gt;='설정 Settings'!$C$62,"후속 연락 필요",""),"")</f>
      </c>
    </row>
    <row r="886" spans="15:17" x14ac:dyDescent="0.25">
      <c r="O886" s="40">
        <f>IF(AND($L886="Y",$J886&lt;&gt;""),$J886+'설정 Settings'!$C$18,"")</f>
      </c>
      <c r="P886" s="41">
        <f>IF($H886="","",$H886-ROUND(IFERROR($H886*VLOOKUP($G886,'설정 Settings'!$A$122:$F$130,4,0)+VLOOKUP($G886,'설정 Settings'!$A$122:$F$130,5,0),0),2))</f>
      </c>
      <c r="Q886" s="42">
        <f>IF(AND($I886="OPEN",$B886&lt;&gt;""),IF('설정 Settings'!$C$15-$B886&gt;='설정 Settings'!$C$62,"후속 연락 필요",""),"")</f>
      </c>
    </row>
    <row r="887" spans="15:17" x14ac:dyDescent="0.25">
      <c r="O887" s="40">
        <f>IF(AND($L887="Y",$J887&lt;&gt;""),$J887+'설정 Settings'!$C$18,"")</f>
      </c>
      <c r="P887" s="41">
        <f>IF($H887="","",$H887-ROUND(IFERROR($H887*VLOOKUP($G887,'설정 Settings'!$A$122:$F$130,4,0)+VLOOKUP($G887,'설정 Settings'!$A$122:$F$130,5,0),0),2))</f>
      </c>
      <c r="Q887" s="42">
        <f>IF(AND($I887="OPEN",$B887&lt;&gt;""),IF('설정 Settings'!$C$15-$B887&gt;='설정 Settings'!$C$62,"후속 연락 필요",""),"")</f>
      </c>
    </row>
    <row r="888" spans="15:17" x14ac:dyDescent="0.25">
      <c r="O888" s="40">
        <f>IF(AND($L888="Y",$J888&lt;&gt;""),$J888+'설정 Settings'!$C$18,"")</f>
      </c>
      <c r="P888" s="41">
        <f>IF($H888="","",$H888-ROUND(IFERROR($H888*VLOOKUP($G888,'설정 Settings'!$A$122:$F$130,4,0)+VLOOKUP($G888,'설정 Settings'!$A$122:$F$130,5,0),0),2))</f>
      </c>
      <c r="Q888" s="42">
        <f>IF(AND($I888="OPEN",$B888&lt;&gt;""),IF('설정 Settings'!$C$15-$B888&gt;='설정 Settings'!$C$62,"후속 연락 필요",""),"")</f>
      </c>
    </row>
    <row r="889" spans="15:17" x14ac:dyDescent="0.25">
      <c r="O889" s="40">
        <f>IF(AND($L889="Y",$J889&lt;&gt;""),$J889+'설정 Settings'!$C$18,"")</f>
      </c>
      <c r="P889" s="41">
        <f>IF($H889="","",$H889-ROUND(IFERROR($H889*VLOOKUP($G889,'설정 Settings'!$A$122:$F$130,4,0)+VLOOKUP($G889,'설정 Settings'!$A$122:$F$130,5,0),0),2))</f>
      </c>
      <c r="Q889" s="42">
        <f>IF(AND($I889="OPEN",$B889&lt;&gt;""),IF('설정 Settings'!$C$15-$B889&gt;='설정 Settings'!$C$62,"후속 연락 필요",""),"")</f>
      </c>
    </row>
    <row r="890" spans="15:17" x14ac:dyDescent="0.25">
      <c r="O890" s="40">
        <f>IF(AND($L890="Y",$J890&lt;&gt;""),$J890+'설정 Settings'!$C$18,"")</f>
      </c>
      <c r="P890" s="41">
        <f>IF($H890="","",$H890-ROUND(IFERROR($H890*VLOOKUP($G890,'설정 Settings'!$A$122:$F$130,4,0)+VLOOKUP($G890,'설정 Settings'!$A$122:$F$130,5,0),0),2))</f>
      </c>
      <c r="Q890" s="42">
        <f>IF(AND($I890="OPEN",$B890&lt;&gt;""),IF('설정 Settings'!$C$15-$B890&gt;='설정 Settings'!$C$62,"후속 연락 필요",""),"")</f>
      </c>
    </row>
    <row r="891" spans="15:17" x14ac:dyDescent="0.25">
      <c r="O891" s="40">
        <f>IF(AND($L891="Y",$J891&lt;&gt;""),$J891+'설정 Settings'!$C$18,"")</f>
      </c>
      <c r="P891" s="41">
        <f>IF($H891="","",$H891-ROUND(IFERROR($H891*VLOOKUP($G891,'설정 Settings'!$A$122:$F$130,4,0)+VLOOKUP($G891,'설정 Settings'!$A$122:$F$130,5,0),0),2))</f>
      </c>
      <c r="Q891" s="42">
        <f>IF(AND($I891="OPEN",$B891&lt;&gt;""),IF('설정 Settings'!$C$15-$B891&gt;='설정 Settings'!$C$62,"후속 연락 필요",""),"")</f>
      </c>
    </row>
    <row r="892" spans="15:17" x14ac:dyDescent="0.25">
      <c r="O892" s="40">
        <f>IF(AND($L892="Y",$J892&lt;&gt;""),$J892+'설정 Settings'!$C$18,"")</f>
      </c>
      <c r="P892" s="41">
        <f>IF($H892="","",$H892-ROUND(IFERROR($H892*VLOOKUP($G892,'설정 Settings'!$A$122:$F$130,4,0)+VLOOKUP($G892,'설정 Settings'!$A$122:$F$130,5,0),0),2))</f>
      </c>
      <c r="Q892" s="42">
        <f>IF(AND($I892="OPEN",$B892&lt;&gt;""),IF('설정 Settings'!$C$15-$B892&gt;='설정 Settings'!$C$62,"후속 연락 필요",""),"")</f>
      </c>
    </row>
    <row r="893" spans="15:17" x14ac:dyDescent="0.25">
      <c r="O893" s="40">
        <f>IF(AND($L893="Y",$J893&lt;&gt;""),$J893+'설정 Settings'!$C$18,"")</f>
      </c>
      <c r="P893" s="41">
        <f>IF($H893="","",$H893-ROUND(IFERROR($H893*VLOOKUP($G893,'설정 Settings'!$A$122:$F$130,4,0)+VLOOKUP($G893,'설정 Settings'!$A$122:$F$130,5,0),0),2))</f>
      </c>
      <c r="Q893" s="42">
        <f>IF(AND($I893="OPEN",$B893&lt;&gt;""),IF('설정 Settings'!$C$15-$B893&gt;='설정 Settings'!$C$62,"후속 연락 필요",""),"")</f>
      </c>
    </row>
    <row r="894" spans="15:17" x14ac:dyDescent="0.25">
      <c r="O894" s="40">
        <f>IF(AND($L894="Y",$J894&lt;&gt;""),$J894+'설정 Settings'!$C$18,"")</f>
      </c>
      <c r="P894" s="41">
        <f>IF($H894="","",$H894-ROUND(IFERROR($H894*VLOOKUP($G894,'설정 Settings'!$A$122:$F$130,4,0)+VLOOKUP($G894,'설정 Settings'!$A$122:$F$130,5,0),0),2))</f>
      </c>
      <c r="Q894" s="42">
        <f>IF(AND($I894="OPEN",$B894&lt;&gt;""),IF('설정 Settings'!$C$15-$B894&gt;='설정 Settings'!$C$62,"후속 연락 필요",""),"")</f>
      </c>
    </row>
    <row r="895" spans="15:17" x14ac:dyDescent="0.25">
      <c r="O895" s="40">
        <f>IF(AND($L895="Y",$J895&lt;&gt;""),$J895+'설정 Settings'!$C$18,"")</f>
      </c>
      <c r="P895" s="41">
        <f>IF($H895="","",$H895-ROUND(IFERROR($H895*VLOOKUP($G895,'설정 Settings'!$A$122:$F$130,4,0)+VLOOKUP($G895,'설정 Settings'!$A$122:$F$130,5,0),0),2))</f>
      </c>
      <c r="Q895" s="42">
        <f>IF(AND($I895="OPEN",$B895&lt;&gt;""),IF('설정 Settings'!$C$15-$B895&gt;='설정 Settings'!$C$62,"후속 연락 필요",""),"")</f>
      </c>
    </row>
    <row r="896" spans="15:17" x14ac:dyDescent="0.25">
      <c r="O896" s="40">
        <f>IF(AND($L896="Y",$J896&lt;&gt;""),$J896+'설정 Settings'!$C$18,"")</f>
      </c>
      <c r="P896" s="41">
        <f>IF($H896="","",$H896-ROUND(IFERROR($H896*VLOOKUP($G896,'설정 Settings'!$A$122:$F$130,4,0)+VLOOKUP($G896,'설정 Settings'!$A$122:$F$130,5,0),0),2))</f>
      </c>
      <c r="Q896" s="42">
        <f>IF(AND($I896="OPEN",$B896&lt;&gt;""),IF('설정 Settings'!$C$15-$B896&gt;='설정 Settings'!$C$62,"후속 연락 필요",""),"")</f>
      </c>
    </row>
    <row r="897" spans="15:17" x14ac:dyDescent="0.25">
      <c r="O897" s="40">
        <f>IF(AND($L897="Y",$J897&lt;&gt;""),$J897+'설정 Settings'!$C$18,"")</f>
      </c>
      <c r="P897" s="41">
        <f>IF($H897="","",$H897-ROUND(IFERROR($H897*VLOOKUP($G897,'설정 Settings'!$A$122:$F$130,4,0)+VLOOKUP($G897,'설정 Settings'!$A$122:$F$130,5,0),0),2))</f>
      </c>
      <c r="Q897" s="42">
        <f>IF(AND($I897="OPEN",$B897&lt;&gt;""),IF('설정 Settings'!$C$15-$B897&gt;='설정 Settings'!$C$62,"후속 연락 필요",""),"")</f>
      </c>
    </row>
    <row r="898" spans="15:17" x14ac:dyDescent="0.25">
      <c r="O898" s="40">
        <f>IF(AND($L898="Y",$J898&lt;&gt;""),$J898+'설정 Settings'!$C$18,"")</f>
      </c>
      <c r="P898" s="41">
        <f>IF($H898="","",$H898-ROUND(IFERROR($H898*VLOOKUP($G898,'설정 Settings'!$A$122:$F$130,4,0)+VLOOKUP($G898,'설정 Settings'!$A$122:$F$130,5,0),0),2))</f>
      </c>
      <c r="Q898" s="42">
        <f>IF(AND($I898="OPEN",$B898&lt;&gt;""),IF('설정 Settings'!$C$15-$B898&gt;='설정 Settings'!$C$62,"후속 연락 필요",""),"")</f>
      </c>
    </row>
    <row r="899" spans="15:17" x14ac:dyDescent="0.25">
      <c r="O899" s="40">
        <f>IF(AND($L899="Y",$J899&lt;&gt;""),$J899+'설정 Settings'!$C$18,"")</f>
      </c>
      <c r="P899" s="41">
        <f>IF($H899="","",$H899-ROUND(IFERROR($H899*VLOOKUP($G899,'설정 Settings'!$A$122:$F$130,4,0)+VLOOKUP($G899,'설정 Settings'!$A$122:$F$130,5,0),0),2))</f>
      </c>
      <c r="Q899" s="42">
        <f>IF(AND($I899="OPEN",$B899&lt;&gt;""),IF('설정 Settings'!$C$15-$B899&gt;='설정 Settings'!$C$62,"후속 연락 필요",""),"")</f>
      </c>
    </row>
    <row r="900" spans="15:17" x14ac:dyDescent="0.25">
      <c r="O900" s="40">
        <f>IF(AND($L900="Y",$J900&lt;&gt;""),$J900+'설정 Settings'!$C$18,"")</f>
      </c>
      <c r="P900" s="41">
        <f>IF($H900="","",$H900-ROUND(IFERROR($H900*VLOOKUP($G900,'설정 Settings'!$A$122:$F$130,4,0)+VLOOKUP($G900,'설정 Settings'!$A$122:$F$130,5,0),0),2))</f>
      </c>
      <c r="Q900" s="42">
        <f>IF(AND($I900="OPEN",$B900&lt;&gt;""),IF('설정 Settings'!$C$15-$B900&gt;='설정 Settings'!$C$62,"후속 연락 필요",""),"")</f>
      </c>
    </row>
    <row r="901" spans="15:17" x14ac:dyDescent="0.25">
      <c r="O901" s="40">
        <f>IF(AND($L901="Y",$J901&lt;&gt;""),$J901+'설정 Settings'!$C$18,"")</f>
      </c>
      <c r="P901" s="41">
        <f>IF($H901="","",$H901-ROUND(IFERROR($H901*VLOOKUP($G901,'설정 Settings'!$A$122:$F$130,4,0)+VLOOKUP($G901,'설정 Settings'!$A$122:$F$130,5,0),0),2))</f>
      </c>
      <c r="Q901" s="42">
        <f>IF(AND($I901="OPEN",$B901&lt;&gt;""),IF('설정 Settings'!$C$15-$B901&gt;='설정 Settings'!$C$62,"후속 연락 필요",""),"")</f>
      </c>
    </row>
    <row r="902" spans="15:17" x14ac:dyDescent="0.25">
      <c r="O902" s="40">
        <f>IF(AND($L902="Y",$J902&lt;&gt;""),$J902+'설정 Settings'!$C$18,"")</f>
      </c>
      <c r="P902" s="41">
        <f>IF($H902="","",$H902-ROUND(IFERROR($H902*VLOOKUP($G902,'설정 Settings'!$A$122:$F$130,4,0)+VLOOKUP($G902,'설정 Settings'!$A$122:$F$130,5,0),0),2))</f>
      </c>
      <c r="Q902" s="42">
        <f>IF(AND($I902="OPEN",$B902&lt;&gt;""),IF('설정 Settings'!$C$15-$B902&gt;='설정 Settings'!$C$62,"후속 연락 필요",""),"")</f>
      </c>
    </row>
    <row r="903" spans="15:17" x14ac:dyDescent="0.25">
      <c r="O903" s="40">
        <f>IF(AND($L903="Y",$J903&lt;&gt;""),$J903+'설정 Settings'!$C$18,"")</f>
      </c>
      <c r="P903" s="41">
        <f>IF($H903="","",$H903-ROUND(IFERROR($H903*VLOOKUP($G903,'설정 Settings'!$A$122:$F$130,4,0)+VLOOKUP($G903,'설정 Settings'!$A$122:$F$130,5,0),0),2))</f>
      </c>
      <c r="Q903" s="42">
        <f>IF(AND($I903="OPEN",$B903&lt;&gt;""),IF('설정 Settings'!$C$15-$B903&gt;='설정 Settings'!$C$62,"후속 연락 필요",""),"")</f>
      </c>
    </row>
    <row r="904" spans="15:17" x14ac:dyDescent="0.25">
      <c r="O904" s="40">
        <f>IF(AND($L904="Y",$J904&lt;&gt;""),$J904+'설정 Settings'!$C$18,"")</f>
      </c>
      <c r="P904" s="41">
        <f>IF($H904="","",$H904-ROUND(IFERROR($H904*VLOOKUP($G904,'설정 Settings'!$A$122:$F$130,4,0)+VLOOKUP($G904,'설정 Settings'!$A$122:$F$130,5,0),0),2))</f>
      </c>
      <c r="Q904" s="42">
        <f>IF(AND($I904="OPEN",$B904&lt;&gt;""),IF('설정 Settings'!$C$15-$B904&gt;='설정 Settings'!$C$62,"후속 연락 필요",""),"")</f>
      </c>
    </row>
    <row r="905" spans="15:17" x14ac:dyDescent="0.25">
      <c r="O905" s="40">
        <f>IF(AND($L905="Y",$J905&lt;&gt;""),$J905+'설정 Settings'!$C$18,"")</f>
      </c>
      <c r="P905" s="41">
        <f>IF($H905="","",$H905-ROUND(IFERROR($H905*VLOOKUP($G905,'설정 Settings'!$A$122:$F$130,4,0)+VLOOKUP($G905,'설정 Settings'!$A$122:$F$130,5,0),0),2))</f>
      </c>
      <c r="Q905" s="42">
        <f>IF(AND($I905="OPEN",$B905&lt;&gt;""),IF('설정 Settings'!$C$15-$B905&gt;='설정 Settings'!$C$62,"후속 연락 필요",""),"")</f>
      </c>
    </row>
    <row r="906" spans="15:17" x14ac:dyDescent="0.25">
      <c r="O906" s="40">
        <f>IF(AND($L906="Y",$J906&lt;&gt;""),$J906+'설정 Settings'!$C$18,"")</f>
      </c>
      <c r="P906" s="41">
        <f>IF($H906="","",$H906-ROUND(IFERROR($H906*VLOOKUP($G906,'설정 Settings'!$A$122:$F$130,4,0)+VLOOKUP($G906,'설정 Settings'!$A$122:$F$130,5,0),0),2))</f>
      </c>
      <c r="Q906" s="42">
        <f>IF(AND($I906="OPEN",$B906&lt;&gt;""),IF('설정 Settings'!$C$15-$B906&gt;='설정 Settings'!$C$62,"후속 연락 필요",""),"")</f>
      </c>
    </row>
    <row r="907" spans="15:17" x14ac:dyDescent="0.25">
      <c r="O907" s="40">
        <f>IF(AND($L907="Y",$J907&lt;&gt;""),$J907+'설정 Settings'!$C$18,"")</f>
      </c>
      <c r="P907" s="41">
        <f>IF($H907="","",$H907-ROUND(IFERROR($H907*VLOOKUP($G907,'설정 Settings'!$A$122:$F$130,4,0)+VLOOKUP($G907,'설정 Settings'!$A$122:$F$130,5,0),0),2))</f>
      </c>
      <c r="Q907" s="42">
        <f>IF(AND($I907="OPEN",$B907&lt;&gt;""),IF('설정 Settings'!$C$15-$B907&gt;='설정 Settings'!$C$62,"후속 연락 필요",""),"")</f>
      </c>
    </row>
    <row r="908" spans="15:17" x14ac:dyDescent="0.25">
      <c r="O908" s="40">
        <f>IF(AND($L908="Y",$J908&lt;&gt;""),$J908+'설정 Settings'!$C$18,"")</f>
      </c>
      <c r="P908" s="41">
        <f>IF($H908="","",$H908-ROUND(IFERROR($H908*VLOOKUP($G908,'설정 Settings'!$A$122:$F$130,4,0)+VLOOKUP($G908,'설정 Settings'!$A$122:$F$130,5,0),0),2))</f>
      </c>
      <c r="Q908" s="42">
        <f>IF(AND($I908="OPEN",$B908&lt;&gt;""),IF('설정 Settings'!$C$15-$B908&gt;='설정 Settings'!$C$62,"후속 연락 필요",""),"")</f>
      </c>
    </row>
    <row r="909" spans="15:17" x14ac:dyDescent="0.25">
      <c r="O909" s="40">
        <f>IF(AND($L909="Y",$J909&lt;&gt;""),$J909+'설정 Settings'!$C$18,"")</f>
      </c>
      <c r="P909" s="41">
        <f>IF($H909="","",$H909-ROUND(IFERROR($H909*VLOOKUP($G909,'설정 Settings'!$A$122:$F$130,4,0)+VLOOKUP($G909,'설정 Settings'!$A$122:$F$130,5,0),0),2))</f>
      </c>
      <c r="Q909" s="42">
        <f>IF(AND($I909="OPEN",$B909&lt;&gt;""),IF('설정 Settings'!$C$15-$B909&gt;='설정 Settings'!$C$62,"후속 연락 필요",""),"")</f>
      </c>
    </row>
    <row r="910" spans="15:17" x14ac:dyDescent="0.25">
      <c r="O910" s="40">
        <f>IF(AND($L910="Y",$J910&lt;&gt;""),$J910+'설정 Settings'!$C$18,"")</f>
      </c>
      <c r="P910" s="41">
        <f>IF($H910="","",$H910-ROUND(IFERROR($H910*VLOOKUP($G910,'설정 Settings'!$A$122:$F$130,4,0)+VLOOKUP($G910,'설정 Settings'!$A$122:$F$130,5,0),0),2))</f>
      </c>
      <c r="Q910" s="42">
        <f>IF(AND($I910="OPEN",$B910&lt;&gt;""),IF('설정 Settings'!$C$15-$B910&gt;='설정 Settings'!$C$62,"후속 연락 필요",""),"")</f>
      </c>
    </row>
    <row r="911" spans="15:17" x14ac:dyDescent="0.25">
      <c r="O911" s="40">
        <f>IF(AND($L911="Y",$J911&lt;&gt;""),$J911+'설정 Settings'!$C$18,"")</f>
      </c>
      <c r="P911" s="41">
        <f>IF($H911="","",$H911-ROUND(IFERROR($H911*VLOOKUP($G911,'설정 Settings'!$A$122:$F$130,4,0)+VLOOKUP($G911,'설정 Settings'!$A$122:$F$130,5,0),0),2))</f>
      </c>
      <c r="Q911" s="42">
        <f>IF(AND($I911="OPEN",$B911&lt;&gt;""),IF('설정 Settings'!$C$15-$B911&gt;='설정 Settings'!$C$62,"후속 연락 필요",""),"")</f>
      </c>
    </row>
    <row r="912" spans="15:17" x14ac:dyDescent="0.25">
      <c r="O912" s="40">
        <f>IF(AND($L912="Y",$J912&lt;&gt;""),$J912+'설정 Settings'!$C$18,"")</f>
      </c>
      <c r="P912" s="41">
        <f>IF($H912="","",$H912-ROUND(IFERROR($H912*VLOOKUP($G912,'설정 Settings'!$A$122:$F$130,4,0)+VLOOKUP($G912,'설정 Settings'!$A$122:$F$130,5,0),0),2))</f>
      </c>
      <c r="Q912" s="42">
        <f>IF(AND($I912="OPEN",$B912&lt;&gt;""),IF('설정 Settings'!$C$15-$B912&gt;='설정 Settings'!$C$62,"후속 연락 필요",""),"")</f>
      </c>
    </row>
    <row r="913" spans="15:17" x14ac:dyDescent="0.25">
      <c r="O913" s="40">
        <f>IF(AND($L913="Y",$J913&lt;&gt;""),$J913+'설정 Settings'!$C$18,"")</f>
      </c>
      <c r="P913" s="41">
        <f>IF($H913="","",$H913-ROUND(IFERROR($H913*VLOOKUP($G913,'설정 Settings'!$A$122:$F$130,4,0)+VLOOKUP($G913,'설정 Settings'!$A$122:$F$130,5,0),0),2))</f>
      </c>
      <c r="Q913" s="42">
        <f>IF(AND($I913="OPEN",$B913&lt;&gt;""),IF('설정 Settings'!$C$15-$B913&gt;='설정 Settings'!$C$62,"후속 연락 필요",""),"")</f>
      </c>
    </row>
    <row r="914" spans="15:17" x14ac:dyDescent="0.25">
      <c r="O914" s="40">
        <f>IF(AND($L914="Y",$J914&lt;&gt;""),$J914+'설정 Settings'!$C$18,"")</f>
      </c>
      <c r="P914" s="41">
        <f>IF($H914="","",$H914-ROUND(IFERROR($H914*VLOOKUP($G914,'설정 Settings'!$A$122:$F$130,4,0)+VLOOKUP($G914,'설정 Settings'!$A$122:$F$130,5,0),0),2))</f>
      </c>
      <c r="Q914" s="42">
        <f>IF(AND($I914="OPEN",$B914&lt;&gt;""),IF('설정 Settings'!$C$15-$B914&gt;='설정 Settings'!$C$62,"후속 연락 필요",""),"")</f>
      </c>
    </row>
    <row r="915" spans="15:17" x14ac:dyDescent="0.25">
      <c r="O915" s="40">
        <f>IF(AND($L915="Y",$J915&lt;&gt;""),$J915+'설정 Settings'!$C$18,"")</f>
      </c>
      <c r="P915" s="41">
        <f>IF($H915="","",$H915-ROUND(IFERROR($H915*VLOOKUP($G915,'설정 Settings'!$A$122:$F$130,4,0)+VLOOKUP($G915,'설정 Settings'!$A$122:$F$130,5,0),0),2))</f>
      </c>
      <c r="Q915" s="42">
        <f>IF(AND($I915="OPEN",$B915&lt;&gt;""),IF('설정 Settings'!$C$15-$B915&gt;='설정 Settings'!$C$62,"후속 연락 필요",""),"")</f>
      </c>
    </row>
    <row r="916" spans="15:17" x14ac:dyDescent="0.25">
      <c r="O916" s="40">
        <f>IF(AND($L916="Y",$J916&lt;&gt;""),$J916+'설정 Settings'!$C$18,"")</f>
      </c>
      <c r="P916" s="41">
        <f>IF($H916="","",$H916-ROUND(IFERROR($H916*VLOOKUP($G916,'설정 Settings'!$A$122:$F$130,4,0)+VLOOKUP($G916,'설정 Settings'!$A$122:$F$130,5,0),0),2))</f>
      </c>
      <c r="Q916" s="42">
        <f>IF(AND($I916="OPEN",$B916&lt;&gt;""),IF('설정 Settings'!$C$15-$B916&gt;='설정 Settings'!$C$62,"후속 연락 필요",""),"")</f>
      </c>
    </row>
    <row r="917" spans="15:17" x14ac:dyDescent="0.25">
      <c r="O917" s="40">
        <f>IF(AND($L917="Y",$J917&lt;&gt;""),$J917+'설정 Settings'!$C$18,"")</f>
      </c>
      <c r="P917" s="41">
        <f>IF($H917="","",$H917-ROUND(IFERROR($H917*VLOOKUP($G917,'설정 Settings'!$A$122:$F$130,4,0)+VLOOKUP($G917,'설정 Settings'!$A$122:$F$130,5,0),0),2))</f>
      </c>
      <c r="Q917" s="42">
        <f>IF(AND($I917="OPEN",$B917&lt;&gt;""),IF('설정 Settings'!$C$15-$B917&gt;='설정 Settings'!$C$62,"후속 연락 필요",""),"")</f>
      </c>
    </row>
    <row r="918" spans="15:17" x14ac:dyDescent="0.25">
      <c r="O918" s="40">
        <f>IF(AND($L918="Y",$J918&lt;&gt;""),$J918+'설정 Settings'!$C$18,"")</f>
      </c>
      <c r="P918" s="41">
        <f>IF($H918="","",$H918-ROUND(IFERROR($H918*VLOOKUP($G918,'설정 Settings'!$A$122:$F$130,4,0)+VLOOKUP($G918,'설정 Settings'!$A$122:$F$130,5,0),0),2))</f>
      </c>
      <c r="Q918" s="42">
        <f>IF(AND($I918="OPEN",$B918&lt;&gt;""),IF('설정 Settings'!$C$15-$B918&gt;='설정 Settings'!$C$62,"후속 연락 필요",""),"")</f>
      </c>
    </row>
    <row r="919" spans="15:17" x14ac:dyDescent="0.25">
      <c r="O919" s="40">
        <f>IF(AND($L919="Y",$J919&lt;&gt;""),$J919+'설정 Settings'!$C$18,"")</f>
      </c>
      <c r="P919" s="41">
        <f>IF($H919="","",$H919-ROUND(IFERROR($H919*VLOOKUP($G919,'설정 Settings'!$A$122:$F$130,4,0)+VLOOKUP($G919,'설정 Settings'!$A$122:$F$130,5,0),0),2))</f>
      </c>
      <c r="Q919" s="42">
        <f>IF(AND($I919="OPEN",$B919&lt;&gt;""),IF('설정 Settings'!$C$15-$B919&gt;='설정 Settings'!$C$62,"후속 연락 필요",""),"")</f>
      </c>
    </row>
    <row r="920" spans="15:17" x14ac:dyDescent="0.25">
      <c r="O920" s="40">
        <f>IF(AND($L920="Y",$J920&lt;&gt;""),$J920+'설정 Settings'!$C$18,"")</f>
      </c>
      <c r="P920" s="41">
        <f>IF($H920="","",$H920-ROUND(IFERROR($H920*VLOOKUP($G920,'설정 Settings'!$A$122:$F$130,4,0)+VLOOKUP($G920,'설정 Settings'!$A$122:$F$130,5,0),0),2))</f>
      </c>
      <c r="Q920" s="42">
        <f>IF(AND($I920="OPEN",$B920&lt;&gt;""),IF('설정 Settings'!$C$15-$B920&gt;='설정 Settings'!$C$62,"후속 연락 필요",""),"")</f>
      </c>
    </row>
    <row r="921" spans="15:17" x14ac:dyDescent="0.25">
      <c r="O921" s="40">
        <f>IF(AND($L921="Y",$J921&lt;&gt;""),$J921+'설정 Settings'!$C$18,"")</f>
      </c>
      <c r="P921" s="41">
        <f>IF($H921="","",$H921-ROUND(IFERROR($H921*VLOOKUP($G921,'설정 Settings'!$A$122:$F$130,4,0)+VLOOKUP($G921,'설정 Settings'!$A$122:$F$130,5,0),0),2))</f>
      </c>
      <c r="Q921" s="42">
        <f>IF(AND($I921="OPEN",$B921&lt;&gt;""),IF('설정 Settings'!$C$15-$B921&gt;='설정 Settings'!$C$62,"후속 연락 필요",""),"")</f>
      </c>
    </row>
    <row r="922" spans="15:17" x14ac:dyDescent="0.25">
      <c r="O922" s="40">
        <f>IF(AND($L922="Y",$J922&lt;&gt;""),$J922+'설정 Settings'!$C$18,"")</f>
      </c>
      <c r="P922" s="41">
        <f>IF($H922="","",$H922-ROUND(IFERROR($H922*VLOOKUP($G922,'설정 Settings'!$A$122:$F$130,4,0)+VLOOKUP($G922,'설정 Settings'!$A$122:$F$130,5,0),0),2))</f>
      </c>
      <c r="Q922" s="42">
        <f>IF(AND($I922="OPEN",$B922&lt;&gt;""),IF('설정 Settings'!$C$15-$B922&gt;='설정 Settings'!$C$62,"후속 연락 필요",""),"")</f>
      </c>
    </row>
    <row r="923" spans="15:17" x14ac:dyDescent="0.25">
      <c r="O923" s="40">
        <f>IF(AND($L923="Y",$J923&lt;&gt;""),$J923+'설정 Settings'!$C$18,"")</f>
      </c>
      <c r="P923" s="41">
        <f>IF($H923="","",$H923-ROUND(IFERROR($H923*VLOOKUP($G923,'설정 Settings'!$A$122:$F$130,4,0)+VLOOKUP($G923,'설정 Settings'!$A$122:$F$130,5,0),0),2))</f>
      </c>
      <c r="Q923" s="42">
        <f>IF(AND($I923="OPEN",$B923&lt;&gt;""),IF('설정 Settings'!$C$15-$B923&gt;='설정 Settings'!$C$62,"후속 연락 필요",""),"")</f>
      </c>
    </row>
    <row r="924" spans="15:17" x14ac:dyDescent="0.25">
      <c r="O924" s="40">
        <f>IF(AND($L924="Y",$J924&lt;&gt;""),$J924+'설정 Settings'!$C$18,"")</f>
      </c>
      <c r="P924" s="41">
        <f>IF($H924="","",$H924-ROUND(IFERROR($H924*VLOOKUP($G924,'설정 Settings'!$A$122:$F$130,4,0)+VLOOKUP($G924,'설정 Settings'!$A$122:$F$130,5,0),0),2))</f>
      </c>
      <c r="Q924" s="42">
        <f>IF(AND($I924="OPEN",$B924&lt;&gt;""),IF('설정 Settings'!$C$15-$B924&gt;='설정 Settings'!$C$62,"후속 연락 필요",""),"")</f>
      </c>
    </row>
    <row r="925" spans="15:17" x14ac:dyDescent="0.25">
      <c r="O925" s="40">
        <f>IF(AND($L925="Y",$J925&lt;&gt;""),$J925+'설정 Settings'!$C$18,"")</f>
      </c>
      <c r="P925" s="41">
        <f>IF($H925="","",$H925-ROUND(IFERROR($H925*VLOOKUP($G925,'설정 Settings'!$A$122:$F$130,4,0)+VLOOKUP($G925,'설정 Settings'!$A$122:$F$130,5,0),0),2))</f>
      </c>
      <c r="Q925" s="42">
        <f>IF(AND($I925="OPEN",$B925&lt;&gt;""),IF('설정 Settings'!$C$15-$B925&gt;='설정 Settings'!$C$62,"후속 연락 필요",""),"")</f>
      </c>
    </row>
    <row r="926" spans="15:17" x14ac:dyDescent="0.25">
      <c r="O926" s="40">
        <f>IF(AND($L926="Y",$J926&lt;&gt;""),$J926+'설정 Settings'!$C$18,"")</f>
      </c>
      <c r="P926" s="41">
        <f>IF($H926="","",$H926-ROUND(IFERROR($H926*VLOOKUP($G926,'설정 Settings'!$A$122:$F$130,4,0)+VLOOKUP($G926,'설정 Settings'!$A$122:$F$130,5,0),0),2))</f>
      </c>
      <c r="Q926" s="42">
        <f>IF(AND($I926="OPEN",$B926&lt;&gt;""),IF('설정 Settings'!$C$15-$B926&gt;='설정 Settings'!$C$62,"후속 연락 필요",""),"")</f>
      </c>
    </row>
    <row r="927" spans="15:17" x14ac:dyDescent="0.25">
      <c r="O927" s="40">
        <f>IF(AND($L927="Y",$J927&lt;&gt;""),$J927+'설정 Settings'!$C$18,"")</f>
      </c>
      <c r="P927" s="41">
        <f>IF($H927="","",$H927-ROUND(IFERROR($H927*VLOOKUP($G927,'설정 Settings'!$A$122:$F$130,4,0)+VLOOKUP($G927,'설정 Settings'!$A$122:$F$130,5,0),0),2))</f>
      </c>
      <c r="Q927" s="42">
        <f>IF(AND($I927="OPEN",$B927&lt;&gt;""),IF('설정 Settings'!$C$15-$B927&gt;='설정 Settings'!$C$62,"후속 연락 필요",""),"")</f>
      </c>
    </row>
    <row r="928" spans="15:17" x14ac:dyDescent="0.25">
      <c r="O928" s="40">
        <f>IF(AND($L928="Y",$J928&lt;&gt;""),$J928+'설정 Settings'!$C$18,"")</f>
      </c>
      <c r="P928" s="41">
        <f>IF($H928="","",$H928-ROUND(IFERROR($H928*VLOOKUP($G928,'설정 Settings'!$A$122:$F$130,4,0)+VLOOKUP($G928,'설정 Settings'!$A$122:$F$130,5,0),0),2))</f>
      </c>
      <c r="Q928" s="42">
        <f>IF(AND($I928="OPEN",$B928&lt;&gt;""),IF('설정 Settings'!$C$15-$B928&gt;='설정 Settings'!$C$62,"후속 연락 필요",""),"")</f>
      </c>
    </row>
    <row r="929" spans="15:17" x14ac:dyDescent="0.25">
      <c r="O929" s="40">
        <f>IF(AND($L929="Y",$J929&lt;&gt;""),$J929+'설정 Settings'!$C$18,"")</f>
      </c>
      <c r="P929" s="41">
        <f>IF($H929="","",$H929-ROUND(IFERROR($H929*VLOOKUP($G929,'설정 Settings'!$A$122:$F$130,4,0)+VLOOKUP($G929,'설정 Settings'!$A$122:$F$130,5,0),0),2))</f>
      </c>
      <c r="Q929" s="42">
        <f>IF(AND($I929="OPEN",$B929&lt;&gt;""),IF('설정 Settings'!$C$15-$B929&gt;='설정 Settings'!$C$62,"후속 연락 필요",""),"")</f>
      </c>
    </row>
    <row r="930" spans="15:17" x14ac:dyDescent="0.25">
      <c r="O930" s="40">
        <f>IF(AND($L930="Y",$J930&lt;&gt;""),$J930+'설정 Settings'!$C$18,"")</f>
      </c>
      <c r="P930" s="41">
        <f>IF($H930="","",$H930-ROUND(IFERROR($H930*VLOOKUP($G930,'설정 Settings'!$A$122:$F$130,4,0)+VLOOKUP($G930,'설정 Settings'!$A$122:$F$130,5,0),0),2))</f>
      </c>
      <c r="Q930" s="42">
        <f>IF(AND($I930="OPEN",$B930&lt;&gt;""),IF('설정 Settings'!$C$15-$B930&gt;='설정 Settings'!$C$62,"후속 연락 필요",""),"")</f>
      </c>
    </row>
    <row r="931" spans="15:17" x14ac:dyDescent="0.25">
      <c r="O931" s="40">
        <f>IF(AND($L931="Y",$J931&lt;&gt;""),$J931+'설정 Settings'!$C$18,"")</f>
      </c>
      <c r="P931" s="41">
        <f>IF($H931="","",$H931-ROUND(IFERROR($H931*VLOOKUP($G931,'설정 Settings'!$A$122:$F$130,4,0)+VLOOKUP($G931,'설정 Settings'!$A$122:$F$130,5,0),0),2))</f>
      </c>
      <c r="Q931" s="42">
        <f>IF(AND($I931="OPEN",$B931&lt;&gt;""),IF('설정 Settings'!$C$15-$B931&gt;='설정 Settings'!$C$62,"후속 연락 필요",""),"")</f>
      </c>
    </row>
    <row r="932" spans="15:17" x14ac:dyDescent="0.25">
      <c r="O932" s="40">
        <f>IF(AND($L932="Y",$J932&lt;&gt;""),$J932+'설정 Settings'!$C$18,"")</f>
      </c>
      <c r="P932" s="41">
        <f>IF($H932="","",$H932-ROUND(IFERROR($H932*VLOOKUP($G932,'설정 Settings'!$A$122:$F$130,4,0)+VLOOKUP($G932,'설정 Settings'!$A$122:$F$130,5,0),0),2))</f>
      </c>
      <c r="Q932" s="42">
        <f>IF(AND($I932="OPEN",$B932&lt;&gt;""),IF('설정 Settings'!$C$15-$B932&gt;='설정 Settings'!$C$62,"후속 연락 필요",""),"")</f>
      </c>
    </row>
    <row r="933" spans="15:17" x14ac:dyDescent="0.25">
      <c r="O933" s="40">
        <f>IF(AND($L933="Y",$J933&lt;&gt;""),$J933+'설정 Settings'!$C$18,"")</f>
      </c>
      <c r="P933" s="41">
        <f>IF($H933="","",$H933-ROUND(IFERROR($H933*VLOOKUP($G933,'설정 Settings'!$A$122:$F$130,4,0)+VLOOKUP($G933,'설정 Settings'!$A$122:$F$130,5,0),0),2))</f>
      </c>
      <c r="Q933" s="42">
        <f>IF(AND($I933="OPEN",$B933&lt;&gt;""),IF('설정 Settings'!$C$15-$B933&gt;='설정 Settings'!$C$62,"후속 연락 필요",""),"")</f>
      </c>
    </row>
    <row r="934" spans="15:17" x14ac:dyDescent="0.25">
      <c r="O934" s="40">
        <f>IF(AND($L934="Y",$J934&lt;&gt;""),$J934+'설정 Settings'!$C$18,"")</f>
      </c>
      <c r="P934" s="41">
        <f>IF($H934="","",$H934-ROUND(IFERROR($H934*VLOOKUP($G934,'설정 Settings'!$A$122:$F$130,4,0)+VLOOKUP($G934,'설정 Settings'!$A$122:$F$130,5,0),0),2))</f>
      </c>
      <c r="Q934" s="42">
        <f>IF(AND($I934="OPEN",$B934&lt;&gt;""),IF('설정 Settings'!$C$15-$B934&gt;='설정 Settings'!$C$62,"후속 연락 필요",""),"")</f>
      </c>
    </row>
    <row r="935" spans="15:17" x14ac:dyDescent="0.25">
      <c r="O935" s="40">
        <f>IF(AND($L935="Y",$J935&lt;&gt;""),$J935+'설정 Settings'!$C$18,"")</f>
      </c>
      <c r="P935" s="41">
        <f>IF($H935="","",$H935-ROUND(IFERROR($H935*VLOOKUP($G935,'설정 Settings'!$A$122:$F$130,4,0)+VLOOKUP($G935,'설정 Settings'!$A$122:$F$130,5,0),0),2))</f>
      </c>
      <c r="Q935" s="42">
        <f>IF(AND($I935="OPEN",$B935&lt;&gt;""),IF('설정 Settings'!$C$15-$B935&gt;='설정 Settings'!$C$62,"후속 연락 필요",""),"")</f>
      </c>
    </row>
    <row r="936" spans="15:17" x14ac:dyDescent="0.25">
      <c r="O936" s="40">
        <f>IF(AND($L936="Y",$J936&lt;&gt;""),$J936+'설정 Settings'!$C$18,"")</f>
      </c>
      <c r="P936" s="41">
        <f>IF($H936="","",$H936-ROUND(IFERROR($H936*VLOOKUP($G936,'설정 Settings'!$A$122:$F$130,4,0)+VLOOKUP($G936,'설정 Settings'!$A$122:$F$130,5,0),0),2))</f>
      </c>
      <c r="Q936" s="42">
        <f>IF(AND($I936="OPEN",$B936&lt;&gt;""),IF('설정 Settings'!$C$15-$B936&gt;='설정 Settings'!$C$62,"후속 연락 필요",""),"")</f>
      </c>
    </row>
    <row r="937" spans="15:17" x14ac:dyDescent="0.25">
      <c r="O937" s="40">
        <f>IF(AND($L937="Y",$J937&lt;&gt;""),$J937+'설정 Settings'!$C$18,"")</f>
      </c>
      <c r="P937" s="41">
        <f>IF($H937="","",$H937-ROUND(IFERROR($H937*VLOOKUP($G937,'설정 Settings'!$A$122:$F$130,4,0)+VLOOKUP($G937,'설정 Settings'!$A$122:$F$130,5,0),0),2))</f>
      </c>
      <c r="Q937" s="42">
        <f>IF(AND($I937="OPEN",$B937&lt;&gt;""),IF('설정 Settings'!$C$15-$B937&gt;='설정 Settings'!$C$62,"후속 연락 필요",""),"")</f>
      </c>
    </row>
    <row r="938" spans="15:17" x14ac:dyDescent="0.25">
      <c r="O938" s="40">
        <f>IF(AND($L938="Y",$J938&lt;&gt;""),$J938+'설정 Settings'!$C$18,"")</f>
      </c>
      <c r="P938" s="41">
        <f>IF($H938="","",$H938-ROUND(IFERROR($H938*VLOOKUP($G938,'설정 Settings'!$A$122:$F$130,4,0)+VLOOKUP($G938,'설정 Settings'!$A$122:$F$130,5,0),0),2))</f>
      </c>
      <c r="Q938" s="42">
        <f>IF(AND($I938="OPEN",$B938&lt;&gt;""),IF('설정 Settings'!$C$15-$B938&gt;='설정 Settings'!$C$62,"후속 연락 필요",""),"")</f>
      </c>
    </row>
    <row r="939" spans="15:17" x14ac:dyDescent="0.25">
      <c r="O939" s="40">
        <f>IF(AND($L939="Y",$J939&lt;&gt;""),$J939+'설정 Settings'!$C$18,"")</f>
      </c>
      <c r="P939" s="41">
        <f>IF($H939="","",$H939-ROUND(IFERROR($H939*VLOOKUP($G939,'설정 Settings'!$A$122:$F$130,4,0)+VLOOKUP($G939,'설정 Settings'!$A$122:$F$130,5,0),0),2))</f>
      </c>
      <c r="Q939" s="42">
        <f>IF(AND($I939="OPEN",$B939&lt;&gt;""),IF('설정 Settings'!$C$15-$B939&gt;='설정 Settings'!$C$62,"후속 연락 필요",""),"")</f>
      </c>
    </row>
    <row r="940" spans="15:17" x14ac:dyDescent="0.25">
      <c r="O940" s="40">
        <f>IF(AND($L940="Y",$J940&lt;&gt;""),$J940+'설정 Settings'!$C$18,"")</f>
      </c>
      <c r="P940" s="41">
        <f>IF($H940="","",$H940-ROUND(IFERROR($H940*VLOOKUP($G940,'설정 Settings'!$A$122:$F$130,4,0)+VLOOKUP($G940,'설정 Settings'!$A$122:$F$130,5,0),0),2))</f>
      </c>
      <c r="Q940" s="42">
        <f>IF(AND($I940="OPEN",$B940&lt;&gt;""),IF('설정 Settings'!$C$15-$B940&gt;='설정 Settings'!$C$62,"후속 연락 필요",""),"")</f>
      </c>
    </row>
    <row r="941" spans="15:17" x14ac:dyDescent="0.25">
      <c r="O941" s="40">
        <f>IF(AND($L941="Y",$J941&lt;&gt;""),$J941+'설정 Settings'!$C$18,"")</f>
      </c>
      <c r="P941" s="41">
        <f>IF($H941="","",$H941-ROUND(IFERROR($H941*VLOOKUP($G941,'설정 Settings'!$A$122:$F$130,4,0)+VLOOKUP($G941,'설정 Settings'!$A$122:$F$130,5,0),0),2))</f>
      </c>
      <c r="Q941" s="42">
        <f>IF(AND($I941="OPEN",$B941&lt;&gt;""),IF('설정 Settings'!$C$15-$B941&gt;='설정 Settings'!$C$62,"후속 연락 필요",""),"")</f>
      </c>
    </row>
    <row r="942" spans="15:17" x14ac:dyDescent="0.25">
      <c r="O942" s="40">
        <f>IF(AND($L942="Y",$J942&lt;&gt;""),$J942+'설정 Settings'!$C$18,"")</f>
      </c>
      <c r="P942" s="41">
        <f>IF($H942="","",$H942-ROUND(IFERROR($H942*VLOOKUP($G942,'설정 Settings'!$A$122:$F$130,4,0)+VLOOKUP($G942,'설정 Settings'!$A$122:$F$130,5,0),0),2))</f>
      </c>
      <c r="Q942" s="42">
        <f>IF(AND($I942="OPEN",$B942&lt;&gt;""),IF('설정 Settings'!$C$15-$B942&gt;='설정 Settings'!$C$62,"후속 연락 필요",""),"")</f>
      </c>
    </row>
    <row r="943" spans="15:17" x14ac:dyDescent="0.25">
      <c r="O943" s="40">
        <f>IF(AND($L943="Y",$J943&lt;&gt;""),$J943+'설정 Settings'!$C$18,"")</f>
      </c>
      <c r="P943" s="41">
        <f>IF($H943="","",$H943-ROUND(IFERROR($H943*VLOOKUP($G943,'설정 Settings'!$A$122:$F$130,4,0)+VLOOKUP($G943,'설정 Settings'!$A$122:$F$130,5,0),0),2))</f>
      </c>
      <c r="Q943" s="42">
        <f>IF(AND($I943="OPEN",$B943&lt;&gt;""),IF('설정 Settings'!$C$15-$B943&gt;='설정 Settings'!$C$62,"후속 연락 필요",""),"")</f>
      </c>
    </row>
    <row r="944" spans="15:17" x14ac:dyDescent="0.25">
      <c r="O944" s="40">
        <f>IF(AND($L944="Y",$J944&lt;&gt;""),$J944+'설정 Settings'!$C$18,"")</f>
      </c>
      <c r="P944" s="41">
        <f>IF($H944="","",$H944-ROUND(IFERROR($H944*VLOOKUP($G944,'설정 Settings'!$A$122:$F$130,4,0)+VLOOKUP($G944,'설정 Settings'!$A$122:$F$130,5,0),0),2))</f>
      </c>
      <c r="Q944" s="42">
        <f>IF(AND($I944="OPEN",$B944&lt;&gt;""),IF('설정 Settings'!$C$15-$B944&gt;='설정 Settings'!$C$62,"후속 연락 필요",""),"")</f>
      </c>
    </row>
    <row r="945" spans="15:17" x14ac:dyDescent="0.25">
      <c r="O945" s="40">
        <f>IF(AND($L945="Y",$J945&lt;&gt;""),$J945+'설정 Settings'!$C$18,"")</f>
      </c>
      <c r="P945" s="41">
        <f>IF($H945="","",$H945-ROUND(IFERROR($H945*VLOOKUP($G945,'설정 Settings'!$A$122:$F$130,4,0)+VLOOKUP($G945,'설정 Settings'!$A$122:$F$130,5,0),0),2))</f>
      </c>
      <c r="Q945" s="42">
        <f>IF(AND($I945="OPEN",$B945&lt;&gt;""),IF('설정 Settings'!$C$15-$B945&gt;='설정 Settings'!$C$62,"후속 연락 필요",""),"")</f>
      </c>
    </row>
    <row r="946" spans="15:17" x14ac:dyDescent="0.25">
      <c r="O946" s="40">
        <f>IF(AND($L946="Y",$J946&lt;&gt;""),$J946+'설정 Settings'!$C$18,"")</f>
      </c>
      <c r="P946" s="41">
        <f>IF($H946="","",$H946-ROUND(IFERROR($H946*VLOOKUP($G946,'설정 Settings'!$A$122:$F$130,4,0)+VLOOKUP($G946,'설정 Settings'!$A$122:$F$130,5,0),0),2))</f>
      </c>
      <c r="Q946" s="42">
        <f>IF(AND($I946="OPEN",$B946&lt;&gt;""),IF('설정 Settings'!$C$15-$B946&gt;='설정 Settings'!$C$62,"후속 연락 필요",""),"")</f>
      </c>
    </row>
    <row r="947" spans="15:17" x14ac:dyDescent="0.25">
      <c r="O947" s="40">
        <f>IF(AND($L947="Y",$J947&lt;&gt;""),$J947+'설정 Settings'!$C$18,"")</f>
      </c>
      <c r="P947" s="41">
        <f>IF($H947="","",$H947-ROUND(IFERROR($H947*VLOOKUP($G947,'설정 Settings'!$A$122:$F$130,4,0)+VLOOKUP($G947,'설정 Settings'!$A$122:$F$130,5,0),0),2))</f>
      </c>
      <c r="Q947" s="42">
        <f>IF(AND($I947="OPEN",$B947&lt;&gt;""),IF('설정 Settings'!$C$15-$B947&gt;='설정 Settings'!$C$62,"후속 연락 필요",""),"")</f>
      </c>
    </row>
    <row r="948" spans="15:17" x14ac:dyDescent="0.25">
      <c r="O948" s="40">
        <f>IF(AND($L948="Y",$J948&lt;&gt;""),$J948+'설정 Settings'!$C$18,"")</f>
      </c>
      <c r="P948" s="41">
        <f>IF($H948="","",$H948-ROUND(IFERROR($H948*VLOOKUP($G948,'설정 Settings'!$A$122:$F$130,4,0)+VLOOKUP($G948,'설정 Settings'!$A$122:$F$130,5,0),0),2))</f>
      </c>
      <c r="Q948" s="42">
        <f>IF(AND($I948="OPEN",$B948&lt;&gt;""),IF('설정 Settings'!$C$15-$B948&gt;='설정 Settings'!$C$62,"후속 연락 필요",""),"")</f>
      </c>
    </row>
    <row r="949" spans="15:17" x14ac:dyDescent="0.25">
      <c r="O949" s="40">
        <f>IF(AND($L949="Y",$J949&lt;&gt;""),$J949+'설정 Settings'!$C$18,"")</f>
      </c>
      <c r="P949" s="41">
        <f>IF($H949="","",$H949-ROUND(IFERROR($H949*VLOOKUP($G949,'설정 Settings'!$A$122:$F$130,4,0)+VLOOKUP($G949,'설정 Settings'!$A$122:$F$130,5,0),0),2))</f>
      </c>
      <c r="Q949" s="42">
        <f>IF(AND($I949="OPEN",$B949&lt;&gt;""),IF('설정 Settings'!$C$15-$B949&gt;='설정 Settings'!$C$62,"후속 연락 필요",""),"")</f>
      </c>
    </row>
    <row r="950" spans="15:17" x14ac:dyDescent="0.25">
      <c r="O950" s="40">
        <f>IF(AND($L950="Y",$J950&lt;&gt;""),$J950+'설정 Settings'!$C$18,"")</f>
      </c>
      <c r="P950" s="41">
        <f>IF($H950="","",$H950-ROUND(IFERROR($H950*VLOOKUP($G950,'설정 Settings'!$A$122:$F$130,4,0)+VLOOKUP($G950,'설정 Settings'!$A$122:$F$130,5,0),0),2))</f>
      </c>
      <c r="Q950" s="42">
        <f>IF(AND($I950="OPEN",$B950&lt;&gt;""),IF('설정 Settings'!$C$15-$B950&gt;='설정 Settings'!$C$62,"후속 연락 필요",""),"")</f>
      </c>
    </row>
    <row r="951" spans="15:17" x14ac:dyDescent="0.25">
      <c r="O951" s="40">
        <f>IF(AND($L951="Y",$J951&lt;&gt;""),$J951+'설정 Settings'!$C$18,"")</f>
      </c>
      <c r="P951" s="41">
        <f>IF($H951="","",$H951-ROUND(IFERROR($H951*VLOOKUP($G951,'설정 Settings'!$A$122:$F$130,4,0)+VLOOKUP($G951,'설정 Settings'!$A$122:$F$130,5,0),0),2))</f>
      </c>
      <c r="Q951" s="42">
        <f>IF(AND($I951="OPEN",$B951&lt;&gt;""),IF('설정 Settings'!$C$15-$B951&gt;='설정 Settings'!$C$62,"후속 연락 필요",""),"")</f>
      </c>
    </row>
    <row r="952" spans="15:17" x14ac:dyDescent="0.25">
      <c r="O952" s="40">
        <f>IF(AND($L952="Y",$J952&lt;&gt;""),$J952+'설정 Settings'!$C$18,"")</f>
      </c>
      <c r="P952" s="41">
        <f>IF($H952="","",$H952-ROUND(IFERROR($H952*VLOOKUP($G952,'설정 Settings'!$A$122:$F$130,4,0)+VLOOKUP($G952,'설정 Settings'!$A$122:$F$130,5,0),0),2))</f>
      </c>
      <c r="Q952" s="42">
        <f>IF(AND($I952="OPEN",$B952&lt;&gt;""),IF('설정 Settings'!$C$15-$B952&gt;='설정 Settings'!$C$62,"후속 연락 필요",""),"")</f>
      </c>
    </row>
    <row r="953" spans="15:17" x14ac:dyDescent="0.25">
      <c r="O953" s="40">
        <f>IF(AND($L953="Y",$J953&lt;&gt;""),$J953+'설정 Settings'!$C$18,"")</f>
      </c>
      <c r="P953" s="41">
        <f>IF($H953="","",$H953-ROUND(IFERROR($H953*VLOOKUP($G953,'설정 Settings'!$A$122:$F$130,4,0)+VLOOKUP($G953,'설정 Settings'!$A$122:$F$130,5,0),0),2))</f>
      </c>
      <c r="Q953" s="42">
        <f>IF(AND($I953="OPEN",$B953&lt;&gt;""),IF('설정 Settings'!$C$15-$B953&gt;='설정 Settings'!$C$62,"후속 연락 필요",""),"")</f>
      </c>
    </row>
    <row r="954" spans="15:17" x14ac:dyDescent="0.25">
      <c r="O954" s="40">
        <f>IF(AND($L954="Y",$J954&lt;&gt;""),$J954+'설정 Settings'!$C$18,"")</f>
      </c>
      <c r="P954" s="41">
        <f>IF($H954="","",$H954-ROUND(IFERROR($H954*VLOOKUP($G954,'설정 Settings'!$A$122:$F$130,4,0)+VLOOKUP($G954,'설정 Settings'!$A$122:$F$130,5,0),0),2))</f>
      </c>
      <c r="Q954" s="42">
        <f>IF(AND($I954="OPEN",$B954&lt;&gt;""),IF('설정 Settings'!$C$15-$B954&gt;='설정 Settings'!$C$62,"후속 연락 필요",""),"")</f>
      </c>
    </row>
    <row r="955" spans="15:17" x14ac:dyDescent="0.25">
      <c r="O955" s="40">
        <f>IF(AND($L955="Y",$J955&lt;&gt;""),$J955+'설정 Settings'!$C$18,"")</f>
      </c>
      <c r="P955" s="41">
        <f>IF($H955="","",$H955-ROUND(IFERROR($H955*VLOOKUP($G955,'설정 Settings'!$A$122:$F$130,4,0)+VLOOKUP($G955,'설정 Settings'!$A$122:$F$130,5,0),0),2))</f>
      </c>
      <c r="Q955" s="42">
        <f>IF(AND($I955="OPEN",$B955&lt;&gt;""),IF('설정 Settings'!$C$15-$B955&gt;='설정 Settings'!$C$62,"후속 연락 필요",""),"")</f>
      </c>
    </row>
    <row r="956" spans="15:17" x14ac:dyDescent="0.25">
      <c r="O956" s="40">
        <f>IF(AND($L956="Y",$J956&lt;&gt;""),$J956+'설정 Settings'!$C$18,"")</f>
      </c>
      <c r="P956" s="41">
        <f>IF($H956="","",$H956-ROUND(IFERROR($H956*VLOOKUP($G956,'설정 Settings'!$A$122:$F$130,4,0)+VLOOKUP($G956,'설정 Settings'!$A$122:$F$130,5,0),0),2))</f>
      </c>
      <c r="Q956" s="42">
        <f>IF(AND($I956="OPEN",$B956&lt;&gt;""),IF('설정 Settings'!$C$15-$B956&gt;='설정 Settings'!$C$62,"후속 연락 필요",""),"")</f>
      </c>
    </row>
    <row r="957" spans="15:17" x14ac:dyDescent="0.25">
      <c r="O957" s="40">
        <f>IF(AND($L957="Y",$J957&lt;&gt;""),$J957+'설정 Settings'!$C$18,"")</f>
      </c>
      <c r="P957" s="41">
        <f>IF($H957="","",$H957-ROUND(IFERROR($H957*VLOOKUP($G957,'설정 Settings'!$A$122:$F$130,4,0)+VLOOKUP($G957,'설정 Settings'!$A$122:$F$130,5,0),0),2))</f>
      </c>
      <c r="Q957" s="42">
        <f>IF(AND($I957="OPEN",$B957&lt;&gt;""),IF('설정 Settings'!$C$15-$B957&gt;='설정 Settings'!$C$62,"후속 연락 필요",""),"")</f>
      </c>
    </row>
    <row r="958" spans="15:17" x14ac:dyDescent="0.25">
      <c r="O958" s="40">
        <f>IF(AND($L958="Y",$J958&lt;&gt;""),$J958+'설정 Settings'!$C$18,"")</f>
      </c>
      <c r="P958" s="41">
        <f>IF($H958="","",$H958-ROUND(IFERROR($H958*VLOOKUP($G958,'설정 Settings'!$A$122:$F$130,4,0)+VLOOKUP($G958,'설정 Settings'!$A$122:$F$130,5,0),0),2))</f>
      </c>
      <c r="Q958" s="42">
        <f>IF(AND($I958="OPEN",$B958&lt;&gt;""),IF('설정 Settings'!$C$15-$B958&gt;='설정 Settings'!$C$62,"후속 연락 필요",""),"")</f>
      </c>
    </row>
    <row r="959" spans="15:17" x14ac:dyDescent="0.25">
      <c r="O959" s="40">
        <f>IF(AND($L959="Y",$J959&lt;&gt;""),$J959+'설정 Settings'!$C$18,"")</f>
      </c>
      <c r="P959" s="41">
        <f>IF($H959="","",$H959-ROUND(IFERROR($H959*VLOOKUP($G959,'설정 Settings'!$A$122:$F$130,4,0)+VLOOKUP($G959,'설정 Settings'!$A$122:$F$130,5,0),0),2))</f>
      </c>
      <c r="Q959" s="42">
        <f>IF(AND($I959="OPEN",$B959&lt;&gt;""),IF('설정 Settings'!$C$15-$B959&gt;='설정 Settings'!$C$62,"후속 연락 필요",""),"")</f>
      </c>
    </row>
    <row r="960" spans="15:17" x14ac:dyDescent="0.25">
      <c r="O960" s="40">
        <f>IF(AND($L960="Y",$J960&lt;&gt;""),$J960+'설정 Settings'!$C$18,"")</f>
      </c>
      <c r="P960" s="41">
        <f>IF($H960="","",$H960-ROUND(IFERROR($H960*VLOOKUP($G960,'설정 Settings'!$A$122:$F$130,4,0)+VLOOKUP($G960,'설정 Settings'!$A$122:$F$130,5,0),0),2))</f>
      </c>
      <c r="Q960" s="42">
        <f>IF(AND($I960="OPEN",$B960&lt;&gt;""),IF('설정 Settings'!$C$15-$B960&gt;='설정 Settings'!$C$62,"후속 연락 필요",""),"")</f>
      </c>
    </row>
    <row r="961" spans="15:17" x14ac:dyDescent="0.25">
      <c r="O961" s="40">
        <f>IF(AND($L961="Y",$J961&lt;&gt;""),$J961+'설정 Settings'!$C$18,"")</f>
      </c>
      <c r="P961" s="41">
        <f>IF($H961="","",$H961-ROUND(IFERROR($H961*VLOOKUP($G961,'설정 Settings'!$A$122:$F$130,4,0)+VLOOKUP($G961,'설정 Settings'!$A$122:$F$130,5,0),0),2))</f>
      </c>
      <c r="Q961" s="42">
        <f>IF(AND($I961="OPEN",$B961&lt;&gt;""),IF('설정 Settings'!$C$15-$B961&gt;='설정 Settings'!$C$62,"후속 연락 필요",""),"")</f>
      </c>
    </row>
    <row r="962" spans="15:17" x14ac:dyDescent="0.25">
      <c r="O962" s="40">
        <f>IF(AND($L962="Y",$J962&lt;&gt;""),$J962+'설정 Settings'!$C$18,"")</f>
      </c>
      <c r="P962" s="41">
        <f>IF($H962="","",$H962-ROUND(IFERROR($H962*VLOOKUP($G962,'설정 Settings'!$A$122:$F$130,4,0)+VLOOKUP($G962,'설정 Settings'!$A$122:$F$130,5,0),0),2))</f>
      </c>
      <c r="Q962" s="42">
        <f>IF(AND($I962="OPEN",$B962&lt;&gt;""),IF('설정 Settings'!$C$15-$B962&gt;='설정 Settings'!$C$62,"후속 연락 필요",""),"")</f>
      </c>
    </row>
    <row r="963" spans="15:17" x14ac:dyDescent="0.25">
      <c r="O963" s="40">
        <f>IF(AND($L963="Y",$J963&lt;&gt;""),$J963+'설정 Settings'!$C$18,"")</f>
      </c>
      <c r="P963" s="41">
        <f>IF($H963="","",$H963-ROUND(IFERROR($H963*VLOOKUP($G963,'설정 Settings'!$A$122:$F$130,4,0)+VLOOKUP($G963,'설정 Settings'!$A$122:$F$130,5,0),0),2))</f>
      </c>
      <c r="Q963" s="42">
        <f>IF(AND($I963="OPEN",$B963&lt;&gt;""),IF('설정 Settings'!$C$15-$B963&gt;='설정 Settings'!$C$62,"후속 연락 필요",""),"")</f>
      </c>
    </row>
    <row r="964" spans="15:17" x14ac:dyDescent="0.25">
      <c r="O964" s="40">
        <f>IF(AND($L964="Y",$J964&lt;&gt;""),$J964+'설정 Settings'!$C$18,"")</f>
      </c>
      <c r="P964" s="41">
        <f>IF($H964="","",$H964-ROUND(IFERROR($H964*VLOOKUP($G964,'설정 Settings'!$A$122:$F$130,4,0)+VLOOKUP($G964,'설정 Settings'!$A$122:$F$130,5,0),0),2))</f>
      </c>
      <c r="Q964" s="42">
        <f>IF(AND($I964="OPEN",$B964&lt;&gt;""),IF('설정 Settings'!$C$15-$B964&gt;='설정 Settings'!$C$62,"후속 연락 필요",""),"")</f>
      </c>
    </row>
    <row r="965" spans="15:17" x14ac:dyDescent="0.25">
      <c r="O965" s="40">
        <f>IF(AND($L965="Y",$J965&lt;&gt;""),$J965+'설정 Settings'!$C$18,"")</f>
      </c>
      <c r="P965" s="41">
        <f>IF($H965="","",$H965-ROUND(IFERROR($H965*VLOOKUP($G965,'설정 Settings'!$A$122:$F$130,4,0)+VLOOKUP($G965,'설정 Settings'!$A$122:$F$130,5,0),0),2))</f>
      </c>
      <c r="Q965" s="42">
        <f>IF(AND($I965="OPEN",$B965&lt;&gt;""),IF('설정 Settings'!$C$15-$B965&gt;='설정 Settings'!$C$62,"후속 연락 필요",""),"")</f>
      </c>
    </row>
    <row r="966" spans="15:17" x14ac:dyDescent="0.25">
      <c r="O966" s="40">
        <f>IF(AND($L966="Y",$J966&lt;&gt;""),$J966+'설정 Settings'!$C$18,"")</f>
      </c>
      <c r="P966" s="41">
        <f>IF($H966="","",$H966-ROUND(IFERROR($H966*VLOOKUP($G966,'설정 Settings'!$A$122:$F$130,4,0)+VLOOKUP($G966,'설정 Settings'!$A$122:$F$130,5,0),0),2))</f>
      </c>
      <c r="Q966" s="42">
        <f>IF(AND($I966="OPEN",$B966&lt;&gt;""),IF('설정 Settings'!$C$15-$B966&gt;='설정 Settings'!$C$62,"후속 연락 필요",""),"")</f>
      </c>
    </row>
    <row r="967" spans="15:17" x14ac:dyDescent="0.25">
      <c r="O967" s="40">
        <f>IF(AND($L967="Y",$J967&lt;&gt;""),$J967+'설정 Settings'!$C$18,"")</f>
      </c>
      <c r="P967" s="41">
        <f>IF($H967="","",$H967-ROUND(IFERROR($H967*VLOOKUP($G967,'설정 Settings'!$A$122:$F$130,4,0)+VLOOKUP($G967,'설정 Settings'!$A$122:$F$130,5,0),0),2))</f>
      </c>
      <c r="Q967" s="42">
        <f>IF(AND($I967="OPEN",$B967&lt;&gt;""),IF('설정 Settings'!$C$15-$B967&gt;='설정 Settings'!$C$62,"후속 연락 필요",""),"")</f>
      </c>
    </row>
    <row r="968" spans="15:17" x14ac:dyDescent="0.25">
      <c r="O968" s="40">
        <f>IF(AND($L968="Y",$J968&lt;&gt;""),$J968+'설정 Settings'!$C$18,"")</f>
      </c>
      <c r="P968" s="41">
        <f>IF($H968="","",$H968-ROUND(IFERROR($H968*VLOOKUP($G968,'설정 Settings'!$A$122:$F$130,4,0)+VLOOKUP($G968,'설정 Settings'!$A$122:$F$130,5,0),0),2))</f>
      </c>
      <c r="Q968" s="42">
        <f>IF(AND($I968="OPEN",$B968&lt;&gt;""),IF('설정 Settings'!$C$15-$B968&gt;='설정 Settings'!$C$62,"후속 연락 필요",""),"")</f>
      </c>
    </row>
    <row r="969" spans="15:17" x14ac:dyDescent="0.25">
      <c r="O969" s="40">
        <f>IF(AND($L969="Y",$J969&lt;&gt;""),$J969+'설정 Settings'!$C$18,"")</f>
      </c>
      <c r="P969" s="41">
        <f>IF($H969="","",$H969-ROUND(IFERROR($H969*VLOOKUP($G969,'설정 Settings'!$A$122:$F$130,4,0)+VLOOKUP($G969,'설정 Settings'!$A$122:$F$130,5,0),0),2))</f>
      </c>
      <c r="Q969" s="42">
        <f>IF(AND($I969="OPEN",$B969&lt;&gt;""),IF('설정 Settings'!$C$15-$B969&gt;='설정 Settings'!$C$62,"후속 연락 필요",""),"")</f>
      </c>
    </row>
    <row r="970" spans="15:17" x14ac:dyDescent="0.25">
      <c r="O970" s="40">
        <f>IF(AND($L970="Y",$J970&lt;&gt;""),$J970+'설정 Settings'!$C$18,"")</f>
      </c>
      <c r="P970" s="41">
        <f>IF($H970="","",$H970-ROUND(IFERROR($H970*VLOOKUP($G970,'설정 Settings'!$A$122:$F$130,4,0)+VLOOKUP($G970,'설정 Settings'!$A$122:$F$130,5,0),0),2))</f>
      </c>
      <c r="Q970" s="42">
        <f>IF(AND($I970="OPEN",$B970&lt;&gt;""),IF('설정 Settings'!$C$15-$B970&gt;='설정 Settings'!$C$62,"후속 연락 필요",""),"")</f>
      </c>
    </row>
    <row r="971" spans="15:17" x14ac:dyDescent="0.25">
      <c r="O971" s="40">
        <f>IF(AND($L971="Y",$J971&lt;&gt;""),$J971+'설정 Settings'!$C$18,"")</f>
      </c>
      <c r="P971" s="41">
        <f>IF($H971="","",$H971-ROUND(IFERROR($H971*VLOOKUP($G971,'설정 Settings'!$A$122:$F$130,4,0)+VLOOKUP($G971,'설정 Settings'!$A$122:$F$130,5,0),0),2))</f>
      </c>
      <c r="Q971" s="42">
        <f>IF(AND($I971="OPEN",$B971&lt;&gt;""),IF('설정 Settings'!$C$15-$B971&gt;='설정 Settings'!$C$62,"후속 연락 필요",""),"")</f>
      </c>
    </row>
    <row r="972" spans="15:17" x14ac:dyDescent="0.25">
      <c r="O972" s="40">
        <f>IF(AND($L972="Y",$J972&lt;&gt;""),$J972+'설정 Settings'!$C$18,"")</f>
      </c>
      <c r="P972" s="41">
        <f>IF($H972="","",$H972-ROUND(IFERROR($H972*VLOOKUP($G972,'설정 Settings'!$A$122:$F$130,4,0)+VLOOKUP($G972,'설정 Settings'!$A$122:$F$130,5,0),0),2))</f>
      </c>
      <c r="Q972" s="42">
        <f>IF(AND($I972="OPEN",$B972&lt;&gt;""),IF('설정 Settings'!$C$15-$B972&gt;='설정 Settings'!$C$62,"후속 연락 필요",""),"")</f>
      </c>
    </row>
    <row r="973" spans="15:17" x14ac:dyDescent="0.25">
      <c r="O973" s="40">
        <f>IF(AND($L973="Y",$J973&lt;&gt;""),$J973+'설정 Settings'!$C$18,"")</f>
      </c>
      <c r="P973" s="41">
        <f>IF($H973="","",$H973-ROUND(IFERROR($H973*VLOOKUP($G973,'설정 Settings'!$A$122:$F$130,4,0)+VLOOKUP($G973,'설정 Settings'!$A$122:$F$130,5,0),0),2))</f>
      </c>
      <c r="Q973" s="42">
        <f>IF(AND($I973="OPEN",$B973&lt;&gt;""),IF('설정 Settings'!$C$15-$B973&gt;='설정 Settings'!$C$62,"후속 연락 필요",""),"")</f>
      </c>
    </row>
    <row r="974" spans="15:17" x14ac:dyDescent="0.25">
      <c r="O974" s="40">
        <f>IF(AND($L974="Y",$J974&lt;&gt;""),$J974+'설정 Settings'!$C$18,"")</f>
      </c>
      <c r="P974" s="41">
        <f>IF($H974="","",$H974-ROUND(IFERROR($H974*VLOOKUP($G974,'설정 Settings'!$A$122:$F$130,4,0)+VLOOKUP($G974,'설정 Settings'!$A$122:$F$130,5,0),0),2))</f>
      </c>
      <c r="Q974" s="42">
        <f>IF(AND($I974="OPEN",$B974&lt;&gt;""),IF('설정 Settings'!$C$15-$B974&gt;='설정 Settings'!$C$62,"후속 연락 필요",""),"")</f>
      </c>
    </row>
    <row r="975" spans="15:17" x14ac:dyDescent="0.25">
      <c r="O975" s="40">
        <f>IF(AND($L975="Y",$J975&lt;&gt;""),$J975+'설정 Settings'!$C$18,"")</f>
      </c>
      <c r="P975" s="41">
        <f>IF($H975="","",$H975-ROUND(IFERROR($H975*VLOOKUP($G975,'설정 Settings'!$A$122:$F$130,4,0)+VLOOKUP($G975,'설정 Settings'!$A$122:$F$130,5,0),0),2))</f>
      </c>
      <c r="Q975" s="42">
        <f>IF(AND($I975="OPEN",$B975&lt;&gt;""),IF('설정 Settings'!$C$15-$B975&gt;='설정 Settings'!$C$62,"후속 연락 필요",""),"")</f>
      </c>
    </row>
    <row r="976" spans="15:17" x14ac:dyDescent="0.25">
      <c r="O976" s="40">
        <f>IF(AND($L976="Y",$J976&lt;&gt;""),$J976+'설정 Settings'!$C$18,"")</f>
      </c>
      <c r="P976" s="41">
        <f>IF($H976="","",$H976-ROUND(IFERROR($H976*VLOOKUP($G976,'설정 Settings'!$A$122:$F$130,4,0)+VLOOKUP($G976,'설정 Settings'!$A$122:$F$130,5,0),0),2))</f>
      </c>
      <c r="Q976" s="42">
        <f>IF(AND($I976="OPEN",$B976&lt;&gt;""),IF('설정 Settings'!$C$15-$B976&gt;='설정 Settings'!$C$62,"후속 연락 필요",""),"")</f>
      </c>
    </row>
    <row r="977" spans="15:17" x14ac:dyDescent="0.25">
      <c r="O977" s="40">
        <f>IF(AND($L977="Y",$J977&lt;&gt;""),$J977+'설정 Settings'!$C$18,"")</f>
      </c>
      <c r="P977" s="41">
        <f>IF($H977="","",$H977-ROUND(IFERROR($H977*VLOOKUP($G977,'설정 Settings'!$A$122:$F$130,4,0)+VLOOKUP($G977,'설정 Settings'!$A$122:$F$130,5,0),0),2))</f>
      </c>
      <c r="Q977" s="42">
        <f>IF(AND($I977="OPEN",$B977&lt;&gt;""),IF('설정 Settings'!$C$15-$B977&gt;='설정 Settings'!$C$62,"후속 연락 필요",""),"")</f>
      </c>
    </row>
    <row r="978" spans="15:17" x14ac:dyDescent="0.25">
      <c r="O978" s="40">
        <f>IF(AND($L978="Y",$J978&lt;&gt;""),$J978+'설정 Settings'!$C$18,"")</f>
      </c>
      <c r="P978" s="41">
        <f>IF($H978="","",$H978-ROUND(IFERROR($H978*VLOOKUP($G978,'설정 Settings'!$A$122:$F$130,4,0)+VLOOKUP($G978,'설정 Settings'!$A$122:$F$130,5,0),0),2))</f>
      </c>
      <c r="Q978" s="42">
        <f>IF(AND($I978="OPEN",$B978&lt;&gt;""),IF('설정 Settings'!$C$15-$B978&gt;='설정 Settings'!$C$62,"후속 연락 필요",""),"")</f>
      </c>
    </row>
    <row r="979" spans="15:17" x14ac:dyDescent="0.25">
      <c r="O979" s="40">
        <f>IF(AND($L979="Y",$J979&lt;&gt;""),$J979+'설정 Settings'!$C$18,"")</f>
      </c>
      <c r="P979" s="41">
        <f>IF($H979="","",$H979-ROUND(IFERROR($H979*VLOOKUP($G979,'설정 Settings'!$A$122:$F$130,4,0)+VLOOKUP($G979,'설정 Settings'!$A$122:$F$130,5,0),0),2))</f>
      </c>
      <c r="Q979" s="42">
        <f>IF(AND($I979="OPEN",$B979&lt;&gt;""),IF('설정 Settings'!$C$15-$B979&gt;='설정 Settings'!$C$62,"후속 연락 필요",""),"")</f>
      </c>
    </row>
    <row r="980" spans="15:17" x14ac:dyDescent="0.25">
      <c r="O980" s="40">
        <f>IF(AND($L980="Y",$J980&lt;&gt;""),$J980+'설정 Settings'!$C$18,"")</f>
      </c>
      <c r="P980" s="41">
        <f>IF($H980="","",$H980-ROUND(IFERROR($H980*VLOOKUP($G980,'설정 Settings'!$A$122:$F$130,4,0)+VLOOKUP($G980,'설정 Settings'!$A$122:$F$130,5,0),0),2))</f>
      </c>
      <c r="Q980" s="42">
        <f>IF(AND($I980="OPEN",$B980&lt;&gt;""),IF('설정 Settings'!$C$15-$B980&gt;='설정 Settings'!$C$62,"후속 연락 필요",""),"")</f>
      </c>
    </row>
    <row r="981" spans="15:17" x14ac:dyDescent="0.25">
      <c r="O981" s="40">
        <f>IF(AND($L981="Y",$J981&lt;&gt;""),$J981+'설정 Settings'!$C$18,"")</f>
      </c>
      <c r="P981" s="41">
        <f>IF($H981="","",$H981-ROUND(IFERROR($H981*VLOOKUP($G981,'설정 Settings'!$A$122:$F$130,4,0)+VLOOKUP($G981,'설정 Settings'!$A$122:$F$130,5,0),0),2))</f>
      </c>
      <c r="Q981" s="42">
        <f>IF(AND($I981="OPEN",$B981&lt;&gt;""),IF('설정 Settings'!$C$15-$B981&gt;='설정 Settings'!$C$62,"후속 연락 필요",""),"")</f>
      </c>
    </row>
    <row r="982" spans="15:17" x14ac:dyDescent="0.25">
      <c r="O982" s="40">
        <f>IF(AND($L982="Y",$J982&lt;&gt;""),$J982+'설정 Settings'!$C$18,"")</f>
      </c>
      <c r="P982" s="41">
        <f>IF($H982="","",$H982-ROUND(IFERROR($H982*VLOOKUP($G982,'설정 Settings'!$A$122:$F$130,4,0)+VLOOKUP($G982,'설정 Settings'!$A$122:$F$130,5,0),0),2))</f>
      </c>
      <c r="Q982" s="42">
        <f>IF(AND($I982="OPEN",$B982&lt;&gt;""),IF('설정 Settings'!$C$15-$B982&gt;='설정 Settings'!$C$62,"후속 연락 필요",""),"")</f>
      </c>
    </row>
    <row r="983" spans="15:17" x14ac:dyDescent="0.25">
      <c r="O983" s="40">
        <f>IF(AND($L983="Y",$J983&lt;&gt;""),$J983+'설정 Settings'!$C$18,"")</f>
      </c>
      <c r="P983" s="41">
        <f>IF($H983="","",$H983-ROUND(IFERROR($H983*VLOOKUP($G983,'설정 Settings'!$A$122:$F$130,4,0)+VLOOKUP($G983,'설정 Settings'!$A$122:$F$130,5,0),0),2))</f>
      </c>
      <c r="Q983" s="42">
        <f>IF(AND($I983="OPEN",$B983&lt;&gt;""),IF('설정 Settings'!$C$15-$B983&gt;='설정 Settings'!$C$62,"후속 연락 필요",""),"")</f>
      </c>
    </row>
    <row r="984" spans="15:17" x14ac:dyDescent="0.25">
      <c r="O984" s="40">
        <f>IF(AND($L984="Y",$J984&lt;&gt;""),$J984+'설정 Settings'!$C$18,"")</f>
      </c>
      <c r="P984" s="41">
        <f>IF($H984="","",$H984-ROUND(IFERROR($H984*VLOOKUP($G984,'설정 Settings'!$A$122:$F$130,4,0)+VLOOKUP($G984,'설정 Settings'!$A$122:$F$130,5,0),0),2))</f>
      </c>
      <c r="Q984" s="42">
        <f>IF(AND($I984="OPEN",$B984&lt;&gt;""),IF('설정 Settings'!$C$15-$B984&gt;='설정 Settings'!$C$62,"후속 연락 필요",""),"")</f>
      </c>
    </row>
    <row r="985" spans="15:17" x14ac:dyDescent="0.25">
      <c r="O985" s="40">
        <f>IF(AND($L985="Y",$J985&lt;&gt;""),$J985+'설정 Settings'!$C$18,"")</f>
      </c>
      <c r="P985" s="41">
        <f>IF($H985="","",$H985-ROUND(IFERROR($H985*VLOOKUP($G985,'설정 Settings'!$A$122:$F$130,4,0)+VLOOKUP($G985,'설정 Settings'!$A$122:$F$130,5,0),0),2))</f>
      </c>
      <c r="Q985" s="42">
        <f>IF(AND($I985="OPEN",$B985&lt;&gt;""),IF('설정 Settings'!$C$15-$B985&gt;='설정 Settings'!$C$62,"후속 연락 필요",""),"")</f>
      </c>
    </row>
    <row r="986" spans="15:17" x14ac:dyDescent="0.25">
      <c r="O986" s="40">
        <f>IF(AND($L986="Y",$J986&lt;&gt;""),$J986+'설정 Settings'!$C$18,"")</f>
      </c>
      <c r="P986" s="41">
        <f>IF($H986="","",$H986-ROUND(IFERROR($H986*VLOOKUP($G986,'설정 Settings'!$A$122:$F$130,4,0)+VLOOKUP($G986,'설정 Settings'!$A$122:$F$130,5,0),0),2))</f>
      </c>
      <c r="Q986" s="42">
        <f>IF(AND($I986="OPEN",$B986&lt;&gt;""),IF('설정 Settings'!$C$15-$B986&gt;='설정 Settings'!$C$62,"후속 연락 필요",""),"")</f>
      </c>
    </row>
    <row r="987" spans="15:17" x14ac:dyDescent="0.25">
      <c r="O987" s="40">
        <f>IF(AND($L987="Y",$J987&lt;&gt;""),$J987+'설정 Settings'!$C$18,"")</f>
      </c>
      <c r="P987" s="41">
        <f>IF($H987="","",$H987-ROUND(IFERROR($H987*VLOOKUP($G987,'설정 Settings'!$A$122:$F$130,4,0)+VLOOKUP($G987,'설정 Settings'!$A$122:$F$130,5,0),0),2))</f>
      </c>
      <c r="Q987" s="42">
        <f>IF(AND($I987="OPEN",$B987&lt;&gt;""),IF('설정 Settings'!$C$15-$B987&gt;='설정 Settings'!$C$62,"후속 연락 필요",""),"")</f>
      </c>
    </row>
    <row r="988" spans="15:17" x14ac:dyDescent="0.25">
      <c r="O988" s="40">
        <f>IF(AND($L988="Y",$J988&lt;&gt;""),$J988+'설정 Settings'!$C$18,"")</f>
      </c>
      <c r="P988" s="41">
        <f>IF($H988="","",$H988-ROUND(IFERROR($H988*VLOOKUP($G988,'설정 Settings'!$A$122:$F$130,4,0)+VLOOKUP($G988,'설정 Settings'!$A$122:$F$130,5,0),0),2))</f>
      </c>
      <c r="Q988" s="42">
        <f>IF(AND($I988="OPEN",$B988&lt;&gt;""),IF('설정 Settings'!$C$15-$B988&gt;='설정 Settings'!$C$62,"후속 연락 필요",""),"")</f>
      </c>
    </row>
    <row r="989" spans="15:17" x14ac:dyDescent="0.25">
      <c r="O989" s="40">
        <f>IF(AND($L989="Y",$J989&lt;&gt;""),$J989+'설정 Settings'!$C$18,"")</f>
      </c>
      <c r="P989" s="41">
        <f>IF($H989="","",$H989-ROUND(IFERROR($H989*VLOOKUP($G989,'설정 Settings'!$A$122:$F$130,4,0)+VLOOKUP($G989,'설정 Settings'!$A$122:$F$130,5,0),0),2))</f>
      </c>
      <c r="Q989" s="42">
        <f>IF(AND($I989="OPEN",$B989&lt;&gt;""),IF('설정 Settings'!$C$15-$B989&gt;='설정 Settings'!$C$62,"후속 연락 필요",""),"")</f>
      </c>
    </row>
    <row r="990" spans="15:17" x14ac:dyDescent="0.25">
      <c r="O990" s="40">
        <f>IF(AND($L990="Y",$J990&lt;&gt;""),$J990+'설정 Settings'!$C$18,"")</f>
      </c>
      <c r="P990" s="41">
        <f>IF($H990="","",$H990-ROUND(IFERROR($H990*VLOOKUP($G990,'설정 Settings'!$A$122:$F$130,4,0)+VLOOKUP($G990,'설정 Settings'!$A$122:$F$130,5,0),0),2))</f>
      </c>
      <c r="Q990" s="42">
        <f>IF(AND($I990="OPEN",$B990&lt;&gt;""),IF('설정 Settings'!$C$15-$B990&gt;='설정 Settings'!$C$62,"후속 연락 필요",""),"")</f>
      </c>
    </row>
    <row r="991" spans="15:17" x14ac:dyDescent="0.25">
      <c r="O991" s="40">
        <f>IF(AND($L991="Y",$J991&lt;&gt;""),$J991+'설정 Settings'!$C$18,"")</f>
      </c>
      <c r="P991" s="41">
        <f>IF($H991="","",$H991-ROUND(IFERROR($H991*VLOOKUP($G991,'설정 Settings'!$A$122:$F$130,4,0)+VLOOKUP($G991,'설정 Settings'!$A$122:$F$130,5,0),0),2))</f>
      </c>
      <c r="Q991" s="42">
        <f>IF(AND($I991="OPEN",$B991&lt;&gt;""),IF('설정 Settings'!$C$15-$B991&gt;='설정 Settings'!$C$62,"후속 연락 필요",""),"")</f>
      </c>
    </row>
    <row r="992" spans="15:17" x14ac:dyDescent="0.25">
      <c r="O992" s="40">
        <f>IF(AND($L992="Y",$J992&lt;&gt;""),$J992+'설정 Settings'!$C$18,"")</f>
      </c>
      <c r="P992" s="41">
        <f>IF($H992="","",$H992-ROUND(IFERROR($H992*VLOOKUP($G992,'설정 Settings'!$A$122:$F$130,4,0)+VLOOKUP($G992,'설정 Settings'!$A$122:$F$130,5,0),0),2))</f>
      </c>
      <c r="Q992" s="42">
        <f>IF(AND($I992="OPEN",$B992&lt;&gt;""),IF('설정 Settings'!$C$15-$B992&gt;='설정 Settings'!$C$62,"후속 연락 필요",""),"")</f>
      </c>
    </row>
    <row r="993" spans="15:17" x14ac:dyDescent="0.25">
      <c r="O993" s="40">
        <f>IF(AND($L993="Y",$J993&lt;&gt;""),$J993+'설정 Settings'!$C$18,"")</f>
      </c>
      <c r="P993" s="41">
        <f>IF($H993="","",$H993-ROUND(IFERROR($H993*VLOOKUP($G993,'설정 Settings'!$A$122:$F$130,4,0)+VLOOKUP($G993,'설정 Settings'!$A$122:$F$130,5,0),0),2))</f>
      </c>
      <c r="Q993" s="42">
        <f>IF(AND($I993="OPEN",$B993&lt;&gt;""),IF('설정 Settings'!$C$15-$B993&gt;='설정 Settings'!$C$62,"후속 연락 필요",""),"")</f>
      </c>
    </row>
    <row r="994" spans="15:17" x14ac:dyDescent="0.25">
      <c r="O994" s="40">
        <f>IF(AND($L994="Y",$J994&lt;&gt;""),$J994+'설정 Settings'!$C$18,"")</f>
      </c>
      <c r="P994" s="41">
        <f>IF($H994="","",$H994-ROUND(IFERROR($H994*VLOOKUP($G994,'설정 Settings'!$A$122:$F$130,4,0)+VLOOKUP($G994,'설정 Settings'!$A$122:$F$130,5,0),0),2))</f>
      </c>
      <c r="Q994" s="42">
        <f>IF(AND($I994="OPEN",$B994&lt;&gt;""),IF('설정 Settings'!$C$15-$B994&gt;='설정 Settings'!$C$62,"후속 연락 필요",""),"")</f>
      </c>
    </row>
    <row r="995" spans="15:17" x14ac:dyDescent="0.25">
      <c r="O995" s="40">
        <f>IF(AND($L995="Y",$J995&lt;&gt;""),$J995+'설정 Settings'!$C$18,"")</f>
      </c>
      <c r="P995" s="41">
        <f>IF($H995="","",$H995-ROUND(IFERROR($H995*VLOOKUP($G995,'설정 Settings'!$A$122:$F$130,4,0)+VLOOKUP($G995,'설정 Settings'!$A$122:$F$130,5,0),0),2))</f>
      </c>
      <c r="Q995" s="42">
        <f>IF(AND($I995="OPEN",$B995&lt;&gt;""),IF('설정 Settings'!$C$15-$B995&gt;='설정 Settings'!$C$62,"후속 연락 필요",""),"")</f>
      </c>
    </row>
    <row r="996" spans="15:17" x14ac:dyDescent="0.25">
      <c r="O996" s="40">
        <f>IF(AND($L996="Y",$J996&lt;&gt;""),$J996+'설정 Settings'!$C$18,"")</f>
      </c>
      <c r="P996" s="41">
        <f>IF($H996="","",$H996-ROUND(IFERROR($H996*VLOOKUP($G996,'설정 Settings'!$A$122:$F$130,4,0)+VLOOKUP($G996,'설정 Settings'!$A$122:$F$130,5,0),0),2))</f>
      </c>
      <c r="Q996" s="42">
        <f>IF(AND($I996="OPEN",$B996&lt;&gt;""),IF('설정 Settings'!$C$15-$B996&gt;='설정 Settings'!$C$62,"후속 연락 필요",""),"")</f>
      </c>
    </row>
    <row r="997" spans="15:17" x14ac:dyDescent="0.25">
      <c r="O997" s="40">
        <f>IF(AND($L997="Y",$J997&lt;&gt;""),$J997+'설정 Settings'!$C$18,"")</f>
      </c>
      <c r="P997" s="41">
        <f>IF($H997="","",$H997-ROUND(IFERROR($H997*VLOOKUP($G997,'설정 Settings'!$A$122:$F$130,4,0)+VLOOKUP($G997,'설정 Settings'!$A$122:$F$130,5,0),0),2))</f>
      </c>
      <c r="Q997" s="42">
        <f>IF(AND($I997="OPEN",$B997&lt;&gt;""),IF('설정 Settings'!$C$15-$B997&gt;='설정 Settings'!$C$62,"후속 연락 필요",""),"")</f>
      </c>
    </row>
    <row r="998" spans="15:17" x14ac:dyDescent="0.25">
      <c r="O998" s="40">
        <f>IF(AND($L998="Y",$J998&lt;&gt;""),$J998+'설정 Settings'!$C$18,"")</f>
      </c>
      <c r="P998" s="41">
        <f>IF($H998="","",$H998-ROUND(IFERROR($H998*VLOOKUP($G998,'설정 Settings'!$A$122:$F$130,4,0)+VLOOKUP($G998,'설정 Settings'!$A$122:$F$130,5,0),0),2))</f>
      </c>
      <c r="Q998" s="42">
        <f>IF(AND($I998="OPEN",$B998&lt;&gt;""),IF('설정 Settings'!$C$15-$B998&gt;='설정 Settings'!$C$62,"후속 연락 필요",""),"")</f>
      </c>
    </row>
    <row r="999" spans="15:17" x14ac:dyDescent="0.25">
      <c r="O999" s="40">
        <f>IF(AND($L999="Y",$J999&lt;&gt;""),$J999+'설정 Settings'!$C$18,"")</f>
      </c>
      <c r="P999" s="41">
        <f>IF($H999="","",$H999-ROUND(IFERROR($H999*VLOOKUP($G999,'설정 Settings'!$A$122:$F$130,4,0)+VLOOKUP($G999,'설정 Settings'!$A$122:$F$130,5,0),0),2))</f>
      </c>
      <c r="Q999" s="42">
        <f>IF(AND($I999="OPEN",$B999&lt;&gt;""),IF('설정 Settings'!$C$15-$B999&gt;='설정 Settings'!$C$62,"후속 연락 필요",""),"")</f>
      </c>
    </row>
    <row r="1000" spans="15:17" x14ac:dyDescent="0.25">
      <c r="O1000" s="40">
        <f>IF(AND($L1000="Y",$J1000&lt;&gt;""),$J1000+'설정 Settings'!$C$18,"")</f>
      </c>
      <c r="P1000" s="41">
        <f>IF($H1000="","",$H1000-ROUND(IFERROR($H1000*VLOOKUP($G1000,'설정 Settings'!$A$122:$F$130,4,0)+VLOOKUP($G1000,'설정 Settings'!$A$122:$F$130,5,0),0),2))</f>
      </c>
      <c r="Q1000" s="42">
        <f>IF(AND($I1000="OPEN",$B1000&lt;&gt;""),IF('설정 Settings'!$C$15-$B1000&gt;='설정 Settings'!$C$62,"후속 연락 필요",""),"")</f>
      </c>
    </row>
    <row r="1001" spans="15:17" x14ac:dyDescent="0.25">
      <c r="O1001" s="40">
        <f>IF(AND($L1001="Y",$J1001&lt;&gt;""),$J1001+'설정 Settings'!$C$18,"")</f>
      </c>
      <c r="P1001" s="41">
        <f>IF($H1001="","",$H1001-ROUND(IFERROR($H1001*VLOOKUP($G1001,'설정 Settings'!$A$122:$F$130,4,0)+VLOOKUP($G1001,'설정 Settings'!$A$122:$F$130,5,0),0),2))</f>
      </c>
      <c r="Q1001" s="42">
        <f>IF(AND($I1001="OPEN",$B1001&lt;&gt;""),IF('설정 Settings'!$C$15-$B1001&gt;='설정 Settings'!$C$62,"후속 연락 필요",""),"")</f>
      </c>
    </row>
    <row r="1002" spans="15:17" x14ac:dyDescent="0.25">
      <c r="O1002" s="40">
        <f>IF(AND($L1002="Y",$J1002&lt;&gt;""),$J1002+'설정 Settings'!$C$18,"")</f>
      </c>
      <c r="P1002" s="41">
        <f>IF($H1002="","",$H1002-ROUND(IFERROR($H1002*VLOOKUP($G1002,'설정 Settings'!$A$122:$F$130,4,0)+VLOOKUP($G1002,'설정 Settings'!$A$122:$F$130,5,0),0),2))</f>
      </c>
      <c r="Q1002" s="42">
        <f>IF(AND($I1002="OPEN",$B1002&lt;&gt;""),IF('설정 Settings'!$C$15-$B1002&gt;='설정 Settings'!$C$62,"후속 연락 필요",""),"")</f>
      </c>
    </row>
  </sheetData>
  <dataValidations count="5">
    <dataValidation type="list" allowBlank="1" showErrorMessage="1" errorStyle="stop" errorTitle="목록에서 고르세요 / Pick from the list" error="허용 / allowed: DOOR,KIJIJI,FACEBOOK,KOREAN,REFERRAL,B2B,WEB,PHONE,PLATFORM,REPEAT,OTHER" sqref="C3:C1002">
      <formula1>"DOOR,KIJIJI,FACEBOOK,KOREAN,REFERRAL,B2B,WEB,PHONE,PLATFORM,REPEAT,OTHER"</formula1>
    </dataValidation>
    <dataValidation type="list" allowBlank="1" showErrorMessage="1" errorStyle="stop" errorTitle="목록에서 고르세요 / Pick from the list" error="허용 / allowed: CL-STD,CL-DEEP,CL-MOVE,CL-RECUR,GUT,SNOW,SNOW-VISIT,PLAT,OTHER" sqref="G3:G1002">
      <formula1>"CL-STD,CL-DEEP,CL-MOVE,CL-RECUR,GUT,SNOW,SNOW-VISIT,PLAT,OTHER"</formula1>
    </dataValidation>
    <dataValidation type="list" allowBlank="1" showErrorMessage="1" errorStyle="stop" errorTitle="목록에서 고르세요 / Pick from the list" error="허용 / allowed: OPEN,WON,LOST" sqref="I3:I1002">
      <formula1>"OPEN,WON,LOST"</formula1>
    </dataValidation>
    <dataValidation type="list" allowBlank="1" showErrorMessage="1" errorStyle="stop" errorTitle="목록에서 고르세요 / Pick from the list" error="허용 / allowed: Y,N" sqref="L3:L1002">
      <formula1>"Y,N"</formula1>
    </dataValidation>
    <dataValidation type="list" allowBlank="1" showErrorMessage="1" errorStyle="stop" errorTitle="목록에서 고르세요 / Pick from the list" error="허용 / allowed: Y,N" sqref="M3:M1002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R1002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2" width="10" style="5" customWidth="1"/>
    <col min="3" max="3" width="12" style="26" customWidth="1"/>
    <col min="4" max="4" width="20" style="5" customWidth="1"/>
    <col min="5" max="5" width="24" style="5" customWidth="1"/>
    <col min="6" max="6" width="12" style="5" customWidth="1"/>
    <col min="7" max="7" width="11" style="5" customWidth="1"/>
    <col min="8" max="9" width="13" style="35" customWidth="1"/>
    <col min="10" max="10" width="11" style="5" customWidth="1"/>
    <col min="11" max="11" width="30" style="5" customWidth="1"/>
    <col min="12" max="13" width="12" style="35" customWidth="1"/>
    <col min="14" max="14" width="13" style="5" customWidth="1"/>
    <col min="15" max="16" width="12" style="35" customWidth="1"/>
    <col min="17" max="17" width="13" style="5" customWidth="1"/>
    <col min="18" max="18" width="22" style="5" customWidth="1"/>
  </cols>
  <sheetData>
    <row r="1" ht="32" customHeight="1" spans="1:18" x14ac:dyDescent="0.25">
      <c r="A1" s="3" t="s">
        <v>538</v>
      </c>
      <c r="B1" s="3" t="s">
        <v>513</v>
      </c>
      <c r="C1" s="28" t="s">
        <v>539</v>
      </c>
      <c r="D1" s="3" t="s">
        <v>516</v>
      </c>
      <c r="E1" s="3" t="s">
        <v>517</v>
      </c>
      <c r="F1" s="3" t="s">
        <v>519</v>
      </c>
      <c r="G1" s="3" t="s">
        <v>515</v>
      </c>
      <c r="H1" s="36" t="s">
        <v>540</v>
      </c>
      <c r="I1" s="36" t="s">
        <v>541</v>
      </c>
      <c r="J1" s="3" t="s">
        <v>524</v>
      </c>
      <c r="K1" s="3" t="s">
        <v>487</v>
      </c>
      <c r="L1" s="38" t="s">
        <v>542</v>
      </c>
      <c r="M1" s="38" t="s">
        <v>543</v>
      </c>
      <c r="N1" s="20" t="s">
        <v>544</v>
      </c>
      <c r="O1" s="38" t="s">
        <v>545</v>
      </c>
      <c r="P1" s="38" t="s">
        <v>546</v>
      </c>
      <c r="Q1" s="20" t="s">
        <v>547</v>
      </c>
      <c r="R1" s="20" t="s">
        <v>548</v>
      </c>
    </row>
    <row r="2" spans="1:18" x14ac:dyDescent="0.25">
      <c r="A2" s="31" t="s">
        <v>549</v>
      </c>
      <c r="B2" s="31" t="s">
        <v>529</v>
      </c>
      <c r="C2" s="30">
        <v>46309</v>
      </c>
      <c r="D2" s="31" t="s">
        <v>531</v>
      </c>
      <c r="E2" s="31" t="s">
        <v>532</v>
      </c>
      <c r="F2" s="31" t="s">
        <v>357</v>
      </c>
      <c r="G2" s="31" t="s">
        <v>530</v>
      </c>
      <c r="H2" s="39">
        <v>270</v>
      </c>
      <c r="I2" s="39"/>
      <c r="J2" s="31" t="s">
        <v>535</v>
      </c>
      <c r="K2" s="31" t="s">
        <v>495</v>
      </c>
      <c r="L2" s="39" t="s">
        <v>537</v>
      </c>
      <c r="M2" s="39" t="s">
        <v>537</v>
      </c>
      <c r="N2" s="31" t="s">
        <v>537</v>
      </c>
      <c r="O2" s="39" t="s">
        <v>537</v>
      </c>
      <c r="P2" s="39" t="s">
        <v>537</v>
      </c>
      <c r="Q2" s="31" t="s">
        <v>537</v>
      </c>
      <c r="R2" s="31" t="s">
        <v>537</v>
      </c>
    </row>
    <row r="3" spans="12:18" x14ac:dyDescent="0.25">
      <c r="L3" s="41">
        <f>IF($C3="","",IF($I3="",ROUND(IFERROR($H3*VLOOKUP($F3,'설정 Settings'!$A$122:$F$130,4,0)+VLOOKUP($F3,'설정 Settings'!$A$122:$F$130,5,0),0),2),$I3))</f>
      </c>
      <c r="M3" s="41">
        <f>IF($C3="","",$H3-$L3)</f>
      </c>
      <c r="N3" s="42">
        <f>IF($C3="","",IF($I3="","추정 ESTIMATE","실제 ACTUAL"))</f>
      </c>
      <c r="O3" s="41">
        <f>IF($A3="","",SUMIFS('입금 Payments'!$C$3:$C$1002,'입금 Payments'!$B$3:$B$1002,$A3))</f>
      </c>
      <c r="P3" s="41">
        <f>IF($C3="","",ROUND($H3*(1+IF('설정 Settings'!$C$24="YES",'설정 Settings'!$C$26,0)),2)-N($O3))</f>
      </c>
      <c r="Q3" s="42">
        <f>IF($A3="","","INV-"&amp;$A3)</f>
      </c>
      <c r="R3" s="42">
        <f>IF($H3="","",IF($H3&gt;'설정 Settings'!$C$36,"$2,000 초과: e-Transfer 나눠 받기 (F36)",""))</f>
      </c>
    </row>
    <row r="4" spans="12:18" x14ac:dyDescent="0.25">
      <c r="L4" s="41">
        <f>IF($C4="","",IF($I4="",ROUND(IFERROR($H4*VLOOKUP($F4,'설정 Settings'!$A$122:$F$130,4,0)+VLOOKUP($F4,'설정 Settings'!$A$122:$F$130,5,0),0),2),$I4))</f>
      </c>
      <c r="M4" s="41">
        <f>IF($C4="","",$H4-$L4)</f>
      </c>
      <c r="N4" s="42">
        <f>IF($C4="","",IF($I4="","추정 ESTIMATE","실제 ACTUAL"))</f>
      </c>
      <c r="O4" s="41">
        <f>IF($A4="","",SUMIFS('입금 Payments'!$C$3:$C$1002,'입금 Payments'!$B$3:$B$1002,$A4))</f>
      </c>
      <c r="P4" s="41">
        <f>IF($C4="","",ROUND($H4*(1+IF('설정 Settings'!$C$24="YES",'설정 Settings'!$C$26,0)),2)-N($O4))</f>
      </c>
      <c r="Q4" s="42">
        <f>IF($A4="","","INV-"&amp;$A4)</f>
      </c>
      <c r="R4" s="42">
        <f>IF($H4="","",IF($H4&gt;'설정 Settings'!$C$36,"$2,000 초과: e-Transfer 나눠 받기 (F36)",""))</f>
      </c>
    </row>
    <row r="5" spans="12:18" x14ac:dyDescent="0.25">
      <c r="L5" s="41">
        <f>IF($C5="","",IF($I5="",ROUND(IFERROR($H5*VLOOKUP($F5,'설정 Settings'!$A$122:$F$130,4,0)+VLOOKUP($F5,'설정 Settings'!$A$122:$F$130,5,0),0),2),$I5))</f>
      </c>
      <c r="M5" s="41">
        <f>IF($C5="","",$H5-$L5)</f>
      </c>
      <c r="N5" s="42">
        <f>IF($C5="","",IF($I5="","추정 ESTIMATE","실제 ACTUAL"))</f>
      </c>
      <c r="O5" s="41">
        <f>IF($A5="","",SUMIFS('입금 Payments'!$C$3:$C$1002,'입금 Payments'!$B$3:$B$1002,$A5))</f>
      </c>
      <c r="P5" s="41">
        <f>IF($C5="","",ROUND($H5*(1+IF('설정 Settings'!$C$24="YES",'설정 Settings'!$C$26,0)),2)-N($O5))</f>
      </c>
      <c r="Q5" s="42">
        <f>IF($A5="","","INV-"&amp;$A5)</f>
      </c>
      <c r="R5" s="42">
        <f>IF($H5="","",IF($H5&gt;'설정 Settings'!$C$36,"$2,000 초과: e-Transfer 나눠 받기 (F36)",""))</f>
      </c>
    </row>
    <row r="6" spans="12:18" x14ac:dyDescent="0.25">
      <c r="L6" s="41">
        <f>IF($C6="","",IF($I6="",ROUND(IFERROR($H6*VLOOKUP($F6,'설정 Settings'!$A$122:$F$130,4,0)+VLOOKUP($F6,'설정 Settings'!$A$122:$F$130,5,0),0),2),$I6))</f>
      </c>
      <c r="M6" s="41">
        <f>IF($C6="","",$H6-$L6)</f>
      </c>
      <c r="N6" s="42">
        <f>IF($C6="","",IF($I6="","추정 ESTIMATE","실제 ACTUAL"))</f>
      </c>
      <c r="O6" s="41">
        <f>IF($A6="","",SUMIFS('입금 Payments'!$C$3:$C$1002,'입금 Payments'!$B$3:$B$1002,$A6))</f>
      </c>
      <c r="P6" s="41">
        <f>IF($C6="","",ROUND($H6*(1+IF('설정 Settings'!$C$24="YES",'설정 Settings'!$C$26,0)),2)-N($O6))</f>
      </c>
      <c r="Q6" s="42">
        <f>IF($A6="","","INV-"&amp;$A6)</f>
      </c>
      <c r="R6" s="42">
        <f>IF($H6="","",IF($H6&gt;'설정 Settings'!$C$36,"$2,000 초과: e-Transfer 나눠 받기 (F36)",""))</f>
      </c>
    </row>
    <row r="7" spans="12:18" x14ac:dyDescent="0.25">
      <c r="L7" s="41">
        <f>IF($C7="","",IF($I7="",ROUND(IFERROR($H7*VLOOKUP($F7,'설정 Settings'!$A$122:$F$130,4,0)+VLOOKUP($F7,'설정 Settings'!$A$122:$F$130,5,0),0),2),$I7))</f>
      </c>
      <c r="M7" s="41">
        <f>IF($C7="","",$H7-$L7)</f>
      </c>
      <c r="N7" s="42">
        <f>IF($C7="","",IF($I7="","추정 ESTIMATE","실제 ACTUAL"))</f>
      </c>
      <c r="O7" s="41">
        <f>IF($A7="","",SUMIFS('입금 Payments'!$C$3:$C$1002,'입금 Payments'!$B$3:$B$1002,$A7))</f>
      </c>
      <c r="P7" s="41">
        <f>IF($C7="","",ROUND($H7*(1+IF('설정 Settings'!$C$24="YES",'설정 Settings'!$C$26,0)),2)-N($O7))</f>
      </c>
      <c r="Q7" s="42">
        <f>IF($A7="","","INV-"&amp;$A7)</f>
      </c>
      <c r="R7" s="42">
        <f>IF($H7="","",IF($H7&gt;'설정 Settings'!$C$36,"$2,000 초과: e-Transfer 나눠 받기 (F36)",""))</f>
      </c>
    </row>
    <row r="8" spans="12:18" x14ac:dyDescent="0.25">
      <c r="L8" s="41">
        <f>IF($C8="","",IF($I8="",ROUND(IFERROR($H8*VLOOKUP($F8,'설정 Settings'!$A$122:$F$130,4,0)+VLOOKUP($F8,'설정 Settings'!$A$122:$F$130,5,0),0),2),$I8))</f>
      </c>
      <c r="M8" s="41">
        <f>IF($C8="","",$H8-$L8)</f>
      </c>
      <c r="N8" s="42">
        <f>IF($C8="","",IF($I8="","추정 ESTIMATE","실제 ACTUAL"))</f>
      </c>
      <c r="O8" s="41">
        <f>IF($A8="","",SUMIFS('입금 Payments'!$C$3:$C$1002,'입금 Payments'!$B$3:$B$1002,$A8))</f>
      </c>
      <c r="P8" s="41">
        <f>IF($C8="","",ROUND($H8*(1+IF('설정 Settings'!$C$24="YES",'설정 Settings'!$C$26,0)),2)-N($O8))</f>
      </c>
      <c r="Q8" s="42">
        <f>IF($A8="","","INV-"&amp;$A8)</f>
      </c>
      <c r="R8" s="42">
        <f>IF($H8="","",IF($H8&gt;'설정 Settings'!$C$36,"$2,000 초과: e-Transfer 나눠 받기 (F36)",""))</f>
      </c>
    </row>
    <row r="9" spans="12:18" x14ac:dyDescent="0.25">
      <c r="L9" s="41">
        <f>IF($C9="","",IF($I9="",ROUND(IFERROR($H9*VLOOKUP($F9,'설정 Settings'!$A$122:$F$130,4,0)+VLOOKUP($F9,'설정 Settings'!$A$122:$F$130,5,0),0),2),$I9))</f>
      </c>
      <c r="M9" s="41">
        <f>IF($C9="","",$H9-$L9)</f>
      </c>
      <c r="N9" s="42">
        <f>IF($C9="","",IF($I9="","추정 ESTIMATE","실제 ACTUAL"))</f>
      </c>
      <c r="O9" s="41">
        <f>IF($A9="","",SUMIFS('입금 Payments'!$C$3:$C$1002,'입금 Payments'!$B$3:$B$1002,$A9))</f>
      </c>
      <c r="P9" s="41">
        <f>IF($C9="","",ROUND($H9*(1+IF('설정 Settings'!$C$24="YES",'설정 Settings'!$C$26,0)),2)-N($O9))</f>
      </c>
      <c r="Q9" s="42">
        <f>IF($A9="","","INV-"&amp;$A9)</f>
      </c>
      <c r="R9" s="42">
        <f>IF($H9="","",IF($H9&gt;'설정 Settings'!$C$36,"$2,000 초과: e-Transfer 나눠 받기 (F36)",""))</f>
      </c>
    </row>
    <row r="10" spans="12:18" x14ac:dyDescent="0.25">
      <c r="L10" s="41">
        <f>IF($C10="","",IF($I10="",ROUND(IFERROR($H10*VLOOKUP($F10,'설정 Settings'!$A$122:$F$130,4,0)+VLOOKUP($F10,'설정 Settings'!$A$122:$F$130,5,0),0),2),$I10))</f>
      </c>
      <c r="M10" s="41">
        <f>IF($C10="","",$H10-$L10)</f>
      </c>
      <c r="N10" s="42">
        <f>IF($C10="","",IF($I10="","추정 ESTIMATE","실제 ACTUAL"))</f>
      </c>
      <c r="O10" s="41">
        <f>IF($A10="","",SUMIFS('입금 Payments'!$C$3:$C$1002,'입금 Payments'!$B$3:$B$1002,$A10))</f>
      </c>
      <c r="P10" s="41">
        <f>IF($C10="","",ROUND($H10*(1+IF('설정 Settings'!$C$24="YES",'설정 Settings'!$C$26,0)),2)-N($O10))</f>
      </c>
      <c r="Q10" s="42">
        <f>IF($A10="","","INV-"&amp;$A10)</f>
      </c>
      <c r="R10" s="42">
        <f>IF($H10="","",IF($H10&gt;'설정 Settings'!$C$36,"$2,000 초과: e-Transfer 나눠 받기 (F36)",""))</f>
      </c>
    </row>
    <row r="11" spans="12:18" x14ac:dyDescent="0.25">
      <c r="L11" s="41">
        <f>IF($C11="","",IF($I11="",ROUND(IFERROR($H11*VLOOKUP($F11,'설정 Settings'!$A$122:$F$130,4,0)+VLOOKUP($F11,'설정 Settings'!$A$122:$F$130,5,0),0),2),$I11))</f>
      </c>
      <c r="M11" s="41">
        <f>IF($C11="","",$H11-$L11)</f>
      </c>
      <c r="N11" s="42">
        <f>IF($C11="","",IF($I11="","추정 ESTIMATE","실제 ACTUAL"))</f>
      </c>
      <c r="O11" s="41">
        <f>IF($A11="","",SUMIFS('입금 Payments'!$C$3:$C$1002,'입금 Payments'!$B$3:$B$1002,$A11))</f>
      </c>
      <c r="P11" s="41">
        <f>IF($C11="","",ROUND($H11*(1+IF('설정 Settings'!$C$24="YES",'설정 Settings'!$C$26,0)),2)-N($O11))</f>
      </c>
      <c r="Q11" s="42">
        <f>IF($A11="","","INV-"&amp;$A11)</f>
      </c>
      <c r="R11" s="42">
        <f>IF($H11="","",IF($H11&gt;'설정 Settings'!$C$36,"$2,000 초과: e-Transfer 나눠 받기 (F36)",""))</f>
      </c>
    </row>
    <row r="12" spans="12:18" x14ac:dyDescent="0.25">
      <c r="L12" s="41">
        <f>IF($C12="","",IF($I12="",ROUND(IFERROR($H12*VLOOKUP($F12,'설정 Settings'!$A$122:$F$130,4,0)+VLOOKUP($F12,'설정 Settings'!$A$122:$F$130,5,0),0),2),$I12))</f>
      </c>
      <c r="M12" s="41">
        <f>IF($C12="","",$H12-$L12)</f>
      </c>
      <c r="N12" s="42">
        <f>IF($C12="","",IF($I12="","추정 ESTIMATE","실제 ACTUAL"))</f>
      </c>
      <c r="O12" s="41">
        <f>IF($A12="","",SUMIFS('입금 Payments'!$C$3:$C$1002,'입금 Payments'!$B$3:$B$1002,$A12))</f>
      </c>
      <c r="P12" s="41">
        <f>IF($C12="","",ROUND($H12*(1+IF('설정 Settings'!$C$24="YES",'설정 Settings'!$C$26,0)),2)-N($O12))</f>
      </c>
      <c r="Q12" s="42">
        <f>IF($A12="","","INV-"&amp;$A12)</f>
      </c>
      <c r="R12" s="42">
        <f>IF($H12="","",IF($H12&gt;'설정 Settings'!$C$36,"$2,000 초과: e-Transfer 나눠 받기 (F36)",""))</f>
      </c>
    </row>
    <row r="13" spans="12:18" x14ac:dyDescent="0.25">
      <c r="L13" s="41">
        <f>IF($C13="","",IF($I13="",ROUND(IFERROR($H13*VLOOKUP($F13,'설정 Settings'!$A$122:$F$130,4,0)+VLOOKUP($F13,'설정 Settings'!$A$122:$F$130,5,0),0),2),$I13))</f>
      </c>
      <c r="M13" s="41">
        <f>IF($C13="","",$H13-$L13)</f>
      </c>
      <c r="N13" s="42">
        <f>IF($C13="","",IF($I13="","추정 ESTIMATE","실제 ACTUAL"))</f>
      </c>
      <c r="O13" s="41">
        <f>IF($A13="","",SUMIFS('입금 Payments'!$C$3:$C$1002,'입금 Payments'!$B$3:$B$1002,$A13))</f>
      </c>
      <c r="P13" s="41">
        <f>IF($C13="","",ROUND($H13*(1+IF('설정 Settings'!$C$24="YES",'설정 Settings'!$C$26,0)),2)-N($O13))</f>
      </c>
      <c r="Q13" s="42">
        <f>IF($A13="","","INV-"&amp;$A13)</f>
      </c>
      <c r="R13" s="42">
        <f>IF($H13="","",IF($H13&gt;'설정 Settings'!$C$36,"$2,000 초과: e-Transfer 나눠 받기 (F36)",""))</f>
      </c>
    </row>
    <row r="14" spans="12:18" x14ac:dyDescent="0.25">
      <c r="L14" s="41">
        <f>IF($C14="","",IF($I14="",ROUND(IFERROR($H14*VLOOKUP($F14,'설정 Settings'!$A$122:$F$130,4,0)+VLOOKUP($F14,'설정 Settings'!$A$122:$F$130,5,0),0),2),$I14))</f>
      </c>
      <c r="M14" s="41">
        <f>IF($C14="","",$H14-$L14)</f>
      </c>
      <c r="N14" s="42">
        <f>IF($C14="","",IF($I14="","추정 ESTIMATE","실제 ACTUAL"))</f>
      </c>
      <c r="O14" s="41">
        <f>IF($A14="","",SUMIFS('입금 Payments'!$C$3:$C$1002,'입금 Payments'!$B$3:$B$1002,$A14))</f>
      </c>
      <c r="P14" s="41">
        <f>IF($C14="","",ROUND($H14*(1+IF('설정 Settings'!$C$24="YES",'설정 Settings'!$C$26,0)),2)-N($O14))</f>
      </c>
      <c r="Q14" s="42">
        <f>IF($A14="","","INV-"&amp;$A14)</f>
      </c>
      <c r="R14" s="42">
        <f>IF($H14="","",IF($H14&gt;'설정 Settings'!$C$36,"$2,000 초과: e-Transfer 나눠 받기 (F36)",""))</f>
      </c>
    </row>
    <row r="15" spans="12:18" x14ac:dyDescent="0.25">
      <c r="L15" s="41">
        <f>IF($C15="","",IF($I15="",ROUND(IFERROR($H15*VLOOKUP($F15,'설정 Settings'!$A$122:$F$130,4,0)+VLOOKUP($F15,'설정 Settings'!$A$122:$F$130,5,0),0),2),$I15))</f>
      </c>
      <c r="M15" s="41">
        <f>IF($C15="","",$H15-$L15)</f>
      </c>
      <c r="N15" s="42">
        <f>IF($C15="","",IF($I15="","추정 ESTIMATE","실제 ACTUAL"))</f>
      </c>
      <c r="O15" s="41">
        <f>IF($A15="","",SUMIFS('입금 Payments'!$C$3:$C$1002,'입금 Payments'!$B$3:$B$1002,$A15))</f>
      </c>
      <c r="P15" s="41">
        <f>IF($C15="","",ROUND($H15*(1+IF('설정 Settings'!$C$24="YES",'설정 Settings'!$C$26,0)),2)-N($O15))</f>
      </c>
      <c r="Q15" s="42">
        <f>IF($A15="","","INV-"&amp;$A15)</f>
      </c>
      <c r="R15" s="42">
        <f>IF($H15="","",IF($H15&gt;'설정 Settings'!$C$36,"$2,000 초과: e-Transfer 나눠 받기 (F36)",""))</f>
      </c>
    </row>
    <row r="16" spans="12:18" x14ac:dyDescent="0.25">
      <c r="L16" s="41">
        <f>IF($C16="","",IF($I16="",ROUND(IFERROR($H16*VLOOKUP($F16,'설정 Settings'!$A$122:$F$130,4,0)+VLOOKUP($F16,'설정 Settings'!$A$122:$F$130,5,0),0),2),$I16))</f>
      </c>
      <c r="M16" s="41">
        <f>IF($C16="","",$H16-$L16)</f>
      </c>
      <c r="N16" s="42">
        <f>IF($C16="","",IF($I16="","추정 ESTIMATE","실제 ACTUAL"))</f>
      </c>
      <c r="O16" s="41">
        <f>IF($A16="","",SUMIFS('입금 Payments'!$C$3:$C$1002,'입금 Payments'!$B$3:$B$1002,$A16))</f>
      </c>
      <c r="P16" s="41">
        <f>IF($C16="","",ROUND($H16*(1+IF('설정 Settings'!$C$24="YES",'설정 Settings'!$C$26,0)),2)-N($O16))</f>
      </c>
      <c r="Q16" s="42">
        <f>IF($A16="","","INV-"&amp;$A16)</f>
      </c>
      <c r="R16" s="42">
        <f>IF($H16="","",IF($H16&gt;'설정 Settings'!$C$36,"$2,000 초과: e-Transfer 나눠 받기 (F36)",""))</f>
      </c>
    </row>
    <row r="17" spans="12:18" x14ac:dyDescent="0.25">
      <c r="L17" s="41">
        <f>IF($C17="","",IF($I17="",ROUND(IFERROR($H17*VLOOKUP($F17,'설정 Settings'!$A$122:$F$130,4,0)+VLOOKUP($F17,'설정 Settings'!$A$122:$F$130,5,0),0),2),$I17))</f>
      </c>
      <c r="M17" s="41">
        <f>IF($C17="","",$H17-$L17)</f>
      </c>
      <c r="N17" s="42">
        <f>IF($C17="","",IF($I17="","추정 ESTIMATE","실제 ACTUAL"))</f>
      </c>
      <c r="O17" s="41">
        <f>IF($A17="","",SUMIFS('입금 Payments'!$C$3:$C$1002,'입금 Payments'!$B$3:$B$1002,$A17))</f>
      </c>
      <c r="P17" s="41">
        <f>IF($C17="","",ROUND($H17*(1+IF('설정 Settings'!$C$24="YES",'설정 Settings'!$C$26,0)),2)-N($O17))</f>
      </c>
      <c r="Q17" s="42">
        <f>IF($A17="","","INV-"&amp;$A17)</f>
      </c>
      <c r="R17" s="42">
        <f>IF($H17="","",IF($H17&gt;'설정 Settings'!$C$36,"$2,000 초과: e-Transfer 나눠 받기 (F36)",""))</f>
      </c>
    </row>
    <row r="18" spans="12:18" x14ac:dyDescent="0.25">
      <c r="L18" s="41">
        <f>IF($C18="","",IF($I18="",ROUND(IFERROR($H18*VLOOKUP($F18,'설정 Settings'!$A$122:$F$130,4,0)+VLOOKUP($F18,'설정 Settings'!$A$122:$F$130,5,0),0),2),$I18))</f>
      </c>
      <c r="M18" s="41">
        <f>IF($C18="","",$H18-$L18)</f>
      </c>
      <c r="N18" s="42">
        <f>IF($C18="","",IF($I18="","추정 ESTIMATE","실제 ACTUAL"))</f>
      </c>
      <c r="O18" s="41">
        <f>IF($A18="","",SUMIFS('입금 Payments'!$C$3:$C$1002,'입금 Payments'!$B$3:$B$1002,$A18))</f>
      </c>
      <c r="P18" s="41">
        <f>IF($C18="","",ROUND($H18*(1+IF('설정 Settings'!$C$24="YES",'설정 Settings'!$C$26,0)),2)-N($O18))</f>
      </c>
      <c r="Q18" s="42">
        <f>IF($A18="","","INV-"&amp;$A18)</f>
      </c>
      <c r="R18" s="42">
        <f>IF($H18="","",IF($H18&gt;'설정 Settings'!$C$36,"$2,000 초과: e-Transfer 나눠 받기 (F36)",""))</f>
      </c>
    </row>
    <row r="19" spans="12:18" x14ac:dyDescent="0.25">
      <c r="L19" s="41">
        <f>IF($C19="","",IF($I19="",ROUND(IFERROR($H19*VLOOKUP($F19,'설정 Settings'!$A$122:$F$130,4,0)+VLOOKUP($F19,'설정 Settings'!$A$122:$F$130,5,0),0),2),$I19))</f>
      </c>
      <c r="M19" s="41">
        <f>IF($C19="","",$H19-$L19)</f>
      </c>
      <c r="N19" s="42">
        <f>IF($C19="","",IF($I19="","추정 ESTIMATE","실제 ACTUAL"))</f>
      </c>
      <c r="O19" s="41">
        <f>IF($A19="","",SUMIFS('입금 Payments'!$C$3:$C$1002,'입금 Payments'!$B$3:$B$1002,$A19))</f>
      </c>
      <c r="P19" s="41">
        <f>IF($C19="","",ROUND($H19*(1+IF('설정 Settings'!$C$24="YES",'설정 Settings'!$C$26,0)),2)-N($O19))</f>
      </c>
      <c r="Q19" s="42">
        <f>IF($A19="","","INV-"&amp;$A19)</f>
      </c>
      <c r="R19" s="42">
        <f>IF($H19="","",IF($H19&gt;'설정 Settings'!$C$36,"$2,000 초과: e-Transfer 나눠 받기 (F36)",""))</f>
      </c>
    </row>
    <row r="20" spans="12:18" x14ac:dyDescent="0.25">
      <c r="L20" s="41">
        <f>IF($C20="","",IF($I20="",ROUND(IFERROR($H20*VLOOKUP($F20,'설정 Settings'!$A$122:$F$130,4,0)+VLOOKUP($F20,'설정 Settings'!$A$122:$F$130,5,0),0),2),$I20))</f>
      </c>
      <c r="M20" s="41">
        <f>IF($C20="","",$H20-$L20)</f>
      </c>
      <c r="N20" s="42">
        <f>IF($C20="","",IF($I20="","추정 ESTIMATE","실제 ACTUAL"))</f>
      </c>
      <c r="O20" s="41">
        <f>IF($A20="","",SUMIFS('입금 Payments'!$C$3:$C$1002,'입금 Payments'!$B$3:$B$1002,$A20))</f>
      </c>
      <c r="P20" s="41">
        <f>IF($C20="","",ROUND($H20*(1+IF('설정 Settings'!$C$24="YES",'설정 Settings'!$C$26,0)),2)-N($O20))</f>
      </c>
      <c r="Q20" s="42">
        <f>IF($A20="","","INV-"&amp;$A20)</f>
      </c>
      <c r="R20" s="42">
        <f>IF($H20="","",IF($H20&gt;'설정 Settings'!$C$36,"$2,000 초과: e-Transfer 나눠 받기 (F36)",""))</f>
      </c>
    </row>
    <row r="21" spans="12:18" x14ac:dyDescent="0.25">
      <c r="L21" s="41">
        <f>IF($C21="","",IF($I21="",ROUND(IFERROR($H21*VLOOKUP($F21,'설정 Settings'!$A$122:$F$130,4,0)+VLOOKUP($F21,'설정 Settings'!$A$122:$F$130,5,0),0),2),$I21))</f>
      </c>
      <c r="M21" s="41">
        <f>IF($C21="","",$H21-$L21)</f>
      </c>
      <c r="N21" s="42">
        <f>IF($C21="","",IF($I21="","추정 ESTIMATE","실제 ACTUAL"))</f>
      </c>
      <c r="O21" s="41">
        <f>IF($A21="","",SUMIFS('입금 Payments'!$C$3:$C$1002,'입금 Payments'!$B$3:$B$1002,$A21))</f>
      </c>
      <c r="P21" s="41">
        <f>IF($C21="","",ROUND($H21*(1+IF('설정 Settings'!$C$24="YES",'설정 Settings'!$C$26,0)),2)-N($O21))</f>
      </c>
      <c r="Q21" s="42">
        <f>IF($A21="","","INV-"&amp;$A21)</f>
      </c>
      <c r="R21" s="42">
        <f>IF($H21="","",IF($H21&gt;'설정 Settings'!$C$36,"$2,000 초과: e-Transfer 나눠 받기 (F36)",""))</f>
      </c>
    </row>
    <row r="22" spans="12:18" x14ac:dyDescent="0.25">
      <c r="L22" s="41">
        <f>IF($C22="","",IF($I22="",ROUND(IFERROR($H22*VLOOKUP($F22,'설정 Settings'!$A$122:$F$130,4,0)+VLOOKUP($F22,'설정 Settings'!$A$122:$F$130,5,0),0),2),$I22))</f>
      </c>
      <c r="M22" s="41">
        <f>IF($C22="","",$H22-$L22)</f>
      </c>
      <c r="N22" s="42">
        <f>IF($C22="","",IF($I22="","추정 ESTIMATE","실제 ACTUAL"))</f>
      </c>
      <c r="O22" s="41">
        <f>IF($A22="","",SUMIFS('입금 Payments'!$C$3:$C$1002,'입금 Payments'!$B$3:$B$1002,$A22))</f>
      </c>
      <c r="P22" s="41">
        <f>IF($C22="","",ROUND($H22*(1+IF('설정 Settings'!$C$24="YES",'설정 Settings'!$C$26,0)),2)-N($O22))</f>
      </c>
      <c r="Q22" s="42">
        <f>IF($A22="","","INV-"&amp;$A22)</f>
      </c>
      <c r="R22" s="42">
        <f>IF($H22="","",IF($H22&gt;'설정 Settings'!$C$36,"$2,000 초과: e-Transfer 나눠 받기 (F36)",""))</f>
      </c>
    </row>
    <row r="23" spans="12:18" x14ac:dyDescent="0.25">
      <c r="L23" s="41">
        <f>IF($C23="","",IF($I23="",ROUND(IFERROR($H23*VLOOKUP($F23,'설정 Settings'!$A$122:$F$130,4,0)+VLOOKUP($F23,'설정 Settings'!$A$122:$F$130,5,0),0),2),$I23))</f>
      </c>
      <c r="M23" s="41">
        <f>IF($C23="","",$H23-$L23)</f>
      </c>
      <c r="N23" s="42">
        <f>IF($C23="","",IF($I23="","추정 ESTIMATE","실제 ACTUAL"))</f>
      </c>
      <c r="O23" s="41">
        <f>IF($A23="","",SUMIFS('입금 Payments'!$C$3:$C$1002,'입금 Payments'!$B$3:$B$1002,$A23))</f>
      </c>
      <c r="P23" s="41">
        <f>IF($C23="","",ROUND($H23*(1+IF('설정 Settings'!$C$24="YES",'설정 Settings'!$C$26,0)),2)-N($O23))</f>
      </c>
      <c r="Q23" s="42">
        <f>IF($A23="","","INV-"&amp;$A23)</f>
      </c>
      <c r="R23" s="42">
        <f>IF($H23="","",IF($H23&gt;'설정 Settings'!$C$36,"$2,000 초과: e-Transfer 나눠 받기 (F36)",""))</f>
      </c>
    </row>
    <row r="24" spans="12:18" x14ac:dyDescent="0.25">
      <c r="L24" s="41">
        <f>IF($C24="","",IF($I24="",ROUND(IFERROR($H24*VLOOKUP($F24,'설정 Settings'!$A$122:$F$130,4,0)+VLOOKUP($F24,'설정 Settings'!$A$122:$F$130,5,0),0),2),$I24))</f>
      </c>
      <c r="M24" s="41">
        <f>IF($C24="","",$H24-$L24)</f>
      </c>
      <c r="N24" s="42">
        <f>IF($C24="","",IF($I24="","추정 ESTIMATE","실제 ACTUAL"))</f>
      </c>
      <c r="O24" s="41">
        <f>IF($A24="","",SUMIFS('입금 Payments'!$C$3:$C$1002,'입금 Payments'!$B$3:$B$1002,$A24))</f>
      </c>
      <c r="P24" s="41">
        <f>IF($C24="","",ROUND($H24*(1+IF('설정 Settings'!$C$24="YES",'설정 Settings'!$C$26,0)),2)-N($O24))</f>
      </c>
      <c r="Q24" s="42">
        <f>IF($A24="","","INV-"&amp;$A24)</f>
      </c>
      <c r="R24" s="42">
        <f>IF($H24="","",IF($H24&gt;'설정 Settings'!$C$36,"$2,000 초과: e-Transfer 나눠 받기 (F36)",""))</f>
      </c>
    </row>
    <row r="25" spans="12:18" x14ac:dyDescent="0.25">
      <c r="L25" s="41">
        <f>IF($C25="","",IF($I25="",ROUND(IFERROR($H25*VLOOKUP($F25,'설정 Settings'!$A$122:$F$130,4,0)+VLOOKUP($F25,'설정 Settings'!$A$122:$F$130,5,0),0),2),$I25))</f>
      </c>
      <c r="M25" s="41">
        <f>IF($C25="","",$H25-$L25)</f>
      </c>
      <c r="N25" s="42">
        <f>IF($C25="","",IF($I25="","추정 ESTIMATE","실제 ACTUAL"))</f>
      </c>
      <c r="O25" s="41">
        <f>IF($A25="","",SUMIFS('입금 Payments'!$C$3:$C$1002,'입금 Payments'!$B$3:$B$1002,$A25))</f>
      </c>
      <c r="P25" s="41">
        <f>IF($C25="","",ROUND($H25*(1+IF('설정 Settings'!$C$24="YES",'설정 Settings'!$C$26,0)),2)-N($O25))</f>
      </c>
      <c r="Q25" s="42">
        <f>IF($A25="","","INV-"&amp;$A25)</f>
      </c>
      <c r="R25" s="42">
        <f>IF($H25="","",IF($H25&gt;'설정 Settings'!$C$36,"$2,000 초과: e-Transfer 나눠 받기 (F36)",""))</f>
      </c>
    </row>
    <row r="26" spans="12:18" x14ac:dyDescent="0.25">
      <c r="L26" s="41">
        <f>IF($C26="","",IF($I26="",ROUND(IFERROR($H26*VLOOKUP($F26,'설정 Settings'!$A$122:$F$130,4,0)+VLOOKUP($F26,'설정 Settings'!$A$122:$F$130,5,0),0),2),$I26))</f>
      </c>
      <c r="M26" s="41">
        <f>IF($C26="","",$H26-$L26)</f>
      </c>
      <c r="N26" s="42">
        <f>IF($C26="","",IF($I26="","추정 ESTIMATE","실제 ACTUAL"))</f>
      </c>
      <c r="O26" s="41">
        <f>IF($A26="","",SUMIFS('입금 Payments'!$C$3:$C$1002,'입금 Payments'!$B$3:$B$1002,$A26))</f>
      </c>
      <c r="P26" s="41">
        <f>IF($C26="","",ROUND($H26*(1+IF('설정 Settings'!$C$24="YES",'설정 Settings'!$C$26,0)),2)-N($O26))</f>
      </c>
      <c r="Q26" s="42">
        <f>IF($A26="","","INV-"&amp;$A26)</f>
      </c>
      <c r="R26" s="42">
        <f>IF($H26="","",IF($H26&gt;'설정 Settings'!$C$36,"$2,000 초과: e-Transfer 나눠 받기 (F36)",""))</f>
      </c>
    </row>
    <row r="27" spans="12:18" x14ac:dyDescent="0.25">
      <c r="L27" s="41">
        <f>IF($C27="","",IF($I27="",ROUND(IFERROR($H27*VLOOKUP($F27,'설정 Settings'!$A$122:$F$130,4,0)+VLOOKUP($F27,'설정 Settings'!$A$122:$F$130,5,0),0),2),$I27))</f>
      </c>
      <c r="M27" s="41">
        <f>IF($C27="","",$H27-$L27)</f>
      </c>
      <c r="N27" s="42">
        <f>IF($C27="","",IF($I27="","추정 ESTIMATE","실제 ACTUAL"))</f>
      </c>
      <c r="O27" s="41">
        <f>IF($A27="","",SUMIFS('입금 Payments'!$C$3:$C$1002,'입금 Payments'!$B$3:$B$1002,$A27))</f>
      </c>
      <c r="P27" s="41">
        <f>IF($C27="","",ROUND($H27*(1+IF('설정 Settings'!$C$24="YES",'설정 Settings'!$C$26,0)),2)-N($O27))</f>
      </c>
      <c r="Q27" s="42">
        <f>IF($A27="","","INV-"&amp;$A27)</f>
      </c>
      <c r="R27" s="42">
        <f>IF($H27="","",IF($H27&gt;'설정 Settings'!$C$36,"$2,000 초과: e-Transfer 나눠 받기 (F36)",""))</f>
      </c>
    </row>
    <row r="28" spans="12:18" x14ac:dyDescent="0.25">
      <c r="L28" s="41">
        <f>IF($C28="","",IF($I28="",ROUND(IFERROR($H28*VLOOKUP($F28,'설정 Settings'!$A$122:$F$130,4,0)+VLOOKUP($F28,'설정 Settings'!$A$122:$F$130,5,0),0),2),$I28))</f>
      </c>
      <c r="M28" s="41">
        <f>IF($C28="","",$H28-$L28)</f>
      </c>
      <c r="N28" s="42">
        <f>IF($C28="","",IF($I28="","추정 ESTIMATE","실제 ACTUAL"))</f>
      </c>
      <c r="O28" s="41">
        <f>IF($A28="","",SUMIFS('입금 Payments'!$C$3:$C$1002,'입금 Payments'!$B$3:$B$1002,$A28))</f>
      </c>
      <c r="P28" s="41">
        <f>IF($C28="","",ROUND($H28*(1+IF('설정 Settings'!$C$24="YES",'설정 Settings'!$C$26,0)),2)-N($O28))</f>
      </c>
      <c r="Q28" s="42">
        <f>IF($A28="","","INV-"&amp;$A28)</f>
      </c>
      <c r="R28" s="42">
        <f>IF($H28="","",IF($H28&gt;'설정 Settings'!$C$36,"$2,000 초과: e-Transfer 나눠 받기 (F36)",""))</f>
      </c>
    </row>
    <row r="29" spans="12:18" x14ac:dyDescent="0.25">
      <c r="L29" s="41">
        <f>IF($C29="","",IF($I29="",ROUND(IFERROR($H29*VLOOKUP($F29,'설정 Settings'!$A$122:$F$130,4,0)+VLOOKUP($F29,'설정 Settings'!$A$122:$F$130,5,0),0),2),$I29))</f>
      </c>
      <c r="M29" s="41">
        <f>IF($C29="","",$H29-$L29)</f>
      </c>
      <c r="N29" s="42">
        <f>IF($C29="","",IF($I29="","추정 ESTIMATE","실제 ACTUAL"))</f>
      </c>
      <c r="O29" s="41">
        <f>IF($A29="","",SUMIFS('입금 Payments'!$C$3:$C$1002,'입금 Payments'!$B$3:$B$1002,$A29))</f>
      </c>
      <c r="P29" s="41">
        <f>IF($C29="","",ROUND($H29*(1+IF('설정 Settings'!$C$24="YES",'설정 Settings'!$C$26,0)),2)-N($O29))</f>
      </c>
      <c r="Q29" s="42">
        <f>IF($A29="","","INV-"&amp;$A29)</f>
      </c>
      <c r="R29" s="42">
        <f>IF($H29="","",IF($H29&gt;'설정 Settings'!$C$36,"$2,000 초과: e-Transfer 나눠 받기 (F36)",""))</f>
      </c>
    </row>
    <row r="30" spans="12:18" x14ac:dyDescent="0.25">
      <c r="L30" s="41">
        <f>IF($C30="","",IF($I30="",ROUND(IFERROR($H30*VLOOKUP($F30,'설정 Settings'!$A$122:$F$130,4,0)+VLOOKUP($F30,'설정 Settings'!$A$122:$F$130,5,0),0),2),$I30))</f>
      </c>
      <c r="M30" s="41">
        <f>IF($C30="","",$H30-$L30)</f>
      </c>
      <c r="N30" s="42">
        <f>IF($C30="","",IF($I30="","추정 ESTIMATE","실제 ACTUAL"))</f>
      </c>
      <c r="O30" s="41">
        <f>IF($A30="","",SUMIFS('입금 Payments'!$C$3:$C$1002,'입금 Payments'!$B$3:$B$1002,$A30))</f>
      </c>
      <c r="P30" s="41">
        <f>IF($C30="","",ROUND($H30*(1+IF('설정 Settings'!$C$24="YES",'설정 Settings'!$C$26,0)),2)-N($O30))</f>
      </c>
      <c r="Q30" s="42">
        <f>IF($A30="","","INV-"&amp;$A30)</f>
      </c>
      <c r="R30" s="42">
        <f>IF($H30="","",IF($H30&gt;'설정 Settings'!$C$36,"$2,000 초과: e-Transfer 나눠 받기 (F36)",""))</f>
      </c>
    </row>
    <row r="31" spans="12:18" x14ac:dyDescent="0.25">
      <c r="L31" s="41">
        <f>IF($C31="","",IF($I31="",ROUND(IFERROR($H31*VLOOKUP($F31,'설정 Settings'!$A$122:$F$130,4,0)+VLOOKUP($F31,'설정 Settings'!$A$122:$F$130,5,0),0),2),$I31))</f>
      </c>
      <c r="M31" s="41">
        <f>IF($C31="","",$H31-$L31)</f>
      </c>
      <c r="N31" s="42">
        <f>IF($C31="","",IF($I31="","추정 ESTIMATE","실제 ACTUAL"))</f>
      </c>
      <c r="O31" s="41">
        <f>IF($A31="","",SUMIFS('입금 Payments'!$C$3:$C$1002,'입금 Payments'!$B$3:$B$1002,$A31))</f>
      </c>
      <c r="P31" s="41">
        <f>IF($C31="","",ROUND($H31*(1+IF('설정 Settings'!$C$24="YES",'설정 Settings'!$C$26,0)),2)-N($O31))</f>
      </c>
      <c r="Q31" s="42">
        <f>IF($A31="","","INV-"&amp;$A31)</f>
      </c>
      <c r="R31" s="42">
        <f>IF($H31="","",IF($H31&gt;'설정 Settings'!$C$36,"$2,000 초과: e-Transfer 나눠 받기 (F36)",""))</f>
      </c>
    </row>
    <row r="32" spans="12:18" x14ac:dyDescent="0.25">
      <c r="L32" s="41">
        <f>IF($C32="","",IF($I32="",ROUND(IFERROR($H32*VLOOKUP($F32,'설정 Settings'!$A$122:$F$130,4,0)+VLOOKUP($F32,'설정 Settings'!$A$122:$F$130,5,0),0),2),$I32))</f>
      </c>
      <c r="M32" s="41">
        <f>IF($C32="","",$H32-$L32)</f>
      </c>
      <c r="N32" s="42">
        <f>IF($C32="","",IF($I32="","추정 ESTIMATE","실제 ACTUAL"))</f>
      </c>
      <c r="O32" s="41">
        <f>IF($A32="","",SUMIFS('입금 Payments'!$C$3:$C$1002,'입금 Payments'!$B$3:$B$1002,$A32))</f>
      </c>
      <c r="P32" s="41">
        <f>IF($C32="","",ROUND($H32*(1+IF('설정 Settings'!$C$24="YES",'설정 Settings'!$C$26,0)),2)-N($O32))</f>
      </c>
      <c r="Q32" s="42">
        <f>IF($A32="","","INV-"&amp;$A32)</f>
      </c>
      <c r="R32" s="42">
        <f>IF($H32="","",IF($H32&gt;'설정 Settings'!$C$36,"$2,000 초과: e-Transfer 나눠 받기 (F36)",""))</f>
      </c>
    </row>
    <row r="33" spans="12:18" x14ac:dyDescent="0.25">
      <c r="L33" s="41">
        <f>IF($C33="","",IF($I33="",ROUND(IFERROR($H33*VLOOKUP($F33,'설정 Settings'!$A$122:$F$130,4,0)+VLOOKUP($F33,'설정 Settings'!$A$122:$F$130,5,0),0),2),$I33))</f>
      </c>
      <c r="M33" s="41">
        <f>IF($C33="","",$H33-$L33)</f>
      </c>
      <c r="N33" s="42">
        <f>IF($C33="","",IF($I33="","추정 ESTIMATE","실제 ACTUAL"))</f>
      </c>
      <c r="O33" s="41">
        <f>IF($A33="","",SUMIFS('입금 Payments'!$C$3:$C$1002,'입금 Payments'!$B$3:$B$1002,$A33))</f>
      </c>
      <c r="P33" s="41">
        <f>IF($C33="","",ROUND($H33*(1+IF('설정 Settings'!$C$24="YES",'설정 Settings'!$C$26,0)),2)-N($O33))</f>
      </c>
      <c r="Q33" s="42">
        <f>IF($A33="","","INV-"&amp;$A33)</f>
      </c>
      <c r="R33" s="42">
        <f>IF($H33="","",IF($H33&gt;'설정 Settings'!$C$36,"$2,000 초과: e-Transfer 나눠 받기 (F36)",""))</f>
      </c>
    </row>
    <row r="34" spans="12:18" x14ac:dyDescent="0.25">
      <c r="L34" s="41">
        <f>IF($C34="","",IF($I34="",ROUND(IFERROR($H34*VLOOKUP($F34,'설정 Settings'!$A$122:$F$130,4,0)+VLOOKUP($F34,'설정 Settings'!$A$122:$F$130,5,0),0),2),$I34))</f>
      </c>
      <c r="M34" s="41">
        <f>IF($C34="","",$H34-$L34)</f>
      </c>
      <c r="N34" s="42">
        <f>IF($C34="","",IF($I34="","추정 ESTIMATE","실제 ACTUAL"))</f>
      </c>
      <c r="O34" s="41">
        <f>IF($A34="","",SUMIFS('입금 Payments'!$C$3:$C$1002,'입금 Payments'!$B$3:$B$1002,$A34))</f>
      </c>
      <c r="P34" s="41">
        <f>IF($C34="","",ROUND($H34*(1+IF('설정 Settings'!$C$24="YES",'설정 Settings'!$C$26,0)),2)-N($O34))</f>
      </c>
      <c r="Q34" s="42">
        <f>IF($A34="","","INV-"&amp;$A34)</f>
      </c>
      <c r="R34" s="42">
        <f>IF($H34="","",IF($H34&gt;'설정 Settings'!$C$36,"$2,000 초과: e-Transfer 나눠 받기 (F36)",""))</f>
      </c>
    </row>
    <row r="35" spans="12:18" x14ac:dyDescent="0.25">
      <c r="L35" s="41">
        <f>IF($C35="","",IF($I35="",ROUND(IFERROR($H35*VLOOKUP($F35,'설정 Settings'!$A$122:$F$130,4,0)+VLOOKUP($F35,'설정 Settings'!$A$122:$F$130,5,0),0),2),$I35))</f>
      </c>
      <c r="M35" s="41">
        <f>IF($C35="","",$H35-$L35)</f>
      </c>
      <c r="N35" s="42">
        <f>IF($C35="","",IF($I35="","추정 ESTIMATE","실제 ACTUAL"))</f>
      </c>
      <c r="O35" s="41">
        <f>IF($A35="","",SUMIFS('입금 Payments'!$C$3:$C$1002,'입금 Payments'!$B$3:$B$1002,$A35))</f>
      </c>
      <c r="P35" s="41">
        <f>IF($C35="","",ROUND($H35*(1+IF('설정 Settings'!$C$24="YES",'설정 Settings'!$C$26,0)),2)-N($O35))</f>
      </c>
      <c r="Q35" s="42">
        <f>IF($A35="","","INV-"&amp;$A35)</f>
      </c>
      <c r="R35" s="42">
        <f>IF($H35="","",IF($H35&gt;'설정 Settings'!$C$36,"$2,000 초과: e-Transfer 나눠 받기 (F36)",""))</f>
      </c>
    </row>
    <row r="36" spans="12:18" x14ac:dyDescent="0.25">
      <c r="L36" s="41">
        <f>IF($C36="","",IF($I36="",ROUND(IFERROR($H36*VLOOKUP($F36,'설정 Settings'!$A$122:$F$130,4,0)+VLOOKUP($F36,'설정 Settings'!$A$122:$F$130,5,0),0),2),$I36))</f>
      </c>
      <c r="M36" s="41">
        <f>IF($C36="","",$H36-$L36)</f>
      </c>
      <c r="N36" s="42">
        <f>IF($C36="","",IF($I36="","추정 ESTIMATE","실제 ACTUAL"))</f>
      </c>
      <c r="O36" s="41">
        <f>IF($A36="","",SUMIFS('입금 Payments'!$C$3:$C$1002,'입금 Payments'!$B$3:$B$1002,$A36))</f>
      </c>
      <c r="P36" s="41">
        <f>IF($C36="","",ROUND($H36*(1+IF('설정 Settings'!$C$24="YES",'설정 Settings'!$C$26,0)),2)-N($O36))</f>
      </c>
      <c r="Q36" s="42">
        <f>IF($A36="","","INV-"&amp;$A36)</f>
      </c>
      <c r="R36" s="42">
        <f>IF($H36="","",IF($H36&gt;'설정 Settings'!$C$36,"$2,000 초과: e-Transfer 나눠 받기 (F36)",""))</f>
      </c>
    </row>
    <row r="37" spans="12:18" x14ac:dyDescent="0.25">
      <c r="L37" s="41">
        <f>IF($C37="","",IF($I37="",ROUND(IFERROR($H37*VLOOKUP($F37,'설정 Settings'!$A$122:$F$130,4,0)+VLOOKUP($F37,'설정 Settings'!$A$122:$F$130,5,0),0),2),$I37))</f>
      </c>
      <c r="M37" s="41">
        <f>IF($C37="","",$H37-$L37)</f>
      </c>
      <c r="N37" s="42">
        <f>IF($C37="","",IF($I37="","추정 ESTIMATE","실제 ACTUAL"))</f>
      </c>
      <c r="O37" s="41">
        <f>IF($A37="","",SUMIFS('입금 Payments'!$C$3:$C$1002,'입금 Payments'!$B$3:$B$1002,$A37))</f>
      </c>
      <c r="P37" s="41">
        <f>IF($C37="","",ROUND($H37*(1+IF('설정 Settings'!$C$24="YES",'설정 Settings'!$C$26,0)),2)-N($O37))</f>
      </c>
      <c r="Q37" s="42">
        <f>IF($A37="","","INV-"&amp;$A37)</f>
      </c>
      <c r="R37" s="42">
        <f>IF($H37="","",IF($H37&gt;'설정 Settings'!$C$36,"$2,000 초과: e-Transfer 나눠 받기 (F36)",""))</f>
      </c>
    </row>
    <row r="38" spans="12:18" x14ac:dyDescent="0.25">
      <c r="L38" s="41">
        <f>IF($C38="","",IF($I38="",ROUND(IFERROR($H38*VLOOKUP($F38,'설정 Settings'!$A$122:$F$130,4,0)+VLOOKUP($F38,'설정 Settings'!$A$122:$F$130,5,0),0),2),$I38))</f>
      </c>
      <c r="M38" s="41">
        <f>IF($C38="","",$H38-$L38)</f>
      </c>
      <c r="N38" s="42">
        <f>IF($C38="","",IF($I38="","추정 ESTIMATE","실제 ACTUAL"))</f>
      </c>
      <c r="O38" s="41">
        <f>IF($A38="","",SUMIFS('입금 Payments'!$C$3:$C$1002,'입금 Payments'!$B$3:$B$1002,$A38))</f>
      </c>
      <c r="P38" s="41">
        <f>IF($C38="","",ROUND($H38*(1+IF('설정 Settings'!$C$24="YES",'설정 Settings'!$C$26,0)),2)-N($O38))</f>
      </c>
      <c r="Q38" s="42">
        <f>IF($A38="","","INV-"&amp;$A38)</f>
      </c>
      <c r="R38" s="42">
        <f>IF($H38="","",IF($H38&gt;'설정 Settings'!$C$36,"$2,000 초과: e-Transfer 나눠 받기 (F36)",""))</f>
      </c>
    </row>
    <row r="39" spans="12:18" x14ac:dyDescent="0.25">
      <c r="L39" s="41">
        <f>IF($C39="","",IF($I39="",ROUND(IFERROR($H39*VLOOKUP($F39,'설정 Settings'!$A$122:$F$130,4,0)+VLOOKUP($F39,'설정 Settings'!$A$122:$F$130,5,0),0),2),$I39))</f>
      </c>
      <c r="M39" s="41">
        <f>IF($C39="","",$H39-$L39)</f>
      </c>
      <c r="N39" s="42">
        <f>IF($C39="","",IF($I39="","추정 ESTIMATE","실제 ACTUAL"))</f>
      </c>
      <c r="O39" s="41">
        <f>IF($A39="","",SUMIFS('입금 Payments'!$C$3:$C$1002,'입금 Payments'!$B$3:$B$1002,$A39))</f>
      </c>
      <c r="P39" s="41">
        <f>IF($C39="","",ROUND($H39*(1+IF('설정 Settings'!$C$24="YES",'설정 Settings'!$C$26,0)),2)-N($O39))</f>
      </c>
      <c r="Q39" s="42">
        <f>IF($A39="","","INV-"&amp;$A39)</f>
      </c>
      <c r="R39" s="42">
        <f>IF($H39="","",IF($H39&gt;'설정 Settings'!$C$36,"$2,000 초과: e-Transfer 나눠 받기 (F36)",""))</f>
      </c>
    </row>
    <row r="40" spans="12:18" x14ac:dyDescent="0.25">
      <c r="L40" s="41">
        <f>IF($C40="","",IF($I40="",ROUND(IFERROR($H40*VLOOKUP($F40,'설정 Settings'!$A$122:$F$130,4,0)+VLOOKUP($F40,'설정 Settings'!$A$122:$F$130,5,0),0),2),$I40))</f>
      </c>
      <c r="M40" s="41">
        <f>IF($C40="","",$H40-$L40)</f>
      </c>
      <c r="N40" s="42">
        <f>IF($C40="","",IF($I40="","추정 ESTIMATE","실제 ACTUAL"))</f>
      </c>
      <c r="O40" s="41">
        <f>IF($A40="","",SUMIFS('입금 Payments'!$C$3:$C$1002,'입금 Payments'!$B$3:$B$1002,$A40))</f>
      </c>
      <c r="P40" s="41">
        <f>IF($C40="","",ROUND($H40*(1+IF('설정 Settings'!$C$24="YES",'설정 Settings'!$C$26,0)),2)-N($O40))</f>
      </c>
      <c r="Q40" s="42">
        <f>IF($A40="","","INV-"&amp;$A40)</f>
      </c>
      <c r="R40" s="42">
        <f>IF($H40="","",IF($H40&gt;'설정 Settings'!$C$36,"$2,000 초과: e-Transfer 나눠 받기 (F36)",""))</f>
      </c>
    </row>
    <row r="41" spans="12:18" x14ac:dyDescent="0.25">
      <c r="L41" s="41">
        <f>IF($C41="","",IF($I41="",ROUND(IFERROR($H41*VLOOKUP($F41,'설정 Settings'!$A$122:$F$130,4,0)+VLOOKUP($F41,'설정 Settings'!$A$122:$F$130,5,0),0),2),$I41))</f>
      </c>
      <c r="M41" s="41">
        <f>IF($C41="","",$H41-$L41)</f>
      </c>
      <c r="N41" s="42">
        <f>IF($C41="","",IF($I41="","추정 ESTIMATE","실제 ACTUAL"))</f>
      </c>
      <c r="O41" s="41">
        <f>IF($A41="","",SUMIFS('입금 Payments'!$C$3:$C$1002,'입금 Payments'!$B$3:$B$1002,$A41))</f>
      </c>
      <c r="P41" s="41">
        <f>IF($C41="","",ROUND($H41*(1+IF('설정 Settings'!$C$24="YES",'설정 Settings'!$C$26,0)),2)-N($O41))</f>
      </c>
      <c r="Q41" s="42">
        <f>IF($A41="","","INV-"&amp;$A41)</f>
      </c>
      <c r="R41" s="42">
        <f>IF($H41="","",IF($H41&gt;'설정 Settings'!$C$36,"$2,000 초과: e-Transfer 나눠 받기 (F36)",""))</f>
      </c>
    </row>
    <row r="42" spans="12:18" x14ac:dyDescent="0.25">
      <c r="L42" s="41">
        <f>IF($C42="","",IF($I42="",ROUND(IFERROR($H42*VLOOKUP($F42,'설정 Settings'!$A$122:$F$130,4,0)+VLOOKUP($F42,'설정 Settings'!$A$122:$F$130,5,0),0),2),$I42))</f>
      </c>
      <c r="M42" s="41">
        <f>IF($C42="","",$H42-$L42)</f>
      </c>
      <c r="N42" s="42">
        <f>IF($C42="","",IF($I42="","추정 ESTIMATE","실제 ACTUAL"))</f>
      </c>
      <c r="O42" s="41">
        <f>IF($A42="","",SUMIFS('입금 Payments'!$C$3:$C$1002,'입금 Payments'!$B$3:$B$1002,$A42))</f>
      </c>
      <c r="P42" s="41">
        <f>IF($C42="","",ROUND($H42*(1+IF('설정 Settings'!$C$24="YES",'설정 Settings'!$C$26,0)),2)-N($O42))</f>
      </c>
      <c r="Q42" s="42">
        <f>IF($A42="","","INV-"&amp;$A42)</f>
      </c>
      <c r="R42" s="42">
        <f>IF($H42="","",IF($H42&gt;'설정 Settings'!$C$36,"$2,000 초과: e-Transfer 나눠 받기 (F36)",""))</f>
      </c>
    </row>
    <row r="43" spans="12:18" x14ac:dyDescent="0.25">
      <c r="L43" s="41">
        <f>IF($C43="","",IF($I43="",ROUND(IFERROR($H43*VLOOKUP($F43,'설정 Settings'!$A$122:$F$130,4,0)+VLOOKUP($F43,'설정 Settings'!$A$122:$F$130,5,0),0),2),$I43))</f>
      </c>
      <c r="M43" s="41">
        <f>IF($C43="","",$H43-$L43)</f>
      </c>
      <c r="N43" s="42">
        <f>IF($C43="","",IF($I43="","추정 ESTIMATE","실제 ACTUAL"))</f>
      </c>
      <c r="O43" s="41">
        <f>IF($A43="","",SUMIFS('입금 Payments'!$C$3:$C$1002,'입금 Payments'!$B$3:$B$1002,$A43))</f>
      </c>
      <c r="P43" s="41">
        <f>IF($C43="","",ROUND($H43*(1+IF('설정 Settings'!$C$24="YES",'설정 Settings'!$C$26,0)),2)-N($O43))</f>
      </c>
      <c r="Q43" s="42">
        <f>IF($A43="","","INV-"&amp;$A43)</f>
      </c>
      <c r="R43" s="42">
        <f>IF($H43="","",IF($H43&gt;'설정 Settings'!$C$36,"$2,000 초과: e-Transfer 나눠 받기 (F36)",""))</f>
      </c>
    </row>
    <row r="44" spans="12:18" x14ac:dyDescent="0.25">
      <c r="L44" s="41">
        <f>IF($C44="","",IF($I44="",ROUND(IFERROR($H44*VLOOKUP($F44,'설정 Settings'!$A$122:$F$130,4,0)+VLOOKUP($F44,'설정 Settings'!$A$122:$F$130,5,0),0),2),$I44))</f>
      </c>
      <c r="M44" s="41">
        <f>IF($C44="","",$H44-$L44)</f>
      </c>
      <c r="N44" s="42">
        <f>IF($C44="","",IF($I44="","추정 ESTIMATE","실제 ACTUAL"))</f>
      </c>
      <c r="O44" s="41">
        <f>IF($A44="","",SUMIFS('입금 Payments'!$C$3:$C$1002,'입금 Payments'!$B$3:$B$1002,$A44))</f>
      </c>
      <c r="P44" s="41">
        <f>IF($C44="","",ROUND($H44*(1+IF('설정 Settings'!$C$24="YES",'설정 Settings'!$C$26,0)),2)-N($O44))</f>
      </c>
      <c r="Q44" s="42">
        <f>IF($A44="","","INV-"&amp;$A44)</f>
      </c>
      <c r="R44" s="42">
        <f>IF($H44="","",IF($H44&gt;'설정 Settings'!$C$36,"$2,000 초과: e-Transfer 나눠 받기 (F36)",""))</f>
      </c>
    </row>
    <row r="45" spans="12:18" x14ac:dyDescent="0.25">
      <c r="L45" s="41">
        <f>IF($C45="","",IF($I45="",ROUND(IFERROR($H45*VLOOKUP($F45,'설정 Settings'!$A$122:$F$130,4,0)+VLOOKUP($F45,'설정 Settings'!$A$122:$F$130,5,0),0),2),$I45))</f>
      </c>
      <c r="M45" s="41">
        <f>IF($C45="","",$H45-$L45)</f>
      </c>
      <c r="N45" s="42">
        <f>IF($C45="","",IF($I45="","추정 ESTIMATE","실제 ACTUAL"))</f>
      </c>
      <c r="O45" s="41">
        <f>IF($A45="","",SUMIFS('입금 Payments'!$C$3:$C$1002,'입금 Payments'!$B$3:$B$1002,$A45))</f>
      </c>
      <c r="P45" s="41">
        <f>IF($C45="","",ROUND($H45*(1+IF('설정 Settings'!$C$24="YES",'설정 Settings'!$C$26,0)),2)-N($O45))</f>
      </c>
      <c r="Q45" s="42">
        <f>IF($A45="","","INV-"&amp;$A45)</f>
      </c>
      <c r="R45" s="42">
        <f>IF($H45="","",IF($H45&gt;'설정 Settings'!$C$36,"$2,000 초과: e-Transfer 나눠 받기 (F36)",""))</f>
      </c>
    </row>
    <row r="46" spans="12:18" x14ac:dyDescent="0.25">
      <c r="L46" s="41">
        <f>IF($C46="","",IF($I46="",ROUND(IFERROR($H46*VLOOKUP($F46,'설정 Settings'!$A$122:$F$130,4,0)+VLOOKUP($F46,'설정 Settings'!$A$122:$F$130,5,0),0),2),$I46))</f>
      </c>
      <c r="M46" s="41">
        <f>IF($C46="","",$H46-$L46)</f>
      </c>
      <c r="N46" s="42">
        <f>IF($C46="","",IF($I46="","추정 ESTIMATE","실제 ACTUAL"))</f>
      </c>
      <c r="O46" s="41">
        <f>IF($A46="","",SUMIFS('입금 Payments'!$C$3:$C$1002,'입금 Payments'!$B$3:$B$1002,$A46))</f>
      </c>
      <c r="P46" s="41">
        <f>IF($C46="","",ROUND($H46*(1+IF('설정 Settings'!$C$24="YES",'설정 Settings'!$C$26,0)),2)-N($O46))</f>
      </c>
      <c r="Q46" s="42">
        <f>IF($A46="","","INV-"&amp;$A46)</f>
      </c>
      <c r="R46" s="42">
        <f>IF($H46="","",IF($H46&gt;'설정 Settings'!$C$36,"$2,000 초과: e-Transfer 나눠 받기 (F36)",""))</f>
      </c>
    </row>
    <row r="47" spans="12:18" x14ac:dyDescent="0.25">
      <c r="L47" s="41">
        <f>IF($C47="","",IF($I47="",ROUND(IFERROR($H47*VLOOKUP($F47,'설정 Settings'!$A$122:$F$130,4,0)+VLOOKUP($F47,'설정 Settings'!$A$122:$F$130,5,0),0),2),$I47))</f>
      </c>
      <c r="M47" s="41">
        <f>IF($C47="","",$H47-$L47)</f>
      </c>
      <c r="N47" s="42">
        <f>IF($C47="","",IF($I47="","추정 ESTIMATE","실제 ACTUAL"))</f>
      </c>
      <c r="O47" s="41">
        <f>IF($A47="","",SUMIFS('입금 Payments'!$C$3:$C$1002,'입금 Payments'!$B$3:$B$1002,$A47))</f>
      </c>
      <c r="P47" s="41">
        <f>IF($C47="","",ROUND($H47*(1+IF('설정 Settings'!$C$24="YES",'설정 Settings'!$C$26,0)),2)-N($O47))</f>
      </c>
      <c r="Q47" s="42">
        <f>IF($A47="","","INV-"&amp;$A47)</f>
      </c>
      <c r="R47" s="42">
        <f>IF($H47="","",IF($H47&gt;'설정 Settings'!$C$36,"$2,000 초과: e-Transfer 나눠 받기 (F36)",""))</f>
      </c>
    </row>
    <row r="48" spans="12:18" x14ac:dyDescent="0.25">
      <c r="L48" s="41">
        <f>IF($C48="","",IF($I48="",ROUND(IFERROR($H48*VLOOKUP($F48,'설정 Settings'!$A$122:$F$130,4,0)+VLOOKUP($F48,'설정 Settings'!$A$122:$F$130,5,0),0),2),$I48))</f>
      </c>
      <c r="M48" s="41">
        <f>IF($C48="","",$H48-$L48)</f>
      </c>
      <c r="N48" s="42">
        <f>IF($C48="","",IF($I48="","추정 ESTIMATE","실제 ACTUAL"))</f>
      </c>
      <c r="O48" s="41">
        <f>IF($A48="","",SUMIFS('입금 Payments'!$C$3:$C$1002,'입금 Payments'!$B$3:$B$1002,$A48))</f>
      </c>
      <c r="P48" s="41">
        <f>IF($C48="","",ROUND($H48*(1+IF('설정 Settings'!$C$24="YES",'설정 Settings'!$C$26,0)),2)-N($O48))</f>
      </c>
      <c r="Q48" s="42">
        <f>IF($A48="","","INV-"&amp;$A48)</f>
      </c>
      <c r="R48" s="42">
        <f>IF($H48="","",IF($H48&gt;'설정 Settings'!$C$36,"$2,000 초과: e-Transfer 나눠 받기 (F36)",""))</f>
      </c>
    </row>
    <row r="49" spans="12:18" x14ac:dyDescent="0.25">
      <c r="L49" s="41">
        <f>IF($C49="","",IF($I49="",ROUND(IFERROR($H49*VLOOKUP($F49,'설정 Settings'!$A$122:$F$130,4,0)+VLOOKUP($F49,'설정 Settings'!$A$122:$F$130,5,0),0),2),$I49))</f>
      </c>
      <c r="M49" s="41">
        <f>IF($C49="","",$H49-$L49)</f>
      </c>
      <c r="N49" s="42">
        <f>IF($C49="","",IF($I49="","추정 ESTIMATE","실제 ACTUAL"))</f>
      </c>
      <c r="O49" s="41">
        <f>IF($A49="","",SUMIFS('입금 Payments'!$C$3:$C$1002,'입금 Payments'!$B$3:$B$1002,$A49))</f>
      </c>
      <c r="P49" s="41">
        <f>IF($C49="","",ROUND($H49*(1+IF('설정 Settings'!$C$24="YES",'설정 Settings'!$C$26,0)),2)-N($O49))</f>
      </c>
      <c r="Q49" s="42">
        <f>IF($A49="","","INV-"&amp;$A49)</f>
      </c>
      <c r="R49" s="42">
        <f>IF($H49="","",IF($H49&gt;'설정 Settings'!$C$36,"$2,000 초과: e-Transfer 나눠 받기 (F36)",""))</f>
      </c>
    </row>
    <row r="50" spans="12:18" x14ac:dyDescent="0.25">
      <c r="L50" s="41">
        <f>IF($C50="","",IF($I50="",ROUND(IFERROR($H50*VLOOKUP($F50,'설정 Settings'!$A$122:$F$130,4,0)+VLOOKUP($F50,'설정 Settings'!$A$122:$F$130,5,0),0),2),$I50))</f>
      </c>
      <c r="M50" s="41">
        <f>IF($C50="","",$H50-$L50)</f>
      </c>
      <c r="N50" s="42">
        <f>IF($C50="","",IF($I50="","추정 ESTIMATE","실제 ACTUAL"))</f>
      </c>
      <c r="O50" s="41">
        <f>IF($A50="","",SUMIFS('입금 Payments'!$C$3:$C$1002,'입금 Payments'!$B$3:$B$1002,$A50))</f>
      </c>
      <c r="P50" s="41">
        <f>IF($C50="","",ROUND($H50*(1+IF('설정 Settings'!$C$24="YES",'설정 Settings'!$C$26,0)),2)-N($O50))</f>
      </c>
      <c r="Q50" s="42">
        <f>IF($A50="","","INV-"&amp;$A50)</f>
      </c>
      <c r="R50" s="42">
        <f>IF($H50="","",IF($H50&gt;'설정 Settings'!$C$36,"$2,000 초과: e-Transfer 나눠 받기 (F36)",""))</f>
      </c>
    </row>
    <row r="51" spans="12:18" x14ac:dyDescent="0.25">
      <c r="L51" s="41">
        <f>IF($C51="","",IF($I51="",ROUND(IFERROR($H51*VLOOKUP($F51,'설정 Settings'!$A$122:$F$130,4,0)+VLOOKUP($F51,'설정 Settings'!$A$122:$F$130,5,0),0),2),$I51))</f>
      </c>
      <c r="M51" s="41">
        <f>IF($C51="","",$H51-$L51)</f>
      </c>
      <c r="N51" s="42">
        <f>IF($C51="","",IF($I51="","추정 ESTIMATE","실제 ACTUAL"))</f>
      </c>
      <c r="O51" s="41">
        <f>IF($A51="","",SUMIFS('입금 Payments'!$C$3:$C$1002,'입금 Payments'!$B$3:$B$1002,$A51))</f>
      </c>
      <c r="P51" s="41">
        <f>IF($C51="","",ROUND($H51*(1+IF('설정 Settings'!$C$24="YES",'설정 Settings'!$C$26,0)),2)-N($O51))</f>
      </c>
      <c r="Q51" s="42">
        <f>IF($A51="","","INV-"&amp;$A51)</f>
      </c>
      <c r="R51" s="42">
        <f>IF($H51="","",IF($H51&gt;'설정 Settings'!$C$36,"$2,000 초과: e-Transfer 나눠 받기 (F36)",""))</f>
      </c>
    </row>
    <row r="52" spans="12:18" x14ac:dyDescent="0.25">
      <c r="L52" s="41">
        <f>IF($C52="","",IF($I52="",ROUND(IFERROR($H52*VLOOKUP($F52,'설정 Settings'!$A$122:$F$130,4,0)+VLOOKUP($F52,'설정 Settings'!$A$122:$F$130,5,0),0),2),$I52))</f>
      </c>
      <c r="M52" s="41">
        <f>IF($C52="","",$H52-$L52)</f>
      </c>
      <c r="N52" s="42">
        <f>IF($C52="","",IF($I52="","추정 ESTIMATE","실제 ACTUAL"))</f>
      </c>
      <c r="O52" s="41">
        <f>IF($A52="","",SUMIFS('입금 Payments'!$C$3:$C$1002,'입금 Payments'!$B$3:$B$1002,$A52))</f>
      </c>
      <c r="P52" s="41">
        <f>IF($C52="","",ROUND($H52*(1+IF('설정 Settings'!$C$24="YES",'설정 Settings'!$C$26,0)),2)-N($O52))</f>
      </c>
      <c r="Q52" s="42">
        <f>IF($A52="","","INV-"&amp;$A52)</f>
      </c>
      <c r="R52" s="42">
        <f>IF($H52="","",IF($H52&gt;'설정 Settings'!$C$36,"$2,000 초과: e-Transfer 나눠 받기 (F36)",""))</f>
      </c>
    </row>
    <row r="53" spans="12:18" x14ac:dyDescent="0.25">
      <c r="L53" s="41">
        <f>IF($C53="","",IF($I53="",ROUND(IFERROR($H53*VLOOKUP($F53,'설정 Settings'!$A$122:$F$130,4,0)+VLOOKUP($F53,'설정 Settings'!$A$122:$F$130,5,0),0),2),$I53))</f>
      </c>
      <c r="M53" s="41">
        <f>IF($C53="","",$H53-$L53)</f>
      </c>
      <c r="N53" s="42">
        <f>IF($C53="","",IF($I53="","추정 ESTIMATE","실제 ACTUAL"))</f>
      </c>
      <c r="O53" s="41">
        <f>IF($A53="","",SUMIFS('입금 Payments'!$C$3:$C$1002,'입금 Payments'!$B$3:$B$1002,$A53))</f>
      </c>
      <c r="P53" s="41">
        <f>IF($C53="","",ROUND($H53*(1+IF('설정 Settings'!$C$24="YES",'설정 Settings'!$C$26,0)),2)-N($O53))</f>
      </c>
      <c r="Q53" s="42">
        <f>IF($A53="","","INV-"&amp;$A53)</f>
      </c>
      <c r="R53" s="42">
        <f>IF($H53="","",IF($H53&gt;'설정 Settings'!$C$36,"$2,000 초과: e-Transfer 나눠 받기 (F36)",""))</f>
      </c>
    </row>
    <row r="54" spans="12:18" x14ac:dyDescent="0.25">
      <c r="L54" s="41">
        <f>IF($C54="","",IF($I54="",ROUND(IFERROR($H54*VLOOKUP($F54,'설정 Settings'!$A$122:$F$130,4,0)+VLOOKUP($F54,'설정 Settings'!$A$122:$F$130,5,0),0),2),$I54))</f>
      </c>
      <c r="M54" s="41">
        <f>IF($C54="","",$H54-$L54)</f>
      </c>
      <c r="N54" s="42">
        <f>IF($C54="","",IF($I54="","추정 ESTIMATE","실제 ACTUAL"))</f>
      </c>
      <c r="O54" s="41">
        <f>IF($A54="","",SUMIFS('입금 Payments'!$C$3:$C$1002,'입금 Payments'!$B$3:$B$1002,$A54))</f>
      </c>
      <c r="P54" s="41">
        <f>IF($C54="","",ROUND($H54*(1+IF('설정 Settings'!$C$24="YES",'설정 Settings'!$C$26,0)),2)-N($O54))</f>
      </c>
      <c r="Q54" s="42">
        <f>IF($A54="","","INV-"&amp;$A54)</f>
      </c>
      <c r="R54" s="42">
        <f>IF($H54="","",IF($H54&gt;'설정 Settings'!$C$36,"$2,000 초과: e-Transfer 나눠 받기 (F36)",""))</f>
      </c>
    </row>
    <row r="55" spans="12:18" x14ac:dyDescent="0.25">
      <c r="L55" s="41">
        <f>IF($C55="","",IF($I55="",ROUND(IFERROR($H55*VLOOKUP($F55,'설정 Settings'!$A$122:$F$130,4,0)+VLOOKUP($F55,'설정 Settings'!$A$122:$F$130,5,0),0),2),$I55))</f>
      </c>
      <c r="M55" s="41">
        <f>IF($C55="","",$H55-$L55)</f>
      </c>
      <c r="N55" s="42">
        <f>IF($C55="","",IF($I55="","추정 ESTIMATE","실제 ACTUAL"))</f>
      </c>
      <c r="O55" s="41">
        <f>IF($A55="","",SUMIFS('입금 Payments'!$C$3:$C$1002,'입금 Payments'!$B$3:$B$1002,$A55))</f>
      </c>
      <c r="P55" s="41">
        <f>IF($C55="","",ROUND($H55*(1+IF('설정 Settings'!$C$24="YES",'설정 Settings'!$C$26,0)),2)-N($O55))</f>
      </c>
      <c r="Q55" s="42">
        <f>IF($A55="","","INV-"&amp;$A55)</f>
      </c>
      <c r="R55" s="42">
        <f>IF($H55="","",IF($H55&gt;'설정 Settings'!$C$36,"$2,000 초과: e-Transfer 나눠 받기 (F36)",""))</f>
      </c>
    </row>
    <row r="56" spans="12:18" x14ac:dyDescent="0.25">
      <c r="L56" s="41">
        <f>IF($C56="","",IF($I56="",ROUND(IFERROR($H56*VLOOKUP($F56,'설정 Settings'!$A$122:$F$130,4,0)+VLOOKUP($F56,'설정 Settings'!$A$122:$F$130,5,0),0),2),$I56))</f>
      </c>
      <c r="M56" s="41">
        <f>IF($C56="","",$H56-$L56)</f>
      </c>
      <c r="N56" s="42">
        <f>IF($C56="","",IF($I56="","추정 ESTIMATE","실제 ACTUAL"))</f>
      </c>
      <c r="O56" s="41">
        <f>IF($A56="","",SUMIFS('입금 Payments'!$C$3:$C$1002,'입금 Payments'!$B$3:$B$1002,$A56))</f>
      </c>
      <c r="P56" s="41">
        <f>IF($C56="","",ROUND($H56*(1+IF('설정 Settings'!$C$24="YES",'설정 Settings'!$C$26,0)),2)-N($O56))</f>
      </c>
      <c r="Q56" s="42">
        <f>IF($A56="","","INV-"&amp;$A56)</f>
      </c>
      <c r="R56" s="42">
        <f>IF($H56="","",IF($H56&gt;'설정 Settings'!$C$36,"$2,000 초과: e-Transfer 나눠 받기 (F36)",""))</f>
      </c>
    </row>
    <row r="57" spans="12:18" x14ac:dyDescent="0.25">
      <c r="L57" s="41">
        <f>IF($C57="","",IF($I57="",ROUND(IFERROR($H57*VLOOKUP($F57,'설정 Settings'!$A$122:$F$130,4,0)+VLOOKUP($F57,'설정 Settings'!$A$122:$F$130,5,0),0),2),$I57))</f>
      </c>
      <c r="M57" s="41">
        <f>IF($C57="","",$H57-$L57)</f>
      </c>
      <c r="N57" s="42">
        <f>IF($C57="","",IF($I57="","추정 ESTIMATE","실제 ACTUAL"))</f>
      </c>
      <c r="O57" s="41">
        <f>IF($A57="","",SUMIFS('입금 Payments'!$C$3:$C$1002,'입금 Payments'!$B$3:$B$1002,$A57))</f>
      </c>
      <c r="P57" s="41">
        <f>IF($C57="","",ROUND($H57*(1+IF('설정 Settings'!$C$24="YES",'설정 Settings'!$C$26,0)),2)-N($O57))</f>
      </c>
      <c r="Q57" s="42">
        <f>IF($A57="","","INV-"&amp;$A57)</f>
      </c>
      <c r="R57" s="42">
        <f>IF($H57="","",IF($H57&gt;'설정 Settings'!$C$36,"$2,000 초과: e-Transfer 나눠 받기 (F36)",""))</f>
      </c>
    </row>
    <row r="58" spans="12:18" x14ac:dyDescent="0.25">
      <c r="L58" s="41">
        <f>IF($C58="","",IF($I58="",ROUND(IFERROR($H58*VLOOKUP($F58,'설정 Settings'!$A$122:$F$130,4,0)+VLOOKUP($F58,'설정 Settings'!$A$122:$F$130,5,0),0),2),$I58))</f>
      </c>
      <c r="M58" s="41">
        <f>IF($C58="","",$H58-$L58)</f>
      </c>
      <c r="N58" s="42">
        <f>IF($C58="","",IF($I58="","추정 ESTIMATE","실제 ACTUAL"))</f>
      </c>
      <c r="O58" s="41">
        <f>IF($A58="","",SUMIFS('입금 Payments'!$C$3:$C$1002,'입금 Payments'!$B$3:$B$1002,$A58))</f>
      </c>
      <c r="P58" s="41">
        <f>IF($C58="","",ROUND($H58*(1+IF('설정 Settings'!$C$24="YES",'설정 Settings'!$C$26,0)),2)-N($O58))</f>
      </c>
      <c r="Q58" s="42">
        <f>IF($A58="","","INV-"&amp;$A58)</f>
      </c>
      <c r="R58" s="42">
        <f>IF($H58="","",IF($H58&gt;'설정 Settings'!$C$36,"$2,000 초과: e-Transfer 나눠 받기 (F36)",""))</f>
      </c>
    </row>
    <row r="59" spans="12:18" x14ac:dyDescent="0.25">
      <c r="L59" s="41">
        <f>IF($C59="","",IF($I59="",ROUND(IFERROR($H59*VLOOKUP($F59,'설정 Settings'!$A$122:$F$130,4,0)+VLOOKUP($F59,'설정 Settings'!$A$122:$F$130,5,0),0),2),$I59))</f>
      </c>
      <c r="M59" s="41">
        <f>IF($C59="","",$H59-$L59)</f>
      </c>
      <c r="N59" s="42">
        <f>IF($C59="","",IF($I59="","추정 ESTIMATE","실제 ACTUAL"))</f>
      </c>
      <c r="O59" s="41">
        <f>IF($A59="","",SUMIFS('입금 Payments'!$C$3:$C$1002,'입금 Payments'!$B$3:$B$1002,$A59))</f>
      </c>
      <c r="P59" s="41">
        <f>IF($C59="","",ROUND($H59*(1+IF('설정 Settings'!$C$24="YES",'설정 Settings'!$C$26,0)),2)-N($O59))</f>
      </c>
      <c r="Q59" s="42">
        <f>IF($A59="","","INV-"&amp;$A59)</f>
      </c>
      <c r="R59" s="42">
        <f>IF($H59="","",IF($H59&gt;'설정 Settings'!$C$36,"$2,000 초과: e-Transfer 나눠 받기 (F36)",""))</f>
      </c>
    </row>
    <row r="60" spans="12:18" x14ac:dyDescent="0.25">
      <c r="L60" s="41">
        <f>IF($C60="","",IF($I60="",ROUND(IFERROR($H60*VLOOKUP($F60,'설정 Settings'!$A$122:$F$130,4,0)+VLOOKUP($F60,'설정 Settings'!$A$122:$F$130,5,0),0),2),$I60))</f>
      </c>
      <c r="M60" s="41">
        <f>IF($C60="","",$H60-$L60)</f>
      </c>
      <c r="N60" s="42">
        <f>IF($C60="","",IF($I60="","추정 ESTIMATE","실제 ACTUAL"))</f>
      </c>
      <c r="O60" s="41">
        <f>IF($A60="","",SUMIFS('입금 Payments'!$C$3:$C$1002,'입금 Payments'!$B$3:$B$1002,$A60))</f>
      </c>
      <c r="P60" s="41">
        <f>IF($C60="","",ROUND($H60*(1+IF('설정 Settings'!$C$24="YES",'설정 Settings'!$C$26,0)),2)-N($O60))</f>
      </c>
      <c r="Q60" s="42">
        <f>IF($A60="","","INV-"&amp;$A60)</f>
      </c>
      <c r="R60" s="42">
        <f>IF($H60="","",IF($H60&gt;'설정 Settings'!$C$36,"$2,000 초과: e-Transfer 나눠 받기 (F36)",""))</f>
      </c>
    </row>
    <row r="61" spans="12:18" x14ac:dyDescent="0.25">
      <c r="L61" s="41">
        <f>IF($C61="","",IF($I61="",ROUND(IFERROR($H61*VLOOKUP($F61,'설정 Settings'!$A$122:$F$130,4,0)+VLOOKUP($F61,'설정 Settings'!$A$122:$F$130,5,0),0),2),$I61))</f>
      </c>
      <c r="M61" s="41">
        <f>IF($C61="","",$H61-$L61)</f>
      </c>
      <c r="N61" s="42">
        <f>IF($C61="","",IF($I61="","추정 ESTIMATE","실제 ACTUAL"))</f>
      </c>
      <c r="O61" s="41">
        <f>IF($A61="","",SUMIFS('입금 Payments'!$C$3:$C$1002,'입금 Payments'!$B$3:$B$1002,$A61))</f>
      </c>
      <c r="P61" s="41">
        <f>IF($C61="","",ROUND($H61*(1+IF('설정 Settings'!$C$24="YES",'설정 Settings'!$C$26,0)),2)-N($O61))</f>
      </c>
      <c r="Q61" s="42">
        <f>IF($A61="","","INV-"&amp;$A61)</f>
      </c>
      <c r="R61" s="42">
        <f>IF($H61="","",IF($H61&gt;'설정 Settings'!$C$36,"$2,000 초과: e-Transfer 나눠 받기 (F36)",""))</f>
      </c>
    </row>
    <row r="62" spans="12:18" x14ac:dyDescent="0.25">
      <c r="L62" s="41">
        <f>IF($C62="","",IF($I62="",ROUND(IFERROR($H62*VLOOKUP($F62,'설정 Settings'!$A$122:$F$130,4,0)+VLOOKUP($F62,'설정 Settings'!$A$122:$F$130,5,0),0),2),$I62))</f>
      </c>
      <c r="M62" s="41">
        <f>IF($C62="","",$H62-$L62)</f>
      </c>
      <c r="N62" s="42">
        <f>IF($C62="","",IF($I62="","추정 ESTIMATE","실제 ACTUAL"))</f>
      </c>
      <c r="O62" s="41">
        <f>IF($A62="","",SUMIFS('입금 Payments'!$C$3:$C$1002,'입금 Payments'!$B$3:$B$1002,$A62))</f>
      </c>
      <c r="P62" s="41">
        <f>IF($C62="","",ROUND($H62*(1+IF('설정 Settings'!$C$24="YES",'설정 Settings'!$C$26,0)),2)-N($O62))</f>
      </c>
      <c r="Q62" s="42">
        <f>IF($A62="","","INV-"&amp;$A62)</f>
      </c>
      <c r="R62" s="42">
        <f>IF($H62="","",IF($H62&gt;'설정 Settings'!$C$36,"$2,000 초과: e-Transfer 나눠 받기 (F36)",""))</f>
      </c>
    </row>
    <row r="63" spans="12:18" x14ac:dyDescent="0.25">
      <c r="L63" s="41">
        <f>IF($C63="","",IF($I63="",ROUND(IFERROR($H63*VLOOKUP($F63,'설정 Settings'!$A$122:$F$130,4,0)+VLOOKUP($F63,'설정 Settings'!$A$122:$F$130,5,0),0),2),$I63))</f>
      </c>
      <c r="M63" s="41">
        <f>IF($C63="","",$H63-$L63)</f>
      </c>
      <c r="N63" s="42">
        <f>IF($C63="","",IF($I63="","추정 ESTIMATE","실제 ACTUAL"))</f>
      </c>
      <c r="O63" s="41">
        <f>IF($A63="","",SUMIFS('입금 Payments'!$C$3:$C$1002,'입금 Payments'!$B$3:$B$1002,$A63))</f>
      </c>
      <c r="P63" s="41">
        <f>IF($C63="","",ROUND($H63*(1+IF('설정 Settings'!$C$24="YES",'설정 Settings'!$C$26,0)),2)-N($O63))</f>
      </c>
      <c r="Q63" s="42">
        <f>IF($A63="","","INV-"&amp;$A63)</f>
      </c>
      <c r="R63" s="42">
        <f>IF($H63="","",IF($H63&gt;'설정 Settings'!$C$36,"$2,000 초과: e-Transfer 나눠 받기 (F36)",""))</f>
      </c>
    </row>
    <row r="64" spans="12:18" x14ac:dyDescent="0.25">
      <c r="L64" s="41">
        <f>IF($C64="","",IF($I64="",ROUND(IFERROR($H64*VLOOKUP($F64,'설정 Settings'!$A$122:$F$130,4,0)+VLOOKUP($F64,'설정 Settings'!$A$122:$F$130,5,0),0),2),$I64))</f>
      </c>
      <c r="M64" s="41">
        <f>IF($C64="","",$H64-$L64)</f>
      </c>
      <c r="N64" s="42">
        <f>IF($C64="","",IF($I64="","추정 ESTIMATE","실제 ACTUAL"))</f>
      </c>
      <c r="O64" s="41">
        <f>IF($A64="","",SUMIFS('입금 Payments'!$C$3:$C$1002,'입금 Payments'!$B$3:$B$1002,$A64))</f>
      </c>
      <c r="P64" s="41">
        <f>IF($C64="","",ROUND($H64*(1+IF('설정 Settings'!$C$24="YES",'설정 Settings'!$C$26,0)),2)-N($O64))</f>
      </c>
      <c r="Q64" s="42">
        <f>IF($A64="","","INV-"&amp;$A64)</f>
      </c>
      <c r="R64" s="42">
        <f>IF($H64="","",IF($H64&gt;'설정 Settings'!$C$36,"$2,000 초과: e-Transfer 나눠 받기 (F36)",""))</f>
      </c>
    </row>
    <row r="65" spans="12:18" x14ac:dyDescent="0.25">
      <c r="L65" s="41">
        <f>IF($C65="","",IF($I65="",ROUND(IFERROR($H65*VLOOKUP($F65,'설정 Settings'!$A$122:$F$130,4,0)+VLOOKUP($F65,'설정 Settings'!$A$122:$F$130,5,0),0),2),$I65))</f>
      </c>
      <c r="M65" s="41">
        <f>IF($C65="","",$H65-$L65)</f>
      </c>
      <c r="N65" s="42">
        <f>IF($C65="","",IF($I65="","추정 ESTIMATE","실제 ACTUAL"))</f>
      </c>
      <c r="O65" s="41">
        <f>IF($A65="","",SUMIFS('입금 Payments'!$C$3:$C$1002,'입금 Payments'!$B$3:$B$1002,$A65))</f>
      </c>
      <c r="P65" s="41">
        <f>IF($C65="","",ROUND($H65*(1+IF('설정 Settings'!$C$24="YES",'설정 Settings'!$C$26,0)),2)-N($O65))</f>
      </c>
      <c r="Q65" s="42">
        <f>IF($A65="","","INV-"&amp;$A65)</f>
      </c>
      <c r="R65" s="42">
        <f>IF($H65="","",IF($H65&gt;'설정 Settings'!$C$36,"$2,000 초과: e-Transfer 나눠 받기 (F36)",""))</f>
      </c>
    </row>
    <row r="66" spans="12:18" x14ac:dyDescent="0.25">
      <c r="L66" s="41">
        <f>IF($C66="","",IF($I66="",ROUND(IFERROR($H66*VLOOKUP($F66,'설정 Settings'!$A$122:$F$130,4,0)+VLOOKUP($F66,'설정 Settings'!$A$122:$F$130,5,0),0),2),$I66))</f>
      </c>
      <c r="M66" s="41">
        <f>IF($C66="","",$H66-$L66)</f>
      </c>
      <c r="N66" s="42">
        <f>IF($C66="","",IF($I66="","추정 ESTIMATE","실제 ACTUAL"))</f>
      </c>
      <c r="O66" s="41">
        <f>IF($A66="","",SUMIFS('입금 Payments'!$C$3:$C$1002,'입금 Payments'!$B$3:$B$1002,$A66))</f>
      </c>
      <c r="P66" s="41">
        <f>IF($C66="","",ROUND($H66*(1+IF('설정 Settings'!$C$24="YES",'설정 Settings'!$C$26,0)),2)-N($O66))</f>
      </c>
      <c r="Q66" s="42">
        <f>IF($A66="","","INV-"&amp;$A66)</f>
      </c>
      <c r="R66" s="42">
        <f>IF($H66="","",IF($H66&gt;'설정 Settings'!$C$36,"$2,000 초과: e-Transfer 나눠 받기 (F36)",""))</f>
      </c>
    </row>
    <row r="67" spans="12:18" x14ac:dyDescent="0.25">
      <c r="L67" s="41">
        <f>IF($C67="","",IF($I67="",ROUND(IFERROR($H67*VLOOKUP($F67,'설정 Settings'!$A$122:$F$130,4,0)+VLOOKUP($F67,'설정 Settings'!$A$122:$F$130,5,0),0),2),$I67))</f>
      </c>
      <c r="M67" s="41">
        <f>IF($C67="","",$H67-$L67)</f>
      </c>
      <c r="N67" s="42">
        <f>IF($C67="","",IF($I67="","추정 ESTIMATE","실제 ACTUAL"))</f>
      </c>
      <c r="O67" s="41">
        <f>IF($A67="","",SUMIFS('입금 Payments'!$C$3:$C$1002,'입금 Payments'!$B$3:$B$1002,$A67))</f>
      </c>
      <c r="P67" s="41">
        <f>IF($C67="","",ROUND($H67*(1+IF('설정 Settings'!$C$24="YES",'설정 Settings'!$C$26,0)),2)-N($O67))</f>
      </c>
      <c r="Q67" s="42">
        <f>IF($A67="","","INV-"&amp;$A67)</f>
      </c>
      <c r="R67" s="42">
        <f>IF($H67="","",IF($H67&gt;'설정 Settings'!$C$36,"$2,000 초과: e-Transfer 나눠 받기 (F36)",""))</f>
      </c>
    </row>
    <row r="68" spans="12:18" x14ac:dyDescent="0.25">
      <c r="L68" s="41">
        <f>IF($C68="","",IF($I68="",ROUND(IFERROR($H68*VLOOKUP($F68,'설정 Settings'!$A$122:$F$130,4,0)+VLOOKUP($F68,'설정 Settings'!$A$122:$F$130,5,0),0),2),$I68))</f>
      </c>
      <c r="M68" s="41">
        <f>IF($C68="","",$H68-$L68)</f>
      </c>
      <c r="N68" s="42">
        <f>IF($C68="","",IF($I68="","추정 ESTIMATE","실제 ACTUAL"))</f>
      </c>
      <c r="O68" s="41">
        <f>IF($A68="","",SUMIFS('입금 Payments'!$C$3:$C$1002,'입금 Payments'!$B$3:$B$1002,$A68))</f>
      </c>
      <c r="P68" s="41">
        <f>IF($C68="","",ROUND($H68*(1+IF('설정 Settings'!$C$24="YES",'설정 Settings'!$C$26,0)),2)-N($O68))</f>
      </c>
      <c r="Q68" s="42">
        <f>IF($A68="","","INV-"&amp;$A68)</f>
      </c>
      <c r="R68" s="42">
        <f>IF($H68="","",IF($H68&gt;'설정 Settings'!$C$36,"$2,000 초과: e-Transfer 나눠 받기 (F36)",""))</f>
      </c>
    </row>
    <row r="69" spans="12:18" x14ac:dyDescent="0.25">
      <c r="L69" s="41">
        <f>IF($C69="","",IF($I69="",ROUND(IFERROR($H69*VLOOKUP($F69,'설정 Settings'!$A$122:$F$130,4,0)+VLOOKUP($F69,'설정 Settings'!$A$122:$F$130,5,0),0),2),$I69))</f>
      </c>
      <c r="M69" s="41">
        <f>IF($C69="","",$H69-$L69)</f>
      </c>
      <c r="N69" s="42">
        <f>IF($C69="","",IF($I69="","추정 ESTIMATE","실제 ACTUAL"))</f>
      </c>
      <c r="O69" s="41">
        <f>IF($A69="","",SUMIFS('입금 Payments'!$C$3:$C$1002,'입금 Payments'!$B$3:$B$1002,$A69))</f>
      </c>
      <c r="P69" s="41">
        <f>IF($C69="","",ROUND($H69*(1+IF('설정 Settings'!$C$24="YES",'설정 Settings'!$C$26,0)),2)-N($O69))</f>
      </c>
      <c r="Q69" s="42">
        <f>IF($A69="","","INV-"&amp;$A69)</f>
      </c>
      <c r="R69" s="42">
        <f>IF($H69="","",IF($H69&gt;'설정 Settings'!$C$36,"$2,000 초과: e-Transfer 나눠 받기 (F36)",""))</f>
      </c>
    </row>
    <row r="70" spans="12:18" x14ac:dyDescent="0.25">
      <c r="L70" s="41">
        <f>IF($C70="","",IF($I70="",ROUND(IFERROR($H70*VLOOKUP($F70,'설정 Settings'!$A$122:$F$130,4,0)+VLOOKUP($F70,'설정 Settings'!$A$122:$F$130,5,0),0),2),$I70))</f>
      </c>
      <c r="M70" s="41">
        <f>IF($C70="","",$H70-$L70)</f>
      </c>
      <c r="N70" s="42">
        <f>IF($C70="","",IF($I70="","추정 ESTIMATE","실제 ACTUAL"))</f>
      </c>
      <c r="O70" s="41">
        <f>IF($A70="","",SUMIFS('입금 Payments'!$C$3:$C$1002,'입금 Payments'!$B$3:$B$1002,$A70))</f>
      </c>
      <c r="P70" s="41">
        <f>IF($C70="","",ROUND($H70*(1+IF('설정 Settings'!$C$24="YES",'설정 Settings'!$C$26,0)),2)-N($O70))</f>
      </c>
      <c r="Q70" s="42">
        <f>IF($A70="","","INV-"&amp;$A70)</f>
      </c>
      <c r="R70" s="42">
        <f>IF($H70="","",IF($H70&gt;'설정 Settings'!$C$36,"$2,000 초과: e-Transfer 나눠 받기 (F36)",""))</f>
      </c>
    </row>
    <row r="71" spans="12:18" x14ac:dyDescent="0.25">
      <c r="L71" s="41">
        <f>IF($C71="","",IF($I71="",ROUND(IFERROR($H71*VLOOKUP($F71,'설정 Settings'!$A$122:$F$130,4,0)+VLOOKUP($F71,'설정 Settings'!$A$122:$F$130,5,0),0),2),$I71))</f>
      </c>
      <c r="M71" s="41">
        <f>IF($C71="","",$H71-$L71)</f>
      </c>
      <c r="N71" s="42">
        <f>IF($C71="","",IF($I71="","추정 ESTIMATE","실제 ACTUAL"))</f>
      </c>
      <c r="O71" s="41">
        <f>IF($A71="","",SUMIFS('입금 Payments'!$C$3:$C$1002,'입금 Payments'!$B$3:$B$1002,$A71))</f>
      </c>
      <c r="P71" s="41">
        <f>IF($C71="","",ROUND($H71*(1+IF('설정 Settings'!$C$24="YES",'설정 Settings'!$C$26,0)),2)-N($O71))</f>
      </c>
      <c r="Q71" s="42">
        <f>IF($A71="","","INV-"&amp;$A71)</f>
      </c>
      <c r="R71" s="42">
        <f>IF($H71="","",IF($H71&gt;'설정 Settings'!$C$36,"$2,000 초과: e-Transfer 나눠 받기 (F36)",""))</f>
      </c>
    </row>
    <row r="72" spans="12:18" x14ac:dyDescent="0.25">
      <c r="L72" s="41">
        <f>IF($C72="","",IF($I72="",ROUND(IFERROR($H72*VLOOKUP($F72,'설정 Settings'!$A$122:$F$130,4,0)+VLOOKUP($F72,'설정 Settings'!$A$122:$F$130,5,0),0),2),$I72))</f>
      </c>
      <c r="M72" s="41">
        <f>IF($C72="","",$H72-$L72)</f>
      </c>
      <c r="N72" s="42">
        <f>IF($C72="","",IF($I72="","추정 ESTIMATE","실제 ACTUAL"))</f>
      </c>
      <c r="O72" s="41">
        <f>IF($A72="","",SUMIFS('입금 Payments'!$C$3:$C$1002,'입금 Payments'!$B$3:$B$1002,$A72))</f>
      </c>
      <c r="P72" s="41">
        <f>IF($C72="","",ROUND($H72*(1+IF('설정 Settings'!$C$24="YES",'설정 Settings'!$C$26,0)),2)-N($O72))</f>
      </c>
      <c r="Q72" s="42">
        <f>IF($A72="","","INV-"&amp;$A72)</f>
      </c>
      <c r="R72" s="42">
        <f>IF($H72="","",IF($H72&gt;'설정 Settings'!$C$36,"$2,000 초과: e-Transfer 나눠 받기 (F36)",""))</f>
      </c>
    </row>
    <row r="73" spans="12:18" x14ac:dyDescent="0.25">
      <c r="L73" s="41">
        <f>IF($C73="","",IF($I73="",ROUND(IFERROR($H73*VLOOKUP($F73,'설정 Settings'!$A$122:$F$130,4,0)+VLOOKUP($F73,'설정 Settings'!$A$122:$F$130,5,0),0),2),$I73))</f>
      </c>
      <c r="M73" s="41">
        <f>IF($C73="","",$H73-$L73)</f>
      </c>
      <c r="N73" s="42">
        <f>IF($C73="","",IF($I73="","추정 ESTIMATE","실제 ACTUAL"))</f>
      </c>
      <c r="O73" s="41">
        <f>IF($A73="","",SUMIFS('입금 Payments'!$C$3:$C$1002,'입금 Payments'!$B$3:$B$1002,$A73))</f>
      </c>
      <c r="P73" s="41">
        <f>IF($C73="","",ROUND($H73*(1+IF('설정 Settings'!$C$24="YES",'설정 Settings'!$C$26,0)),2)-N($O73))</f>
      </c>
      <c r="Q73" s="42">
        <f>IF($A73="","","INV-"&amp;$A73)</f>
      </c>
      <c r="R73" s="42">
        <f>IF($H73="","",IF($H73&gt;'설정 Settings'!$C$36,"$2,000 초과: e-Transfer 나눠 받기 (F36)",""))</f>
      </c>
    </row>
    <row r="74" spans="12:18" x14ac:dyDescent="0.25">
      <c r="L74" s="41">
        <f>IF($C74="","",IF($I74="",ROUND(IFERROR($H74*VLOOKUP($F74,'설정 Settings'!$A$122:$F$130,4,0)+VLOOKUP($F74,'설정 Settings'!$A$122:$F$130,5,0),0),2),$I74))</f>
      </c>
      <c r="M74" s="41">
        <f>IF($C74="","",$H74-$L74)</f>
      </c>
      <c r="N74" s="42">
        <f>IF($C74="","",IF($I74="","추정 ESTIMATE","실제 ACTUAL"))</f>
      </c>
      <c r="O74" s="41">
        <f>IF($A74="","",SUMIFS('입금 Payments'!$C$3:$C$1002,'입금 Payments'!$B$3:$B$1002,$A74))</f>
      </c>
      <c r="P74" s="41">
        <f>IF($C74="","",ROUND($H74*(1+IF('설정 Settings'!$C$24="YES",'설정 Settings'!$C$26,0)),2)-N($O74))</f>
      </c>
      <c r="Q74" s="42">
        <f>IF($A74="","","INV-"&amp;$A74)</f>
      </c>
      <c r="R74" s="42">
        <f>IF($H74="","",IF($H74&gt;'설정 Settings'!$C$36,"$2,000 초과: e-Transfer 나눠 받기 (F36)",""))</f>
      </c>
    </row>
    <row r="75" spans="12:18" x14ac:dyDescent="0.25">
      <c r="L75" s="41">
        <f>IF($C75="","",IF($I75="",ROUND(IFERROR($H75*VLOOKUP($F75,'설정 Settings'!$A$122:$F$130,4,0)+VLOOKUP($F75,'설정 Settings'!$A$122:$F$130,5,0),0),2),$I75))</f>
      </c>
      <c r="M75" s="41">
        <f>IF($C75="","",$H75-$L75)</f>
      </c>
      <c r="N75" s="42">
        <f>IF($C75="","",IF($I75="","추정 ESTIMATE","실제 ACTUAL"))</f>
      </c>
      <c r="O75" s="41">
        <f>IF($A75="","",SUMIFS('입금 Payments'!$C$3:$C$1002,'입금 Payments'!$B$3:$B$1002,$A75))</f>
      </c>
      <c r="P75" s="41">
        <f>IF($C75="","",ROUND($H75*(1+IF('설정 Settings'!$C$24="YES",'설정 Settings'!$C$26,0)),2)-N($O75))</f>
      </c>
      <c r="Q75" s="42">
        <f>IF($A75="","","INV-"&amp;$A75)</f>
      </c>
      <c r="R75" s="42">
        <f>IF($H75="","",IF($H75&gt;'설정 Settings'!$C$36,"$2,000 초과: e-Transfer 나눠 받기 (F36)",""))</f>
      </c>
    </row>
    <row r="76" spans="12:18" x14ac:dyDescent="0.25">
      <c r="L76" s="41">
        <f>IF($C76="","",IF($I76="",ROUND(IFERROR($H76*VLOOKUP($F76,'설정 Settings'!$A$122:$F$130,4,0)+VLOOKUP($F76,'설정 Settings'!$A$122:$F$130,5,0),0),2),$I76))</f>
      </c>
      <c r="M76" s="41">
        <f>IF($C76="","",$H76-$L76)</f>
      </c>
      <c r="N76" s="42">
        <f>IF($C76="","",IF($I76="","추정 ESTIMATE","실제 ACTUAL"))</f>
      </c>
      <c r="O76" s="41">
        <f>IF($A76="","",SUMIFS('입금 Payments'!$C$3:$C$1002,'입금 Payments'!$B$3:$B$1002,$A76))</f>
      </c>
      <c r="P76" s="41">
        <f>IF($C76="","",ROUND($H76*(1+IF('설정 Settings'!$C$24="YES",'설정 Settings'!$C$26,0)),2)-N($O76))</f>
      </c>
      <c r="Q76" s="42">
        <f>IF($A76="","","INV-"&amp;$A76)</f>
      </c>
      <c r="R76" s="42">
        <f>IF($H76="","",IF($H76&gt;'설정 Settings'!$C$36,"$2,000 초과: e-Transfer 나눠 받기 (F36)",""))</f>
      </c>
    </row>
    <row r="77" spans="12:18" x14ac:dyDescent="0.25">
      <c r="L77" s="41">
        <f>IF($C77="","",IF($I77="",ROUND(IFERROR($H77*VLOOKUP($F77,'설정 Settings'!$A$122:$F$130,4,0)+VLOOKUP($F77,'설정 Settings'!$A$122:$F$130,5,0),0),2),$I77))</f>
      </c>
      <c r="M77" s="41">
        <f>IF($C77="","",$H77-$L77)</f>
      </c>
      <c r="N77" s="42">
        <f>IF($C77="","",IF($I77="","추정 ESTIMATE","실제 ACTUAL"))</f>
      </c>
      <c r="O77" s="41">
        <f>IF($A77="","",SUMIFS('입금 Payments'!$C$3:$C$1002,'입금 Payments'!$B$3:$B$1002,$A77))</f>
      </c>
      <c r="P77" s="41">
        <f>IF($C77="","",ROUND($H77*(1+IF('설정 Settings'!$C$24="YES",'설정 Settings'!$C$26,0)),2)-N($O77))</f>
      </c>
      <c r="Q77" s="42">
        <f>IF($A77="","","INV-"&amp;$A77)</f>
      </c>
      <c r="R77" s="42">
        <f>IF($H77="","",IF($H77&gt;'설정 Settings'!$C$36,"$2,000 초과: e-Transfer 나눠 받기 (F36)",""))</f>
      </c>
    </row>
    <row r="78" spans="12:18" x14ac:dyDescent="0.25">
      <c r="L78" s="41">
        <f>IF($C78="","",IF($I78="",ROUND(IFERROR($H78*VLOOKUP($F78,'설정 Settings'!$A$122:$F$130,4,0)+VLOOKUP($F78,'설정 Settings'!$A$122:$F$130,5,0),0),2),$I78))</f>
      </c>
      <c r="M78" s="41">
        <f>IF($C78="","",$H78-$L78)</f>
      </c>
      <c r="N78" s="42">
        <f>IF($C78="","",IF($I78="","추정 ESTIMATE","실제 ACTUAL"))</f>
      </c>
      <c r="O78" s="41">
        <f>IF($A78="","",SUMIFS('입금 Payments'!$C$3:$C$1002,'입금 Payments'!$B$3:$B$1002,$A78))</f>
      </c>
      <c r="P78" s="41">
        <f>IF($C78="","",ROUND($H78*(1+IF('설정 Settings'!$C$24="YES",'설정 Settings'!$C$26,0)),2)-N($O78))</f>
      </c>
      <c r="Q78" s="42">
        <f>IF($A78="","","INV-"&amp;$A78)</f>
      </c>
      <c r="R78" s="42">
        <f>IF($H78="","",IF($H78&gt;'설정 Settings'!$C$36,"$2,000 초과: e-Transfer 나눠 받기 (F36)",""))</f>
      </c>
    </row>
    <row r="79" spans="12:18" x14ac:dyDescent="0.25">
      <c r="L79" s="41">
        <f>IF($C79="","",IF($I79="",ROUND(IFERROR($H79*VLOOKUP($F79,'설정 Settings'!$A$122:$F$130,4,0)+VLOOKUP($F79,'설정 Settings'!$A$122:$F$130,5,0),0),2),$I79))</f>
      </c>
      <c r="M79" s="41">
        <f>IF($C79="","",$H79-$L79)</f>
      </c>
      <c r="N79" s="42">
        <f>IF($C79="","",IF($I79="","추정 ESTIMATE","실제 ACTUAL"))</f>
      </c>
      <c r="O79" s="41">
        <f>IF($A79="","",SUMIFS('입금 Payments'!$C$3:$C$1002,'입금 Payments'!$B$3:$B$1002,$A79))</f>
      </c>
      <c r="P79" s="41">
        <f>IF($C79="","",ROUND($H79*(1+IF('설정 Settings'!$C$24="YES",'설정 Settings'!$C$26,0)),2)-N($O79))</f>
      </c>
      <c r="Q79" s="42">
        <f>IF($A79="","","INV-"&amp;$A79)</f>
      </c>
      <c r="R79" s="42">
        <f>IF($H79="","",IF($H79&gt;'설정 Settings'!$C$36,"$2,000 초과: e-Transfer 나눠 받기 (F36)",""))</f>
      </c>
    </row>
    <row r="80" spans="12:18" x14ac:dyDescent="0.25">
      <c r="L80" s="41">
        <f>IF($C80="","",IF($I80="",ROUND(IFERROR($H80*VLOOKUP($F80,'설정 Settings'!$A$122:$F$130,4,0)+VLOOKUP($F80,'설정 Settings'!$A$122:$F$130,5,0),0),2),$I80))</f>
      </c>
      <c r="M80" s="41">
        <f>IF($C80="","",$H80-$L80)</f>
      </c>
      <c r="N80" s="42">
        <f>IF($C80="","",IF($I80="","추정 ESTIMATE","실제 ACTUAL"))</f>
      </c>
      <c r="O80" s="41">
        <f>IF($A80="","",SUMIFS('입금 Payments'!$C$3:$C$1002,'입금 Payments'!$B$3:$B$1002,$A80))</f>
      </c>
      <c r="P80" s="41">
        <f>IF($C80="","",ROUND($H80*(1+IF('설정 Settings'!$C$24="YES",'설정 Settings'!$C$26,0)),2)-N($O80))</f>
      </c>
      <c r="Q80" s="42">
        <f>IF($A80="","","INV-"&amp;$A80)</f>
      </c>
      <c r="R80" s="42">
        <f>IF($H80="","",IF($H80&gt;'설정 Settings'!$C$36,"$2,000 초과: e-Transfer 나눠 받기 (F36)",""))</f>
      </c>
    </row>
    <row r="81" spans="12:18" x14ac:dyDescent="0.25">
      <c r="L81" s="41">
        <f>IF($C81="","",IF($I81="",ROUND(IFERROR($H81*VLOOKUP($F81,'설정 Settings'!$A$122:$F$130,4,0)+VLOOKUP($F81,'설정 Settings'!$A$122:$F$130,5,0),0),2),$I81))</f>
      </c>
      <c r="M81" s="41">
        <f>IF($C81="","",$H81-$L81)</f>
      </c>
      <c r="N81" s="42">
        <f>IF($C81="","",IF($I81="","추정 ESTIMATE","실제 ACTUAL"))</f>
      </c>
      <c r="O81" s="41">
        <f>IF($A81="","",SUMIFS('입금 Payments'!$C$3:$C$1002,'입금 Payments'!$B$3:$B$1002,$A81))</f>
      </c>
      <c r="P81" s="41">
        <f>IF($C81="","",ROUND($H81*(1+IF('설정 Settings'!$C$24="YES",'설정 Settings'!$C$26,0)),2)-N($O81))</f>
      </c>
      <c r="Q81" s="42">
        <f>IF($A81="","","INV-"&amp;$A81)</f>
      </c>
      <c r="R81" s="42">
        <f>IF($H81="","",IF($H81&gt;'설정 Settings'!$C$36,"$2,000 초과: e-Transfer 나눠 받기 (F36)",""))</f>
      </c>
    </row>
    <row r="82" spans="12:18" x14ac:dyDescent="0.25">
      <c r="L82" s="41">
        <f>IF($C82="","",IF($I82="",ROUND(IFERROR($H82*VLOOKUP($F82,'설정 Settings'!$A$122:$F$130,4,0)+VLOOKUP($F82,'설정 Settings'!$A$122:$F$130,5,0),0),2),$I82))</f>
      </c>
      <c r="M82" s="41">
        <f>IF($C82="","",$H82-$L82)</f>
      </c>
      <c r="N82" s="42">
        <f>IF($C82="","",IF($I82="","추정 ESTIMATE","실제 ACTUAL"))</f>
      </c>
      <c r="O82" s="41">
        <f>IF($A82="","",SUMIFS('입금 Payments'!$C$3:$C$1002,'입금 Payments'!$B$3:$B$1002,$A82))</f>
      </c>
      <c r="P82" s="41">
        <f>IF($C82="","",ROUND($H82*(1+IF('설정 Settings'!$C$24="YES",'설정 Settings'!$C$26,0)),2)-N($O82))</f>
      </c>
      <c r="Q82" s="42">
        <f>IF($A82="","","INV-"&amp;$A82)</f>
      </c>
      <c r="R82" s="42">
        <f>IF($H82="","",IF($H82&gt;'설정 Settings'!$C$36,"$2,000 초과: e-Transfer 나눠 받기 (F36)",""))</f>
      </c>
    </row>
    <row r="83" spans="12:18" x14ac:dyDescent="0.25">
      <c r="L83" s="41">
        <f>IF($C83="","",IF($I83="",ROUND(IFERROR($H83*VLOOKUP($F83,'설정 Settings'!$A$122:$F$130,4,0)+VLOOKUP($F83,'설정 Settings'!$A$122:$F$130,5,0),0),2),$I83))</f>
      </c>
      <c r="M83" s="41">
        <f>IF($C83="","",$H83-$L83)</f>
      </c>
      <c r="N83" s="42">
        <f>IF($C83="","",IF($I83="","추정 ESTIMATE","실제 ACTUAL"))</f>
      </c>
      <c r="O83" s="41">
        <f>IF($A83="","",SUMIFS('입금 Payments'!$C$3:$C$1002,'입금 Payments'!$B$3:$B$1002,$A83))</f>
      </c>
      <c r="P83" s="41">
        <f>IF($C83="","",ROUND($H83*(1+IF('설정 Settings'!$C$24="YES",'설정 Settings'!$C$26,0)),2)-N($O83))</f>
      </c>
      <c r="Q83" s="42">
        <f>IF($A83="","","INV-"&amp;$A83)</f>
      </c>
      <c r="R83" s="42">
        <f>IF($H83="","",IF($H83&gt;'설정 Settings'!$C$36,"$2,000 초과: e-Transfer 나눠 받기 (F36)",""))</f>
      </c>
    </row>
    <row r="84" spans="12:18" x14ac:dyDescent="0.25">
      <c r="L84" s="41">
        <f>IF($C84="","",IF($I84="",ROUND(IFERROR($H84*VLOOKUP($F84,'설정 Settings'!$A$122:$F$130,4,0)+VLOOKUP($F84,'설정 Settings'!$A$122:$F$130,5,0),0),2),$I84))</f>
      </c>
      <c r="M84" s="41">
        <f>IF($C84="","",$H84-$L84)</f>
      </c>
      <c r="N84" s="42">
        <f>IF($C84="","",IF($I84="","추정 ESTIMATE","실제 ACTUAL"))</f>
      </c>
      <c r="O84" s="41">
        <f>IF($A84="","",SUMIFS('입금 Payments'!$C$3:$C$1002,'입금 Payments'!$B$3:$B$1002,$A84))</f>
      </c>
      <c r="P84" s="41">
        <f>IF($C84="","",ROUND($H84*(1+IF('설정 Settings'!$C$24="YES",'설정 Settings'!$C$26,0)),2)-N($O84))</f>
      </c>
      <c r="Q84" s="42">
        <f>IF($A84="","","INV-"&amp;$A84)</f>
      </c>
      <c r="R84" s="42">
        <f>IF($H84="","",IF($H84&gt;'설정 Settings'!$C$36,"$2,000 초과: e-Transfer 나눠 받기 (F36)",""))</f>
      </c>
    </row>
    <row r="85" spans="12:18" x14ac:dyDescent="0.25">
      <c r="L85" s="41">
        <f>IF($C85="","",IF($I85="",ROUND(IFERROR($H85*VLOOKUP($F85,'설정 Settings'!$A$122:$F$130,4,0)+VLOOKUP($F85,'설정 Settings'!$A$122:$F$130,5,0),0),2),$I85))</f>
      </c>
      <c r="M85" s="41">
        <f>IF($C85="","",$H85-$L85)</f>
      </c>
      <c r="N85" s="42">
        <f>IF($C85="","",IF($I85="","추정 ESTIMATE","실제 ACTUAL"))</f>
      </c>
      <c r="O85" s="41">
        <f>IF($A85="","",SUMIFS('입금 Payments'!$C$3:$C$1002,'입금 Payments'!$B$3:$B$1002,$A85))</f>
      </c>
      <c r="P85" s="41">
        <f>IF($C85="","",ROUND($H85*(1+IF('설정 Settings'!$C$24="YES",'설정 Settings'!$C$26,0)),2)-N($O85))</f>
      </c>
      <c r="Q85" s="42">
        <f>IF($A85="","","INV-"&amp;$A85)</f>
      </c>
      <c r="R85" s="42">
        <f>IF($H85="","",IF($H85&gt;'설정 Settings'!$C$36,"$2,000 초과: e-Transfer 나눠 받기 (F36)",""))</f>
      </c>
    </row>
    <row r="86" spans="12:18" x14ac:dyDescent="0.25">
      <c r="L86" s="41">
        <f>IF($C86="","",IF($I86="",ROUND(IFERROR($H86*VLOOKUP($F86,'설정 Settings'!$A$122:$F$130,4,0)+VLOOKUP($F86,'설정 Settings'!$A$122:$F$130,5,0),0),2),$I86))</f>
      </c>
      <c r="M86" s="41">
        <f>IF($C86="","",$H86-$L86)</f>
      </c>
      <c r="N86" s="42">
        <f>IF($C86="","",IF($I86="","추정 ESTIMATE","실제 ACTUAL"))</f>
      </c>
      <c r="O86" s="41">
        <f>IF($A86="","",SUMIFS('입금 Payments'!$C$3:$C$1002,'입금 Payments'!$B$3:$B$1002,$A86))</f>
      </c>
      <c r="P86" s="41">
        <f>IF($C86="","",ROUND($H86*(1+IF('설정 Settings'!$C$24="YES",'설정 Settings'!$C$26,0)),2)-N($O86))</f>
      </c>
      <c r="Q86" s="42">
        <f>IF($A86="","","INV-"&amp;$A86)</f>
      </c>
      <c r="R86" s="42">
        <f>IF($H86="","",IF($H86&gt;'설정 Settings'!$C$36,"$2,000 초과: e-Transfer 나눠 받기 (F36)",""))</f>
      </c>
    </row>
    <row r="87" spans="12:18" x14ac:dyDescent="0.25">
      <c r="L87" s="41">
        <f>IF($C87="","",IF($I87="",ROUND(IFERROR($H87*VLOOKUP($F87,'설정 Settings'!$A$122:$F$130,4,0)+VLOOKUP($F87,'설정 Settings'!$A$122:$F$130,5,0),0),2),$I87))</f>
      </c>
      <c r="M87" s="41">
        <f>IF($C87="","",$H87-$L87)</f>
      </c>
      <c r="N87" s="42">
        <f>IF($C87="","",IF($I87="","추정 ESTIMATE","실제 ACTUAL"))</f>
      </c>
      <c r="O87" s="41">
        <f>IF($A87="","",SUMIFS('입금 Payments'!$C$3:$C$1002,'입금 Payments'!$B$3:$B$1002,$A87))</f>
      </c>
      <c r="P87" s="41">
        <f>IF($C87="","",ROUND($H87*(1+IF('설정 Settings'!$C$24="YES",'설정 Settings'!$C$26,0)),2)-N($O87))</f>
      </c>
      <c r="Q87" s="42">
        <f>IF($A87="","","INV-"&amp;$A87)</f>
      </c>
      <c r="R87" s="42">
        <f>IF($H87="","",IF($H87&gt;'설정 Settings'!$C$36,"$2,000 초과: e-Transfer 나눠 받기 (F36)",""))</f>
      </c>
    </row>
    <row r="88" spans="12:18" x14ac:dyDescent="0.25">
      <c r="L88" s="41">
        <f>IF($C88="","",IF($I88="",ROUND(IFERROR($H88*VLOOKUP($F88,'설정 Settings'!$A$122:$F$130,4,0)+VLOOKUP($F88,'설정 Settings'!$A$122:$F$130,5,0),0),2),$I88))</f>
      </c>
      <c r="M88" s="41">
        <f>IF($C88="","",$H88-$L88)</f>
      </c>
      <c r="N88" s="42">
        <f>IF($C88="","",IF($I88="","추정 ESTIMATE","실제 ACTUAL"))</f>
      </c>
      <c r="O88" s="41">
        <f>IF($A88="","",SUMIFS('입금 Payments'!$C$3:$C$1002,'입금 Payments'!$B$3:$B$1002,$A88))</f>
      </c>
      <c r="P88" s="41">
        <f>IF($C88="","",ROUND($H88*(1+IF('설정 Settings'!$C$24="YES",'설정 Settings'!$C$26,0)),2)-N($O88))</f>
      </c>
      <c r="Q88" s="42">
        <f>IF($A88="","","INV-"&amp;$A88)</f>
      </c>
      <c r="R88" s="42">
        <f>IF($H88="","",IF($H88&gt;'설정 Settings'!$C$36,"$2,000 초과: e-Transfer 나눠 받기 (F36)",""))</f>
      </c>
    </row>
    <row r="89" spans="12:18" x14ac:dyDescent="0.25">
      <c r="L89" s="41">
        <f>IF($C89="","",IF($I89="",ROUND(IFERROR($H89*VLOOKUP($F89,'설정 Settings'!$A$122:$F$130,4,0)+VLOOKUP($F89,'설정 Settings'!$A$122:$F$130,5,0),0),2),$I89))</f>
      </c>
      <c r="M89" s="41">
        <f>IF($C89="","",$H89-$L89)</f>
      </c>
      <c r="N89" s="42">
        <f>IF($C89="","",IF($I89="","추정 ESTIMATE","실제 ACTUAL"))</f>
      </c>
      <c r="O89" s="41">
        <f>IF($A89="","",SUMIFS('입금 Payments'!$C$3:$C$1002,'입금 Payments'!$B$3:$B$1002,$A89))</f>
      </c>
      <c r="P89" s="41">
        <f>IF($C89="","",ROUND($H89*(1+IF('설정 Settings'!$C$24="YES",'설정 Settings'!$C$26,0)),2)-N($O89))</f>
      </c>
      <c r="Q89" s="42">
        <f>IF($A89="","","INV-"&amp;$A89)</f>
      </c>
      <c r="R89" s="42">
        <f>IF($H89="","",IF($H89&gt;'설정 Settings'!$C$36,"$2,000 초과: e-Transfer 나눠 받기 (F36)",""))</f>
      </c>
    </row>
    <row r="90" spans="12:18" x14ac:dyDescent="0.25">
      <c r="L90" s="41">
        <f>IF($C90="","",IF($I90="",ROUND(IFERROR($H90*VLOOKUP($F90,'설정 Settings'!$A$122:$F$130,4,0)+VLOOKUP($F90,'설정 Settings'!$A$122:$F$130,5,0),0),2),$I90))</f>
      </c>
      <c r="M90" s="41">
        <f>IF($C90="","",$H90-$L90)</f>
      </c>
      <c r="N90" s="42">
        <f>IF($C90="","",IF($I90="","추정 ESTIMATE","실제 ACTUAL"))</f>
      </c>
      <c r="O90" s="41">
        <f>IF($A90="","",SUMIFS('입금 Payments'!$C$3:$C$1002,'입금 Payments'!$B$3:$B$1002,$A90))</f>
      </c>
      <c r="P90" s="41">
        <f>IF($C90="","",ROUND($H90*(1+IF('설정 Settings'!$C$24="YES",'설정 Settings'!$C$26,0)),2)-N($O90))</f>
      </c>
      <c r="Q90" s="42">
        <f>IF($A90="","","INV-"&amp;$A90)</f>
      </c>
      <c r="R90" s="42">
        <f>IF($H90="","",IF($H90&gt;'설정 Settings'!$C$36,"$2,000 초과: e-Transfer 나눠 받기 (F36)",""))</f>
      </c>
    </row>
    <row r="91" spans="12:18" x14ac:dyDescent="0.25">
      <c r="L91" s="41">
        <f>IF($C91="","",IF($I91="",ROUND(IFERROR($H91*VLOOKUP($F91,'설정 Settings'!$A$122:$F$130,4,0)+VLOOKUP($F91,'설정 Settings'!$A$122:$F$130,5,0),0),2),$I91))</f>
      </c>
      <c r="M91" s="41">
        <f>IF($C91="","",$H91-$L91)</f>
      </c>
      <c r="N91" s="42">
        <f>IF($C91="","",IF($I91="","추정 ESTIMATE","실제 ACTUAL"))</f>
      </c>
      <c r="O91" s="41">
        <f>IF($A91="","",SUMIFS('입금 Payments'!$C$3:$C$1002,'입금 Payments'!$B$3:$B$1002,$A91))</f>
      </c>
      <c r="P91" s="41">
        <f>IF($C91="","",ROUND($H91*(1+IF('설정 Settings'!$C$24="YES",'설정 Settings'!$C$26,0)),2)-N($O91))</f>
      </c>
      <c r="Q91" s="42">
        <f>IF($A91="","","INV-"&amp;$A91)</f>
      </c>
      <c r="R91" s="42">
        <f>IF($H91="","",IF($H91&gt;'설정 Settings'!$C$36,"$2,000 초과: e-Transfer 나눠 받기 (F36)",""))</f>
      </c>
    </row>
    <row r="92" spans="12:18" x14ac:dyDescent="0.25">
      <c r="L92" s="41">
        <f>IF($C92="","",IF($I92="",ROUND(IFERROR($H92*VLOOKUP($F92,'설정 Settings'!$A$122:$F$130,4,0)+VLOOKUP($F92,'설정 Settings'!$A$122:$F$130,5,0),0),2),$I92))</f>
      </c>
      <c r="M92" s="41">
        <f>IF($C92="","",$H92-$L92)</f>
      </c>
      <c r="N92" s="42">
        <f>IF($C92="","",IF($I92="","추정 ESTIMATE","실제 ACTUAL"))</f>
      </c>
      <c r="O92" s="41">
        <f>IF($A92="","",SUMIFS('입금 Payments'!$C$3:$C$1002,'입금 Payments'!$B$3:$B$1002,$A92))</f>
      </c>
      <c r="P92" s="41">
        <f>IF($C92="","",ROUND($H92*(1+IF('설정 Settings'!$C$24="YES",'설정 Settings'!$C$26,0)),2)-N($O92))</f>
      </c>
      <c r="Q92" s="42">
        <f>IF($A92="","","INV-"&amp;$A92)</f>
      </c>
      <c r="R92" s="42">
        <f>IF($H92="","",IF($H92&gt;'설정 Settings'!$C$36,"$2,000 초과: e-Transfer 나눠 받기 (F36)",""))</f>
      </c>
    </row>
    <row r="93" spans="12:18" x14ac:dyDescent="0.25">
      <c r="L93" s="41">
        <f>IF($C93="","",IF($I93="",ROUND(IFERROR($H93*VLOOKUP($F93,'설정 Settings'!$A$122:$F$130,4,0)+VLOOKUP($F93,'설정 Settings'!$A$122:$F$130,5,0),0),2),$I93))</f>
      </c>
      <c r="M93" s="41">
        <f>IF($C93="","",$H93-$L93)</f>
      </c>
      <c r="N93" s="42">
        <f>IF($C93="","",IF($I93="","추정 ESTIMATE","실제 ACTUAL"))</f>
      </c>
      <c r="O93" s="41">
        <f>IF($A93="","",SUMIFS('입금 Payments'!$C$3:$C$1002,'입금 Payments'!$B$3:$B$1002,$A93))</f>
      </c>
      <c r="P93" s="41">
        <f>IF($C93="","",ROUND($H93*(1+IF('설정 Settings'!$C$24="YES",'설정 Settings'!$C$26,0)),2)-N($O93))</f>
      </c>
      <c r="Q93" s="42">
        <f>IF($A93="","","INV-"&amp;$A93)</f>
      </c>
      <c r="R93" s="42">
        <f>IF($H93="","",IF($H93&gt;'설정 Settings'!$C$36,"$2,000 초과: e-Transfer 나눠 받기 (F36)",""))</f>
      </c>
    </row>
    <row r="94" spans="12:18" x14ac:dyDescent="0.25">
      <c r="L94" s="41">
        <f>IF($C94="","",IF($I94="",ROUND(IFERROR($H94*VLOOKUP($F94,'설정 Settings'!$A$122:$F$130,4,0)+VLOOKUP($F94,'설정 Settings'!$A$122:$F$130,5,0),0),2),$I94))</f>
      </c>
      <c r="M94" s="41">
        <f>IF($C94="","",$H94-$L94)</f>
      </c>
      <c r="N94" s="42">
        <f>IF($C94="","",IF($I94="","추정 ESTIMATE","실제 ACTUAL"))</f>
      </c>
      <c r="O94" s="41">
        <f>IF($A94="","",SUMIFS('입금 Payments'!$C$3:$C$1002,'입금 Payments'!$B$3:$B$1002,$A94))</f>
      </c>
      <c r="P94" s="41">
        <f>IF($C94="","",ROUND($H94*(1+IF('설정 Settings'!$C$24="YES",'설정 Settings'!$C$26,0)),2)-N($O94))</f>
      </c>
      <c r="Q94" s="42">
        <f>IF($A94="","","INV-"&amp;$A94)</f>
      </c>
      <c r="R94" s="42">
        <f>IF($H94="","",IF($H94&gt;'설정 Settings'!$C$36,"$2,000 초과: e-Transfer 나눠 받기 (F36)",""))</f>
      </c>
    </row>
    <row r="95" spans="12:18" x14ac:dyDescent="0.25">
      <c r="L95" s="41">
        <f>IF($C95="","",IF($I95="",ROUND(IFERROR($H95*VLOOKUP($F95,'설정 Settings'!$A$122:$F$130,4,0)+VLOOKUP($F95,'설정 Settings'!$A$122:$F$130,5,0),0),2),$I95))</f>
      </c>
      <c r="M95" s="41">
        <f>IF($C95="","",$H95-$L95)</f>
      </c>
      <c r="N95" s="42">
        <f>IF($C95="","",IF($I95="","추정 ESTIMATE","실제 ACTUAL"))</f>
      </c>
      <c r="O95" s="41">
        <f>IF($A95="","",SUMIFS('입금 Payments'!$C$3:$C$1002,'입금 Payments'!$B$3:$B$1002,$A95))</f>
      </c>
      <c r="P95" s="41">
        <f>IF($C95="","",ROUND($H95*(1+IF('설정 Settings'!$C$24="YES",'설정 Settings'!$C$26,0)),2)-N($O95))</f>
      </c>
      <c r="Q95" s="42">
        <f>IF($A95="","","INV-"&amp;$A95)</f>
      </c>
      <c r="R95" s="42">
        <f>IF($H95="","",IF($H95&gt;'설정 Settings'!$C$36,"$2,000 초과: e-Transfer 나눠 받기 (F36)",""))</f>
      </c>
    </row>
    <row r="96" spans="12:18" x14ac:dyDescent="0.25">
      <c r="L96" s="41">
        <f>IF($C96="","",IF($I96="",ROUND(IFERROR($H96*VLOOKUP($F96,'설정 Settings'!$A$122:$F$130,4,0)+VLOOKUP($F96,'설정 Settings'!$A$122:$F$130,5,0),0),2),$I96))</f>
      </c>
      <c r="M96" s="41">
        <f>IF($C96="","",$H96-$L96)</f>
      </c>
      <c r="N96" s="42">
        <f>IF($C96="","",IF($I96="","추정 ESTIMATE","실제 ACTUAL"))</f>
      </c>
      <c r="O96" s="41">
        <f>IF($A96="","",SUMIFS('입금 Payments'!$C$3:$C$1002,'입금 Payments'!$B$3:$B$1002,$A96))</f>
      </c>
      <c r="P96" s="41">
        <f>IF($C96="","",ROUND($H96*(1+IF('설정 Settings'!$C$24="YES",'설정 Settings'!$C$26,0)),2)-N($O96))</f>
      </c>
      <c r="Q96" s="42">
        <f>IF($A96="","","INV-"&amp;$A96)</f>
      </c>
      <c r="R96" s="42">
        <f>IF($H96="","",IF($H96&gt;'설정 Settings'!$C$36,"$2,000 초과: e-Transfer 나눠 받기 (F36)",""))</f>
      </c>
    </row>
    <row r="97" spans="12:18" x14ac:dyDescent="0.25">
      <c r="L97" s="41">
        <f>IF($C97="","",IF($I97="",ROUND(IFERROR($H97*VLOOKUP($F97,'설정 Settings'!$A$122:$F$130,4,0)+VLOOKUP($F97,'설정 Settings'!$A$122:$F$130,5,0),0),2),$I97))</f>
      </c>
      <c r="M97" s="41">
        <f>IF($C97="","",$H97-$L97)</f>
      </c>
      <c r="N97" s="42">
        <f>IF($C97="","",IF($I97="","추정 ESTIMATE","실제 ACTUAL"))</f>
      </c>
      <c r="O97" s="41">
        <f>IF($A97="","",SUMIFS('입금 Payments'!$C$3:$C$1002,'입금 Payments'!$B$3:$B$1002,$A97))</f>
      </c>
      <c r="P97" s="41">
        <f>IF($C97="","",ROUND($H97*(1+IF('설정 Settings'!$C$24="YES",'설정 Settings'!$C$26,0)),2)-N($O97))</f>
      </c>
      <c r="Q97" s="42">
        <f>IF($A97="","","INV-"&amp;$A97)</f>
      </c>
      <c r="R97" s="42">
        <f>IF($H97="","",IF($H97&gt;'설정 Settings'!$C$36,"$2,000 초과: e-Transfer 나눠 받기 (F36)",""))</f>
      </c>
    </row>
    <row r="98" spans="12:18" x14ac:dyDescent="0.25">
      <c r="L98" s="41">
        <f>IF($C98="","",IF($I98="",ROUND(IFERROR($H98*VLOOKUP($F98,'설정 Settings'!$A$122:$F$130,4,0)+VLOOKUP($F98,'설정 Settings'!$A$122:$F$130,5,0),0),2),$I98))</f>
      </c>
      <c r="M98" s="41">
        <f>IF($C98="","",$H98-$L98)</f>
      </c>
      <c r="N98" s="42">
        <f>IF($C98="","",IF($I98="","추정 ESTIMATE","실제 ACTUAL"))</f>
      </c>
      <c r="O98" s="41">
        <f>IF($A98="","",SUMIFS('입금 Payments'!$C$3:$C$1002,'입금 Payments'!$B$3:$B$1002,$A98))</f>
      </c>
      <c r="P98" s="41">
        <f>IF($C98="","",ROUND($H98*(1+IF('설정 Settings'!$C$24="YES",'설정 Settings'!$C$26,0)),2)-N($O98))</f>
      </c>
      <c r="Q98" s="42">
        <f>IF($A98="","","INV-"&amp;$A98)</f>
      </c>
      <c r="R98" s="42">
        <f>IF($H98="","",IF($H98&gt;'설정 Settings'!$C$36,"$2,000 초과: e-Transfer 나눠 받기 (F36)",""))</f>
      </c>
    </row>
    <row r="99" spans="12:18" x14ac:dyDescent="0.25">
      <c r="L99" s="41">
        <f>IF($C99="","",IF($I99="",ROUND(IFERROR($H99*VLOOKUP($F99,'설정 Settings'!$A$122:$F$130,4,0)+VLOOKUP($F99,'설정 Settings'!$A$122:$F$130,5,0),0),2),$I99))</f>
      </c>
      <c r="M99" s="41">
        <f>IF($C99="","",$H99-$L99)</f>
      </c>
      <c r="N99" s="42">
        <f>IF($C99="","",IF($I99="","추정 ESTIMATE","실제 ACTUAL"))</f>
      </c>
      <c r="O99" s="41">
        <f>IF($A99="","",SUMIFS('입금 Payments'!$C$3:$C$1002,'입금 Payments'!$B$3:$B$1002,$A99))</f>
      </c>
      <c r="P99" s="41">
        <f>IF($C99="","",ROUND($H99*(1+IF('설정 Settings'!$C$24="YES",'설정 Settings'!$C$26,0)),2)-N($O99))</f>
      </c>
      <c r="Q99" s="42">
        <f>IF($A99="","","INV-"&amp;$A99)</f>
      </c>
      <c r="R99" s="42">
        <f>IF($H99="","",IF($H99&gt;'설정 Settings'!$C$36,"$2,000 초과: e-Transfer 나눠 받기 (F36)",""))</f>
      </c>
    </row>
    <row r="100" spans="12:18" x14ac:dyDescent="0.25">
      <c r="L100" s="41">
        <f>IF($C100="","",IF($I100="",ROUND(IFERROR($H100*VLOOKUP($F100,'설정 Settings'!$A$122:$F$130,4,0)+VLOOKUP($F100,'설정 Settings'!$A$122:$F$130,5,0),0),2),$I100))</f>
      </c>
      <c r="M100" s="41">
        <f>IF($C100="","",$H100-$L100)</f>
      </c>
      <c r="N100" s="42">
        <f>IF($C100="","",IF($I100="","추정 ESTIMATE","실제 ACTUAL"))</f>
      </c>
      <c r="O100" s="41">
        <f>IF($A100="","",SUMIFS('입금 Payments'!$C$3:$C$1002,'입금 Payments'!$B$3:$B$1002,$A100))</f>
      </c>
      <c r="P100" s="41">
        <f>IF($C100="","",ROUND($H100*(1+IF('설정 Settings'!$C$24="YES",'설정 Settings'!$C$26,0)),2)-N($O100))</f>
      </c>
      <c r="Q100" s="42">
        <f>IF($A100="","","INV-"&amp;$A100)</f>
      </c>
      <c r="R100" s="42">
        <f>IF($H100="","",IF($H100&gt;'설정 Settings'!$C$36,"$2,000 초과: e-Transfer 나눠 받기 (F36)",""))</f>
      </c>
    </row>
    <row r="101" spans="12:18" x14ac:dyDescent="0.25">
      <c r="L101" s="41">
        <f>IF($C101="","",IF($I101="",ROUND(IFERROR($H101*VLOOKUP($F101,'설정 Settings'!$A$122:$F$130,4,0)+VLOOKUP($F101,'설정 Settings'!$A$122:$F$130,5,0),0),2),$I101))</f>
      </c>
      <c r="M101" s="41">
        <f>IF($C101="","",$H101-$L101)</f>
      </c>
      <c r="N101" s="42">
        <f>IF($C101="","",IF($I101="","추정 ESTIMATE","실제 ACTUAL"))</f>
      </c>
      <c r="O101" s="41">
        <f>IF($A101="","",SUMIFS('입금 Payments'!$C$3:$C$1002,'입금 Payments'!$B$3:$B$1002,$A101))</f>
      </c>
      <c r="P101" s="41">
        <f>IF($C101="","",ROUND($H101*(1+IF('설정 Settings'!$C$24="YES",'설정 Settings'!$C$26,0)),2)-N($O101))</f>
      </c>
      <c r="Q101" s="42">
        <f>IF($A101="","","INV-"&amp;$A101)</f>
      </c>
      <c r="R101" s="42">
        <f>IF($H101="","",IF($H101&gt;'설정 Settings'!$C$36,"$2,000 초과: e-Transfer 나눠 받기 (F36)",""))</f>
      </c>
    </row>
    <row r="102" spans="12:18" x14ac:dyDescent="0.25">
      <c r="L102" s="41">
        <f>IF($C102="","",IF($I102="",ROUND(IFERROR($H102*VLOOKUP($F102,'설정 Settings'!$A$122:$F$130,4,0)+VLOOKUP($F102,'설정 Settings'!$A$122:$F$130,5,0),0),2),$I102))</f>
      </c>
      <c r="M102" s="41">
        <f>IF($C102="","",$H102-$L102)</f>
      </c>
      <c r="N102" s="42">
        <f>IF($C102="","",IF($I102="","추정 ESTIMATE","실제 ACTUAL"))</f>
      </c>
      <c r="O102" s="41">
        <f>IF($A102="","",SUMIFS('입금 Payments'!$C$3:$C$1002,'입금 Payments'!$B$3:$B$1002,$A102))</f>
      </c>
      <c r="P102" s="41">
        <f>IF($C102="","",ROUND($H102*(1+IF('설정 Settings'!$C$24="YES",'설정 Settings'!$C$26,0)),2)-N($O102))</f>
      </c>
      <c r="Q102" s="42">
        <f>IF($A102="","","INV-"&amp;$A102)</f>
      </c>
      <c r="R102" s="42">
        <f>IF($H102="","",IF($H102&gt;'설정 Settings'!$C$36,"$2,000 초과: e-Transfer 나눠 받기 (F36)",""))</f>
      </c>
    </row>
    <row r="103" spans="12:18" x14ac:dyDescent="0.25">
      <c r="L103" s="41">
        <f>IF($C103="","",IF($I103="",ROUND(IFERROR($H103*VLOOKUP($F103,'설정 Settings'!$A$122:$F$130,4,0)+VLOOKUP($F103,'설정 Settings'!$A$122:$F$130,5,0),0),2),$I103))</f>
      </c>
      <c r="M103" s="41">
        <f>IF($C103="","",$H103-$L103)</f>
      </c>
      <c r="N103" s="42">
        <f>IF($C103="","",IF($I103="","추정 ESTIMATE","실제 ACTUAL"))</f>
      </c>
      <c r="O103" s="41">
        <f>IF($A103="","",SUMIFS('입금 Payments'!$C$3:$C$1002,'입금 Payments'!$B$3:$B$1002,$A103))</f>
      </c>
      <c r="P103" s="41">
        <f>IF($C103="","",ROUND($H103*(1+IF('설정 Settings'!$C$24="YES",'설정 Settings'!$C$26,0)),2)-N($O103))</f>
      </c>
      <c r="Q103" s="42">
        <f>IF($A103="","","INV-"&amp;$A103)</f>
      </c>
      <c r="R103" s="42">
        <f>IF($H103="","",IF($H103&gt;'설정 Settings'!$C$36,"$2,000 초과: e-Transfer 나눠 받기 (F36)",""))</f>
      </c>
    </row>
    <row r="104" spans="12:18" x14ac:dyDescent="0.25">
      <c r="L104" s="41">
        <f>IF($C104="","",IF($I104="",ROUND(IFERROR($H104*VLOOKUP($F104,'설정 Settings'!$A$122:$F$130,4,0)+VLOOKUP($F104,'설정 Settings'!$A$122:$F$130,5,0),0),2),$I104))</f>
      </c>
      <c r="M104" s="41">
        <f>IF($C104="","",$H104-$L104)</f>
      </c>
      <c r="N104" s="42">
        <f>IF($C104="","",IF($I104="","추정 ESTIMATE","실제 ACTUAL"))</f>
      </c>
      <c r="O104" s="41">
        <f>IF($A104="","",SUMIFS('입금 Payments'!$C$3:$C$1002,'입금 Payments'!$B$3:$B$1002,$A104))</f>
      </c>
      <c r="P104" s="41">
        <f>IF($C104="","",ROUND($H104*(1+IF('설정 Settings'!$C$24="YES",'설정 Settings'!$C$26,0)),2)-N($O104))</f>
      </c>
      <c r="Q104" s="42">
        <f>IF($A104="","","INV-"&amp;$A104)</f>
      </c>
      <c r="R104" s="42">
        <f>IF($H104="","",IF($H104&gt;'설정 Settings'!$C$36,"$2,000 초과: e-Transfer 나눠 받기 (F36)",""))</f>
      </c>
    </row>
    <row r="105" spans="12:18" x14ac:dyDescent="0.25">
      <c r="L105" s="41">
        <f>IF($C105="","",IF($I105="",ROUND(IFERROR($H105*VLOOKUP($F105,'설정 Settings'!$A$122:$F$130,4,0)+VLOOKUP($F105,'설정 Settings'!$A$122:$F$130,5,0),0),2),$I105))</f>
      </c>
      <c r="M105" s="41">
        <f>IF($C105="","",$H105-$L105)</f>
      </c>
      <c r="N105" s="42">
        <f>IF($C105="","",IF($I105="","추정 ESTIMATE","실제 ACTUAL"))</f>
      </c>
      <c r="O105" s="41">
        <f>IF($A105="","",SUMIFS('입금 Payments'!$C$3:$C$1002,'입금 Payments'!$B$3:$B$1002,$A105))</f>
      </c>
      <c r="P105" s="41">
        <f>IF($C105="","",ROUND($H105*(1+IF('설정 Settings'!$C$24="YES",'설정 Settings'!$C$26,0)),2)-N($O105))</f>
      </c>
      <c r="Q105" s="42">
        <f>IF($A105="","","INV-"&amp;$A105)</f>
      </c>
      <c r="R105" s="42">
        <f>IF($H105="","",IF($H105&gt;'설정 Settings'!$C$36,"$2,000 초과: e-Transfer 나눠 받기 (F36)",""))</f>
      </c>
    </row>
    <row r="106" spans="12:18" x14ac:dyDescent="0.25">
      <c r="L106" s="41">
        <f>IF($C106="","",IF($I106="",ROUND(IFERROR($H106*VLOOKUP($F106,'설정 Settings'!$A$122:$F$130,4,0)+VLOOKUP($F106,'설정 Settings'!$A$122:$F$130,5,0),0),2),$I106))</f>
      </c>
      <c r="M106" s="41">
        <f>IF($C106="","",$H106-$L106)</f>
      </c>
      <c r="N106" s="42">
        <f>IF($C106="","",IF($I106="","추정 ESTIMATE","실제 ACTUAL"))</f>
      </c>
      <c r="O106" s="41">
        <f>IF($A106="","",SUMIFS('입금 Payments'!$C$3:$C$1002,'입금 Payments'!$B$3:$B$1002,$A106))</f>
      </c>
      <c r="P106" s="41">
        <f>IF($C106="","",ROUND($H106*(1+IF('설정 Settings'!$C$24="YES",'설정 Settings'!$C$26,0)),2)-N($O106))</f>
      </c>
      <c r="Q106" s="42">
        <f>IF($A106="","","INV-"&amp;$A106)</f>
      </c>
      <c r="R106" s="42">
        <f>IF($H106="","",IF($H106&gt;'설정 Settings'!$C$36,"$2,000 초과: e-Transfer 나눠 받기 (F36)",""))</f>
      </c>
    </row>
    <row r="107" spans="12:18" x14ac:dyDescent="0.25">
      <c r="L107" s="41">
        <f>IF($C107="","",IF($I107="",ROUND(IFERROR($H107*VLOOKUP($F107,'설정 Settings'!$A$122:$F$130,4,0)+VLOOKUP($F107,'설정 Settings'!$A$122:$F$130,5,0),0),2),$I107))</f>
      </c>
      <c r="M107" s="41">
        <f>IF($C107="","",$H107-$L107)</f>
      </c>
      <c r="N107" s="42">
        <f>IF($C107="","",IF($I107="","추정 ESTIMATE","실제 ACTUAL"))</f>
      </c>
      <c r="O107" s="41">
        <f>IF($A107="","",SUMIFS('입금 Payments'!$C$3:$C$1002,'입금 Payments'!$B$3:$B$1002,$A107))</f>
      </c>
      <c r="P107" s="41">
        <f>IF($C107="","",ROUND($H107*(1+IF('설정 Settings'!$C$24="YES",'설정 Settings'!$C$26,0)),2)-N($O107))</f>
      </c>
      <c r="Q107" s="42">
        <f>IF($A107="","","INV-"&amp;$A107)</f>
      </c>
      <c r="R107" s="42">
        <f>IF($H107="","",IF($H107&gt;'설정 Settings'!$C$36,"$2,000 초과: e-Transfer 나눠 받기 (F36)",""))</f>
      </c>
    </row>
    <row r="108" spans="12:18" x14ac:dyDescent="0.25">
      <c r="L108" s="41">
        <f>IF($C108="","",IF($I108="",ROUND(IFERROR($H108*VLOOKUP($F108,'설정 Settings'!$A$122:$F$130,4,0)+VLOOKUP($F108,'설정 Settings'!$A$122:$F$130,5,0),0),2),$I108))</f>
      </c>
      <c r="M108" s="41">
        <f>IF($C108="","",$H108-$L108)</f>
      </c>
      <c r="N108" s="42">
        <f>IF($C108="","",IF($I108="","추정 ESTIMATE","실제 ACTUAL"))</f>
      </c>
      <c r="O108" s="41">
        <f>IF($A108="","",SUMIFS('입금 Payments'!$C$3:$C$1002,'입금 Payments'!$B$3:$B$1002,$A108))</f>
      </c>
      <c r="P108" s="41">
        <f>IF($C108="","",ROUND($H108*(1+IF('설정 Settings'!$C$24="YES",'설정 Settings'!$C$26,0)),2)-N($O108))</f>
      </c>
      <c r="Q108" s="42">
        <f>IF($A108="","","INV-"&amp;$A108)</f>
      </c>
      <c r="R108" s="42">
        <f>IF($H108="","",IF($H108&gt;'설정 Settings'!$C$36,"$2,000 초과: e-Transfer 나눠 받기 (F36)",""))</f>
      </c>
    </row>
    <row r="109" spans="12:18" x14ac:dyDescent="0.25">
      <c r="L109" s="41">
        <f>IF($C109="","",IF($I109="",ROUND(IFERROR($H109*VLOOKUP($F109,'설정 Settings'!$A$122:$F$130,4,0)+VLOOKUP($F109,'설정 Settings'!$A$122:$F$130,5,0),0),2),$I109))</f>
      </c>
      <c r="M109" s="41">
        <f>IF($C109="","",$H109-$L109)</f>
      </c>
      <c r="N109" s="42">
        <f>IF($C109="","",IF($I109="","추정 ESTIMATE","실제 ACTUAL"))</f>
      </c>
      <c r="O109" s="41">
        <f>IF($A109="","",SUMIFS('입금 Payments'!$C$3:$C$1002,'입금 Payments'!$B$3:$B$1002,$A109))</f>
      </c>
      <c r="P109" s="41">
        <f>IF($C109="","",ROUND($H109*(1+IF('설정 Settings'!$C$24="YES",'설정 Settings'!$C$26,0)),2)-N($O109))</f>
      </c>
      <c r="Q109" s="42">
        <f>IF($A109="","","INV-"&amp;$A109)</f>
      </c>
      <c r="R109" s="42">
        <f>IF($H109="","",IF($H109&gt;'설정 Settings'!$C$36,"$2,000 초과: e-Transfer 나눠 받기 (F36)",""))</f>
      </c>
    </row>
    <row r="110" spans="12:18" x14ac:dyDescent="0.25">
      <c r="L110" s="41">
        <f>IF($C110="","",IF($I110="",ROUND(IFERROR($H110*VLOOKUP($F110,'설정 Settings'!$A$122:$F$130,4,0)+VLOOKUP($F110,'설정 Settings'!$A$122:$F$130,5,0),0),2),$I110))</f>
      </c>
      <c r="M110" s="41">
        <f>IF($C110="","",$H110-$L110)</f>
      </c>
      <c r="N110" s="42">
        <f>IF($C110="","",IF($I110="","추정 ESTIMATE","실제 ACTUAL"))</f>
      </c>
      <c r="O110" s="41">
        <f>IF($A110="","",SUMIFS('입금 Payments'!$C$3:$C$1002,'입금 Payments'!$B$3:$B$1002,$A110))</f>
      </c>
      <c r="P110" s="41">
        <f>IF($C110="","",ROUND($H110*(1+IF('설정 Settings'!$C$24="YES",'설정 Settings'!$C$26,0)),2)-N($O110))</f>
      </c>
      <c r="Q110" s="42">
        <f>IF($A110="","","INV-"&amp;$A110)</f>
      </c>
      <c r="R110" s="42">
        <f>IF($H110="","",IF($H110&gt;'설정 Settings'!$C$36,"$2,000 초과: e-Transfer 나눠 받기 (F36)",""))</f>
      </c>
    </row>
    <row r="111" spans="12:18" x14ac:dyDescent="0.25">
      <c r="L111" s="41">
        <f>IF($C111="","",IF($I111="",ROUND(IFERROR($H111*VLOOKUP($F111,'설정 Settings'!$A$122:$F$130,4,0)+VLOOKUP($F111,'설정 Settings'!$A$122:$F$130,5,0),0),2),$I111))</f>
      </c>
      <c r="M111" s="41">
        <f>IF($C111="","",$H111-$L111)</f>
      </c>
      <c r="N111" s="42">
        <f>IF($C111="","",IF($I111="","추정 ESTIMATE","실제 ACTUAL"))</f>
      </c>
      <c r="O111" s="41">
        <f>IF($A111="","",SUMIFS('입금 Payments'!$C$3:$C$1002,'입금 Payments'!$B$3:$B$1002,$A111))</f>
      </c>
      <c r="P111" s="41">
        <f>IF($C111="","",ROUND($H111*(1+IF('설정 Settings'!$C$24="YES",'설정 Settings'!$C$26,0)),2)-N($O111))</f>
      </c>
      <c r="Q111" s="42">
        <f>IF($A111="","","INV-"&amp;$A111)</f>
      </c>
      <c r="R111" s="42">
        <f>IF($H111="","",IF($H111&gt;'설정 Settings'!$C$36,"$2,000 초과: e-Transfer 나눠 받기 (F36)",""))</f>
      </c>
    </row>
    <row r="112" spans="12:18" x14ac:dyDescent="0.25">
      <c r="L112" s="41">
        <f>IF($C112="","",IF($I112="",ROUND(IFERROR($H112*VLOOKUP($F112,'설정 Settings'!$A$122:$F$130,4,0)+VLOOKUP($F112,'설정 Settings'!$A$122:$F$130,5,0),0),2),$I112))</f>
      </c>
      <c r="M112" s="41">
        <f>IF($C112="","",$H112-$L112)</f>
      </c>
      <c r="N112" s="42">
        <f>IF($C112="","",IF($I112="","추정 ESTIMATE","실제 ACTUAL"))</f>
      </c>
      <c r="O112" s="41">
        <f>IF($A112="","",SUMIFS('입금 Payments'!$C$3:$C$1002,'입금 Payments'!$B$3:$B$1002,$A112))</f>
      </c>
      <c r="P112" s="41">
        <f>IF($C112="","",ROUND($H112*(1+IF('설정 Settings'!$C$24="YES",'설정 Settings'!$C$26,0)),2)-N($O112))</f>
      </c>
      <c r="Q112" s="42">
        <f>IF($A112="","","INV-"&amp;$A112)</f>
      </c>
      <c r="R112" s="42">
        <f>IF($H112="","",IF($H112&gt;'설정 Settings'!$C$36,"$2,000 초과: e-Transfer 나눠 받기 (F36)",""))</f>
      </c>
    </row>
    <row r="113" spans="12:18" x14ac:dyDescent="0.25">
      <c r="L113" s="41">
        <f>IF($C113="","",IF($I113="",ROUND(IFERROR($H113*VLOOKUP($F113,'설정 Settings'!$A$122:$F$130,4,0)+VLOOKUP($F113,'설정 Settings'!$A$122:$F$130,5,0),0),2),$I113))</f>
      </c>
      <c r="M113" s="41">
        <f>IF($C113="","",$H113-$L113)</f>
      </c>
      <c r="N113" s="42">
        <f>IF($C113="","",IF($I113="","추정 ESTIMATE","실제 ACTUAL"))</f>
      </c>
      <c r="O113" s="41">
        <f>IF($A113="","",SUMIFS('입금 Payments'!$C$3:$C$1002,'입금 Payments'!$B$3:$B$1002,$A113))</f>
      </c>
      <c r="P113" s="41">
        <f>IF($C113="","",ROUND($H113*(1+IF('설정 Settings'!$C$24="YES",'설정 Settings'!$C$26,0)),2)-N($O113))</f>
      </c>
      <c r="Q113" s="42">
        <f>IF($A113="","","INV-"&amp;$A113)</f>
      </c>
      <c r="R113" s="42">
        <f>IF($H113="","",IF($H113&gt;'설정 Settings'!$C$36,"$2,000 초과: e-Transfer 나눠 받기 (F36)",""))</f>
      </c>
    </row>
    <row r="114" spans="12:18" x14ac:dyDescent="0.25">
      <c r="L114" s="41">
        <f>IF($C114="","",IF($I114="",ROUND(IFERROR($H114*VLOOKUP($F114,'설정 Settings'!$A$122:$F$130,4,0)+VLOOKUP($F114,'설정 Settings'!$A$122:$F$130,5,0),0),2),$I114))</f>
      </c>
      <c r="M114" s="41">
        <f>IF($C114="","",$H114-$L114)</f>
      </c>
      <c r="N114" s="42">
        <f>IF($C114="","",IF($I114="","추정 ESTIMATE","실제 ACTUAL"))</f>
      </c>
      <c r="O114" s="41">
        <f>IF($A114="","",SUMIFS('입금 Payments'!$C$3:$C$1002,'입금 Payments'!$B$3:$B$1002,$A114))</f>
      </c>
      <c r="P114" s="41">
        <f>IF($C114="","",ROUND($H114*(1+IF('설정 Settings'!$C$24="YES",'설정 Settings'!$C$26,0)),2)-N($O114))</f>
      </c>
      <c r="Q114" s="42">
        <f>IF($A114="","","INV-"&amp;$A114)</f>
      </c>
      <c r="R114" s="42">
        <f>IF($H114="","",IF($H114&gt;'설정 Settings'!$C$36,"$2,000 초과: e-Transfer 나눠 받기 (F36)",""))</f>
      </c>
    </row>
    <row r="115" spans="12:18" x14ac:dyDescent="0.25">
      <c r="L115" s="41">
        <f>IF($C115="","",IF($I115="",ROUND(IFERROR($H115*VLOOKUP($F115,'설정 Settings'!$A$122:$F$130,4,0)+VLOOKUP($F115,'설정 Settings'!$A$122:$F$130,5,0),0),2),$I115))</f>
      </c>
      <c r="M115" s="41">
        <f>IF($C115="","",$H115-$L115)</f>
      </c>
      <c r="N115" s="42">
        <f>IF($C115="","",IF($I115="","추정 ESTIMATE","실제 ACTUAL"))</f>
      </c>
      <c r="O115" s="41">
        <f>IF($A115="","",SUMIFS('입금 Payments'!$C$3:$C$1002,'입금 Payments'!$B$3:$B$1002,$A115))</f>
      </c>
      <c r="P115" s="41">
        <f>IF($C115="","",ROUND($H115*(1+IF('설정 Settings'!$C$24="YES",'설정 Settings'!$C$26,0)),2)-N($O115))</f>
      </c>
      <c r="Q115" s="42">
        <f>IF($A115="","","INV-"&amp;$A115)</f>
      </c>
      <c r="R115" s="42">
        <f>IF($H115="","",IF($H115&gt;'설정 Settings'!$C$36,"$2,000 초과: e-Transfer 나눠 받기 (F36)",""))</f>
      </c>
    </row>
    <row r="116" spans="12:18" x14ac:dyDescent="0.25">
      <c r="L116" s="41">
        <f>IF($C116="","",IF($I116="",ROUND(IFERROR($H116*VLOOKUP($F116,'설정 Settings'!$A$122:$F$130,4,0)+VLOOKUP($F116,'설정 Settings'!$A$122:$F$130,5,0),0),2),$I116))</f>
      </c>
      <c r="M116" s="41">
        <f>IF($C116="","",$H116-$L116)</f>
      </c>
      <c r="N116" s="42">
        <f>IF($C116="","",IF($I116="","추정 ESTIMATE","실제 ACTUAL"))</f>
      </c>
      <c r="O116" s="41">
        <f>IF($A116="","",SUMIFS('입금 Payments'!$C$3:$C$1002,'입금 Payments'!$B$3:$B$1002,$A116))</f>
      </c>
      <c r="P116" s="41">
        <f>IF($C116="","",ROUND($H116*(1+IF('설정 Settings'!$C$24="YES",'설정 Settings'!$C$26,0)),2)-N($O116))</f>
      </c>
      <c r="Q116" s="42">
        <f>IF($A116="","","INV-"&amp;$A116)</f>
      </c>
      <c r="R116" s="42">
        <f>IF($H116="","",IF($H116&gt;'설정 Settings'!$C$36,"$2,000 초과: e-Transfer 나눠 받기 (F36)",""))</f>
      </c>
    </row>
    <row r="117" spans="12:18" x14ac:dyDescent="0.25">
      <c r="L117" s="41">
        <f>IF($C117="","",IF($I117="",ROUND(IFERROR($H117*VLOOKUP($F117,'설정 Settings'!$A$122:$F$130,4,0)+VLOOKUP($F117,'설정 Settings'!$A$122:$F$130,5,0),0),2),$I117))</f>
      </c>
      <c r="M117" s="41">
        <f>IF($C117="","",$H117-$L117)</f>
      </c>
      <c r="N117" s="42">
        <f>IF($C117="","",IF($I117="","추정 ESTIMATE","실제 ACTUAL"))</f>
      </c>
      <c r="O117" s="41">
        <f>IF($A117="","",SUMIFS('입금 Payments'!$C$3:$C$1002,'입금 Payments'!$B$3:$B$1002,$A117))</f>
      </c>
      <c r="P117" s="41">
        <f>IF($C117="","",ROUND($H117*(1+IF('설정 Settings'!$C$24="YES",'설정 Settings'!$C$26,0)),2)-N($O117))</f>
      </c>
      <c r="Q117" s="42">
        <f>IF($A117="","","INV-"&amp;$A117)</f>
      </c>
      <c r="R117" s="42">
        <f>IF($H117="","",IF($H117&gt;'설정 Settings'!$C$36,"$2,000 초과: e-Transfer 나눠 받기 (F36)",""))</f>
      </c>
    </row>
    <row r="118" spans="12:18" x14ac:dyDescent="0.25">
      <c r="L118" s="41">
        <f>IF($C118="","",IF($I118="",ROUND(IFERROR($H118*VLOOKUP($F118,'설정 Settings'!$A$122:$F$130,4,0)+VLOOKUP($F118,'설정 Settings'!$A$122:$F$130,5,0),0),2),$I118))</f>
      </c>
      <c r="M118" s="41">
        <f>IF($C118="","",$H118-$L118)</f>
      </c>
      <c r="N118" s="42">
        <f>IF($C118="","",IF($I118="","추정 ESTIMATE","실제 ACTUAL"))</f>
      </c>
      <c r="O118" s="41">
        <f>IF($A118="","",SUMIFS('입금 Payments'!$C$3:$C$1002,'입금 Payments'!$B$3:$B$1002,$A118))</f>
      </c>
      <c r="P118" s="41">
        <f>IF($C118="","",ROUND($H118*(1+IF('설정 Settings'!$C$24="YES",'설정 Settings'!$C$26,0)),2)-N($O118))</f>
      </c>
      <c r="Q118" s="42">
        <f>IF($A118="","","INV-"&amp;$A118)</f>
      </c>
      <c r="R118" s="42">
        <f>IF($H118="","",IF($H118&gt;'설정 Settings'!$C$36,"$2,000 초과: e-Transfer 나눠 받기 (F36)",""))</f>
      </c>
    </row>
    <row r="119" spans="12:18" x14ac:dyDescent="0.25">
      <c r="L119" s="41">
        <f>IF($C119="","",IF($I119="",ROUND(IFERROR($H119*VLOOKUP($F119,'설정 Settings'!$A$122:$F$130,4,0)+VLOOKUP($F119,'설정 Settings'!$A$122:$F$130,5,0),0),2),$I119))</f>
      </c>
      <c r="M119" s="41">
        <f>IF($C119="","",$H119-$L119)</f>
      </c>
      <c r="N119" s="42">
        <f>IF($C119="","",IF($I119="","추정 ESTIMATE","실제 ACTUAL"))</f>
      </c>
      <c r="O119" s="41">
        <f>IF($A119="","",SUMIFS('입금 Payments'!$C$3:$C$1002,'입금 Payments'!$B$3:$B$1002,$A119))</f>
      </c>
      <c r="P119" s="41">
        <f>IF($C119="","",ROUND($H119*(1+IF('설정 Settings'!$C$24="YES",'설정 Settings'!$C$26,0)),2)-N($O119))</f>
      </c>
      <c r="Q119" s="42">
        <f>IF($A119="","","INV-"&amp;$A119)</f>
      </c>
      <c r="R119" s="42">
        <f>IF($H119="","",IF($H119&gt;'설정 Settings'!$C$36,"$2,000 초과: e-Transfer 나눠 받기 (F36)",""))</f>
      </c>
    </row>
    <row r="120" spans="12:18" x14ac:dyDescent="0.25">
      <c r="L120" s="41">
        <f>IF($C120="","",IF($I120="",ROUND(IFERROR($H120*VLOOKUP($F120,'설정 Settings'!$A$122:$F$130,4,0)+VLOOKUP($F120,'설정 Settings'!$A$122:$F$130,5,0),0),2),$I120))</f>
      </c>
      <c r="M120" s="41">
        <f>IF($C120="","",$H120-$L120)</f>
      </c>
      <c r="N120" s="42">
        <f>IF($C120="","",IF($I120="","추정 ESTIMATE","실제 ACTUAL"))</f>
      </c>
      <c r="O120" s="41">
        <f>IF($A120="","",SUMIFS('입금 Payments'!$C$3:$C$1002,'입금 Payments'!$B$3:$B$1002,$A120))</f>
      </c>
      <c r="P120" s="41">
        <f>IF($C120="","",ROUND($H120*(1+IF('설정 Settings'!$C$24="YES",'설정 Settings'!$C$26,0)),2)-N($O120))</f>
      </c>
      <c r="Q120" s="42">
        <f>IF($A120="","","INV-"&amp;$A120)</f>
      </c>
      <c r="R120" s="42">
        <f>IF($H120="","",IF($H120&gt;'설정 Settings'!$C$36,"$2,000 초과: e-Transfer 나눠 받기 (F36)",""))</f>
      </c>
    </row>
    <row r="121" spans="12:18" x14ac:dyDescent="0.25">
      <c r="L121" s="41">
        <f>IF($C121="","",IF($I121="",ROUND(IFERROR($H121*VLOOKUP($F121,'설정 Settings'!$A$122:$F$130,4,0)+VLOOKUP($F121,'설정 Settings'!$A$122:$F$130,5,0),0),2),$I121))</f>
      </c>
      <c r="M121" s="41">
        <f>IF($C121="","",$H121-$L121)</f>
      </c>
      <c r="N121" s="42">
        <f>IF($C121="","",IF($I121="","추정 ESTIMATE","실제 ACTUAL"))</f>
      </c>
      <c r="O121" s="41">
        <f>IF($A121="","",SUMIFS('입금 Payments'!$C$3:$C$1002,'입금 Payments'!$B$3:$B$1002,$A121))</f>
      </c>
      <c r="P121" s="41">
        <f>IF($C121="","",ROUND($H121*(1+IF('설정 Settings'!$C$24="YES",'설정 Settings'!$C$26,0)),2)-N($O121))</f>
      </c>
      <c r="Q121" s="42">
        <f>IF($A121="","","INV-"&amp;$A121)</f>
      </c>
      <c r="R121" s="42">
        <f>IF($H121="","",IF($H121&gt;'설정 Settings'!$C$36,"$2,000 초과: e-Transfer 나눠 받기 (F36)",""))</f>
      </c>
    </row>
    <row r="122" spans="12:18" x14ac:dyDescent="0.25">
      <c r="L122" s="41">
        <f>IF($C122="","",IF($I122="",ROUND(IFERROR($H122*VLOOKUP($F122,'설정 Settings'!$A$122:$F$130,4,0)+VLOOKUP($F122,'설정 Settings'!$A$122:$F$130,5,0),0),2),$I122))</f>
      </c>
      <c r="M122" s="41">
        <f>IF($C122="","",$H122-$L122)</f>
      </c>
      <c r="N122" s="42">
        <f>IF($C122="","",IF($I122="","추정 ESTIMATE","실제 ACTUAL"))</f>
      </c>
      <c r="O122" s="41">
        <f>IF($A122="","",SUMIFS('입금 Payments'!$C$3:$C$1002,'입금 Payments'!$B$3:$B$1002,$A122))</f>
      </c>
      <c r="P122" s="41">
        <f>IF($C122="","",ROUND($H122*(1+IF('설정 Settings'!$C$24="YES",'설정 Settings'!$C$26,0)),2)-N($O122))</f>
      </c>
      <c r="Q122" s="42">
        <f>IF($A122="","","INV-"&amp;$A122)</f>
      </c>
      <c r="R122" s="42">
        <f>IF($H122="","",IF($H122&gt;'설정 Settings'!$C$36,"$2,000 초과: e-Transfer 나눠 받기 (F36)",""))</f>
      </c>
    </row>
    <row r="123" spans="12:18" x14ac:dyDescent="0.25">
      <c r="L123" s="41">
        <f>IF($C123="","",IF($I123="",ROUND(IFERROR($H123*VLOOKUP($F123,'설정 Settings'!$A$122:$F$130,4,0)+VLOOKUP($F123,'설정 Settings'!$A$122:$F$130,5,0),0),2),$I123))</f>
      </c>
      <c r="M123" s="41">
        <f>IF($C123="","",$H123-$L123)</f>
      </c>
      <c r="N123" s="42">
        <f>IF($C123="","",IF($I123="","추정 ESTIMATE","실제 ACTUAL"))</f>
      </c>
      <c r="O123" s="41">
        <f>IF($A123="","",SUMIFS('입금 Payments'!$C$3:$C$1002,'입금 Payments'!$B$3:$B$1002,$A123))</f>
      </c>
      <c r="P123" s="41">
        <f>IF($C123="","",ROUND($H123*(1+IF('설정 Settings'!$C$24="YES",'설정 Settings'!$C$26,0)),2)-N($O123))</f>
      </c>
      <c r="Q123" s="42">
        <f>IF($A123="","","INV-"&amp;$A123)</f>
      </c>
      <c r="R123" s="42">
        <f>IF($H123="","",IF($H123&gt;'설정 Settings'!$C$36,"$2,000 초과: e-Transfer 나눠 받기 (F36)",""))</f>
      </c>
    </row>
    <row r="124" spans="12:18" x14ac:dyDescent="0.25">
      <c r="L124" s="41">
        <f>IF($C124="","",IF($I124="",ROUND(IFERROR($H124*VLOOKUP($F124,'설정 Settings'!$A$122:$F$130,4,0)+VLOOKUP($F124,'설정 Settings'!$A$122:$F$130,5,0),0),2),$I124))</f>
      </c>
      <c r="M124" s="41">
        <f>IF($C124="","",$H124-$L124)</f>
      </c>
      <c r="N124" s="42">
        <f>IF($C124="","",IF($I124="","추정 ESTIMATE","실제 ACTUAL"))</f>
      </c>
      <c r="O124" s="41">
        <f>IF($A124="","",SUMIFS('입금 Payments'!$C$3:$C$1002,'입금 Payments'!$B$3:$B$1002,$A124))</f>
      </c>
      <c r="P124" s="41">
        <f>IF($C124="","",ROUND($H124*(1+IF('설정 Settings'!$C$24="YES",'설정 Settings'!$C$26,0)),2)-N($O124))</f>
      </c>
      <c r="Q124" s="42">
        <f>IF($A124="","","INV-"&amp;$A124)</f>
      </c>
      <c r="R124" s="42">
        <f>IF($H124="","",IF($H124&gt;'설정 Settings'!$C$36,"$2,000 초과: e-Transfer 나눠 받기 (F36)",""))</f>
      </c>
    </row>
    <row r="125" spans="12:18" x14ac:dyDescent="0.25">
      <c r="L125" s="41">
        <f>IF($C125="","",IF($I125="",ROUND(IFERROR($H125*VLOOKUP($F125,'설정 Settings'!$A$122:$F$130,4,0)+VLOOKUP($F125,'설정 Settings'!$A$122:$F$130,5,0),0),2),$I125))</f>
      </c>
      <c r="M125" s="41">
        <f>IF($C125="","",$H125-$L125)</f>
      </c>
      <c r="N125" s="42">
        <f>IF($C125="","",IF($I125="","추정 ESTIMATE","실제 ACTUAL"))</f>
      </c>
      <c r="O125" s="41">
        <f>IF($A125="","",SUMIFS('입금 Payments'!$C$3:$C$1002,'입금 Payments'!$B$3:$B$1002,$A125))</f>
      </c>
      <c r="P125" s="41">
        <f>IF($C125="","",ROUND($H125*(1+IF('설정 Settings'!$C$24="YES",'설정 Settings'!$C$26,0)),2)-N($O125))</f>
      </c>
      <c r="Q125" s="42">
        <f>IF($A125="","","INV-"&amp;$A125)</f>
      </c>
      <c r="R125" s="42">
        <f>IF($H125="","",IF($H125&gt;'설정 Settings'!$C$36,"$2,000 초과: e-Transfer 나눠 받기 (F36)",""))</f>
      </c>
    </row>
    <row r="126" spans="12:18" x14ac:dyDescent="0.25">
      <c r="L126" s="41">
        <f>IF($C126="","",IF($I126="",ROUND(IFERROR($H126*VLOOKUP($F126,'설정 Settings'!$A$122:$F$130,4,0)+VLOOKUP($F126,'설정 Settings'!$A$122:$F$130,5,0),0),2),$I126))</f>
      </c>
      <c r="M126" s="41">
        <f>IF($C126="","",$H126-$L126)</f>
      </c>
      <c r="N126" s="42">
        <f>IF($C126="","",IF($I126="","추정 ESTIMATE","실제 ACTUAL"))</f>
      </c>
      <c r="O126" s="41">
        <f>IF($A126="","",SUMIFS('입금 Payments'!$C$3:$C$1002,'입금 Payments'!$B$3:$B$1002,$A126))</f>
      </c>
      <c r="P126" s="41">
        <f>IF($C126="","",ROUND($H126*(1+IF('설정 Settings'!$C$24="YES",'설정 Settings'!$C$26,0)),2)-N($O126))</f>
      </c>
      <c r="Q126" s="42">
        <f>IF($A126="","","INV-"&amp;$A126)</f>
      </c>
      <c r="R126" s="42">
        <f>IF($H126="","",IF($H126&gt;'설정 Settings'!$C$36,"$2,000 초과: e-Transfer 나눠 받기 (F36)",""))</f>
      </c>
    </row>
    <row r="127" spans="12:18" x14ac:dyDescent="0.25">
      <c r="L127" s="41">
        <f>IF($C127="","",IF($I127="",ROUND(IFERROR($H127*VLOOKUP($F127,'설정 Settings'!$A$122:$F$130,4,0)+VLOOKUP($F127,'설정 Settings'!$A$122:$F$130,5,0),0),2),$I127))</f>
      </c>
      <c r="M127" s="41">
        <f>IF($C127="","",$H127-$L127)</f>
      </c>
      <c r="N127" s="42">
        <f>IF($C127="","",IF($I127="","추정 ESTIMATE","실제 ACTUAL"))</f>
      </c>
      <c r="O127" s="41">
        <f>IF($A127="","",SUMIFS('입금 Payments'!$C$3:$C$1002,'입금 Payments'!$B$3:$B$1002,$A127))</f>
      </c>
      <c r="P127" s="41">
        <f>IF($C127="","",ROUND($H127*(1+IF('설정 Settings'!$C$24="YES",'설정 Settings'!$C$26,0)),2)-N($O127))</f>
      </c>
      <c r="Q127" s="42">
        <f>IF($A127="","","INV-"&amp;$A127)</f>
      </c>
      <c r="R127" s="42">
        <f>IF($H127="","",IF($H127&gt;'설정 Settings'!$C$36,"$2,000 초과: e-Transfer 나눠 받기 (F36)",""))</f>
      </c>
    </row>
    <row r="128" spans="12:18" x14ac:dyDescent="0.25">
      <c r="L128" s="41">
        <f>IF($C128="","",IF($I128="",ROUND(IFERROR($H128*VLOOKUP($F128,'설정 Settings'!$A$122:$F$130,4,0)+VLOOKUP($F128,'설정 Settings'!$A$122:$F$130,5,0),0),2),$I128))</f>
      </c>
      <c r="M128" s="41">
        <f>IF($C128="","",$H128-$L128)</f>
      </c>
      <c r="N128" s="42">
        <f>IF($C128="","",IF($I128="","추정 ESTIMATE","실제 ACTUAL"))</f>
      </c>
      <c r="O128" s="41">
        <f>IF($A128="","",SUMIFS('입금 Payments'!$C$3:$C$1002,'입금 Payments'!$B$3:$B$1002,$A128))</f>
      </c>
      <c r="P128" s="41">
        <f>IF($C128="","",ROUND($H128*(1+IF('설정 Settings'!$C$24="YES",'설정 Settings'!$C$26,0)),2)-N($O128))</f>
      </c>
      <c r="Q128" s="42">
        <f>IF($A128="","","INV-"&amp;$A128)</f>
      </c>
      <c r="R128" s="42">
        <f>IF($H128="","",IF($H128&gt;'설정 Settings'!$C$36,"$2,000 초과: e-Transfer 나눠 받기 (F36)",""))</f>
      </c>
    </row>
    <row r="129" spans="12:18" x14ac:dyDescent="0.25">
      <c r="L129" s="41">
        <f>IF($C129="","",IF($I129="",ROUND(IFERROR($H129*VLOOKUP($F129,'설정 Settings'!$A$122:$F$130,4,0)+VLOOKUP($F129,'설정 Settings'!$A$122:$F$130,5,0),0),2),$I129))</f>
      </c>
      <c r="M129" s="41">
        <f>IF($C129="","",$H129-$L129)</f>
      </c>
      <c r="N129" s="42">
        <f>IF($C129="","",IF($I129="","추정 ESTIMATE","실제 ACTUAL"))</f>
      </c>
      <c r="O129" s="41">
        <f>IF($A129="","",SUMIFS('입금 Payments'!$C$3:$C$1002,'입금 Payments'!$B$3:$B$1002,$A129))</f>
      </c>
      <c r="P129" s="41">
        <f>IF($C129="","",ROUND($H129*(1+IF('설정 Settings'!$C$24="YES",'설정 Settings'!$C$26,0)),2)-N($O129))</f>
      </c>
      <c r="Q129" s="42">
        <f>IF($A129="","","INV-"&amp;$A129)</f>
      </c>
      <c r="R129" s="42">
        <f>IF($H129="","",IF($H129&gt;'설정 Settings'!$C$36,"$2,000 초과: e-Transfer 나눠 받기 (F36)",""))</f>
      </c>
    </row>
    <row r="130" spans="12:18" x14ac:dyDescent="0.25">
      <c r="L130" s="41">
        <f>IF($C130="","",IF($I130="",ROUND(IFERROR($H130*VLOOKUP($F130,'설정 Settings'!$A$122:$F$130,4,0)+VLOOKUP($F130,'설정 Settings'!$A$122:$F$130,5,0),0),2),$I130))</f>
      </c>
      <c r="M130" s="41">
        <f>IF($C130="","",$H130-$L130)</f>
      </c>
      <c r="N130" s="42">
        <f>IF($C130="","",IF($I130="","추정 ESTIMATE","실제 ACTUAL"))</f>
      </c>
      <c r="O130" s="41">
        <f>IF($A130="","",SUMIFS('입금 Payments'!$C$3:$C$1002,'입금 Payments'!$B$3:$B$1002,$A130))</f>
      </c>
      <c r="P130" s="41">
        <f>IF($C130="","",ROUND($H130*(1+IF('설정 Settings'!$C$24="YES",'설정 Settings'!$C$26,0)),2)-N($O130))</f>
      </c>
      <c r="Q130" s="42">
        <f>IF($A130="","","INV-"&amp;$A130)</f>
      </c>
      <c r="R130" s="42">
        <f>IF($H130="","",IF($H130&gt;'설정 Settings'!$C$36,"$2,000 초과: e-Transfer 나눠 받기 (F36)",""))</f>
      </c>
    </row>
    <row r="131" spans="12:18" x14ac:dyDescent="0.25">
      <c r="L131" s="41">
        <f>IF($C131="","",IF($I131="",ROUND(IFERROR($H131*VLOOKUP($F131,'설정 Settings'!$A$122:$F$130,4,0)+VLOOKUP($F131,'설정 Settings'!$A$122:$F$130,5,0),0),2),$I131))</f>
      </c>
      <c r="M131" s="41">
        <f>IF($C131="","",$H131-$L131)</f>
      </c>
      <c r="N131" s="42">
        <f>IF($C131="","",IF($I131="","추정 ESTIMATE","실제 ACTUAL"))</f>
      </c>
      <c r="O131" s="41">
        <f>IF($A131="","",SUMIFS('입금 Payments'!$C$3:$C$1002,'입금 Payments'!$B$3:$B$1002,$A131))</f>
      </c>
      <c r="P131" s="41">
        <f>IF($C131="","",ROUND($H131*(1+IF('설정 Settings'!$C$24="YES",'설정 Settings'!$C$26,0)),2)-N($O131))</f>
      </c>
      <c r="Q131" s="42">
        <f>IF($A131="","","INV-"&amp;$A131)</f>
      </c>
      <c r="R131" s="42">
        <f>IF($H131="","",IF($H131&gt;'설정 Settings'!$C$36,"$2,000 초과: e-Transfer 나눠 받기 (F36)",""))</f>
      </c>
    </row>
    <row r="132" spans="12:18" x14ac:dyDescent="0.25">
      <c r="L132" s="41">
        <f>IF($C132="","",IF($I132="",ROUND(IFERROR($H132*VLOOKUP($F132,'설정 Settings'!$A$122:$F$130,4,0)+VLOOKUP($F132,'설정 Settings'!$A$122:$F$130,5,0),0),2),$I132))</f>
      </c>
      <c r="M132" s="41">
        <f>IF($C132="","",$H132-$L132)</f>
      </c>
      <c r="N132" s="42">
        <f>IF($C132="","",IF($I132="","추정 ESTIMATE","실제 ACTUAL"))</f>
      </c>
      <c r="O132" s="41">
        <f>IF($A132="","",SUMIFS('입금 Payments'!$C$3:$C$1002,'입금 Payments'!$B$3:$B$1002,$A132))</f>
      </c>
      <c r="P132" s="41">
        <f>IF($C132="","",ROUND($H132*(1+IF('설정 Settings'!$C$24="YES",'설정 Settings'!$C$26,0)),2)-N($O132))</f>
      </c>
      <c r="Q132" s="42">
        <f>IF($A132="","","INV-"&amp;$A132)</f>
      </c>
      <c r="R132" s="42">
        <f>IF($H132="","",IF($H132&gt;'설정 Settings'!$C$36,"$2,000 초과: e-Transfer 나눠 받기 (F36)",""))</f>
      </c>
    </row>
    <row r="133" spans="12:18" x14ac:dyDescent="0.25">
      <c r="L133" s="41">
        <f>IF($C133="","",IF($I133="",ROUND(IFERROR($H133*VLOOKUP($F133,'설정 Settings'!$A$122:$F$130,4,0)+VLOOKUP($F133,'설정 Settings'!$A$122:$F$130,5,0),0),2),$I133))</f>
      </c>
      <c r="M133" s="41">
        <f>IF($C133="","",$H133-$L133)</f>
      </c>
      <c r="N133" s="42">
        <f>IF($C133="","",IF($I133="","추정 ESTIMATE","실제 ACTUAL"))</f>
      </c>
      <c r="O133" s="41">
        <f>IF($A133="","",SUMIFS('입금 Payments'!$C$3:$C$1002,'입금 Payments'!$B$3:$B$1002,$A133))</f>
      </c>
      <c r="P133" s="41">
        <f>IF($C133="","",ROUND($H133*(1+IF('설정 Settings'!$C$24="YES",'설정 Settings'!$C$26,0)),2)-N($O133))</f>
      </c>
      <c r="Q133" s="42">
        <f>IF($A133="","","INV-"&amp;$A133)</f>
      </c>
      <c r="R133" s="42">
        <f>IF($H133="","",IF($H133&gt;'설정 Settings'!$C$36,"$2,000 초과: e-Transfer 나눠 받기 (F36)",""))</f>
      </c>
    </row>
    <row r="134" spans="12:18" x14ac:dyDescent="0.25">
      <c r="L134" s="41">
        <f>IF($C134="","",IF($I134="",ROUND(IFERROR($H134*VLOOKUP($F134,'설정 Settings'!$A$122:$F$130,4,0)+VLOOKUP($F134,'설정 Settings'!$A$122:$F$130,5,0),0),2),$I134))</f>
      </c>
      <c r="M134" s="41">
        <f>IF($C134="","",$H134-$L134)</f>
      </c>
      <c r="N134" s="42">
        <f>IF($C134="","",IF($I134="","추정 ESTIMATE","실제 ACTUAL"))</f>
      </c>
      <c r="O134" s="41">
        <f>IF($A134="","",SUMIFS('입금 Payments'!$C$3:$C$1002,'입금 Payments'!$B$3:$B$1002,$A134))</f>
      </c>
      <c r="P134" s="41">
        <f>IF($C134="","",ROUND($H134*(1+IF('설정 Settings'!$C$24="YES",'설정 Settings'!$C$26,0)),2)-N($O134))</f>
      </c>
      <c r="Q134" s="42">
        <f>IF($A134="","","INV-"&amp;$A134)</f>
      </c>
      <c r="R134" s="42">
        <f>IF($H134="","",IF($H134&gt;'설정 Settings'!$C$36,"$2,000 초과: e-Transfer 나눠 받기 (F36)",""))</f>
      </c>
    </row>
    <row r="135" spans="12:18" x14ac:dyDescent="0.25">
      <c r="L135" s="41">
        <f>IF($C135="","",IF($I135="",ROUND(IFERROR($H135*VLOOKUP($F135,'설정 Settings'!$A$122:$F$130,4,0)+VLOOKUP($F135,'설정 Settings'!$A$122:$F$130,5,0),0),2),$I135))</f>
      </c>
      <c r="M135" s="41">
        <f>IF($C135="","",$H135-$L135)</f>
      </c>
      <c r="N135" s="42">
        <f>IF($C135="","",IF($I135="","추정 ESTIMATE","실제 ACTUAL"))</f>
      </c>
      <c r="O135" s="41">
        <f>IF($A135="","",SUMIFS('입금 Payments'!$C$3:$C$1002,'입금 Payments'!$B$3:$B$1002,$A135))</f>
      </c>
      <c r="P135" s="41">
        <f>IF($C135="","",ROUND($H135*(1+IF('설정 Settings'!$C$24="YES",'설정 Settings'!$C$26,0)),2)-N($O135))</f>
      </c>
      <c r="Q135" s="42">
        <f>IF($A135="","","INV-"&amp;$A135)</f>
      </c>
      <c r="R135" s="42">
        <f>IF($H135="","",IF($H135&gt;'설정 Settings'!$C$36,"$2,000 초과: e-Transfer 나눠 받기 (F36)",""))</f>
      </c>
    </row>
    <row r="136" spans="12:18" x14ac:dyDescent="0.25">
      <c r="L136" s="41">
        <f>IF($C136="","",IF($I136="",ROUND(IFERROR($H136*VLOOKUP($F136,'설정 Settings'!$A$122:$F$130,4,0)+VLOOKUP($F136,'설정 Settings'!$A$122:$F$130,5,0),0),2),$I136))</f>
      </c>
      <c r="M136" s="41">
        <f>IF($C136="","",$H136-$L136)</f>
      </c>
      <c r="N136" s="42">
        <f>IF($C136="","",IF($I136="","추정 ESTIMATE","실제 ACTUAL"))</f>
      </c>
      <c r="O136" s="41">
        <f>IF($A136="","",SUMIFS('입금 Payments'!$C$3:$C$1002,'입금 Payments'!$B$3:$B$1002,$A136))</f>
      </c>
      <c r="P136" s="41">
        <f>IF($C136="","",ROUND($H136*(1+IF('설정 Settings'!$C$24="YES",'설정 Settings'!$C$26,0)),2)-N($O136))</f>
      </c>
      <c r="Q136" s="42">
        <f>IF($A136="","","INV-"&amp;$A136)</f>
      </c>
      <c r="R136" s="42">
        <f>IF($H136="","",IF($H136&gt;'설정 Settings'!$C$36,"$2,000 초과: e-Transfer 나눠 받기 (F36)",""))</f>
      </c>
    </row>
    <row r="137" spans="12:18" x14ac:dyDescent="0.25">
      <c r="L137" s="41">
        <f>IF($C137="","",IF($I137="",ROUND(IFERROR($H137*VLOOKUP($F137,'설정 Settings'!$A$122:$F$130,4,0)+VLOOKUP($F137,'설정 Settings'!$A$122:$F$130,5,0),0),2),$I137))</f>
      </c>
      <c r="M137" s="41">
        <f>IF($C137="","",$H137-$L137)</f>
      </c>
      <c r="N137" s="42">
        <f>IF($C137="","",IF($I137="","추정 ESTIMATE","실제 ACTUAL"))</f>
      </c>
      <c r="O137" s="41">
        <f>IF($A137="","",SUMIFS('입금 Payments'!$C$3:$C$1002,'입금 Payments'!$B$3:$B$1002,$A137))</f>
      </c>
      <c r="P137" s="41">
        <f>IF($C137="","",ROUND($H137*(1+IF('설정 Settings'!$C$24="YES",'설정 Settings'!$C$26,0)),2)-N($O137))</f>
      </c>
      <c r="Q137" s="42">
        <f>IF($A137="","","INV-"&amp;$A137)</f>
      </c>
      <c r="R137" s="42">
        <f>IF($H137="","",IF($H137&gt;'설정 Settings'!$C$36,"$2,000 초과: e-Transfer 나눠 받기 (F36)",""))</f>
      </c>
    </row>
    <row r="138" spans="12:18" x14ac:dyDescent="0.25">
      <c r="L138" s="41">
        <f>IF($C138="","",IF($I138="",ROUND(IFERROR($H138*VLOOKUP($F138,'설정 Settings'!$A$122:$F$130,4,0)+VLOOKUP($F138,'설정 Settings'!$A$122:$F$130,5,0),0),2),$I138))</f>
      </c>
      <c r="M138" s="41">
        <f>IF($C138="","",$H138-$L138)</f>
      </c>
      <c r="N138" s="42">
        <f>IF($C138="","",IF($I138="","추정 ESTIMATE","실제 ACTUAL"))</f>
      </c>
      <c r="O138" s="41">
        <f>IF($A138="","",SUMIFS('입금 Payments'!$C$3:$C$1002,'입금 Payments'!$B$3:$B$1002,$A138))</f>
      </c>
      <c r="P138" s="41">
        <f>IF($C138="","",ROUND($H138*(1+IF('설정 Settings'!$C$24="YES",'설정 Settings'!$C$26,0)),2)-N($O138))</f>
      </c>
      <c r="Q138" s="42">
        <f>IF($A138="","","INV-"&amp;$A138)</f>
      </c>
      <c r="R138" s="42">
        <f>IF($H138="","",IF($H138&gt;'설정 Settings'!$C$36,"$2,000 초과: e-Transfer 나눠 받기 (F36)",""))</f>
      </c>
    </row>
    <row r="139" spans="12:18" x14ac:dyDescent="0.25">
      <c r="L139" s="41">
        <f>IF($C139="","",IF($I139="",ROUND(IFERROR($H139*VLOOKUP($F139,'설정 Settings'!$A$122:$F$130,4,0)+VLOOKUP($F139,'설정 Settings'!$A$122:$F$130,5,0),0),2),$I139))</f>
      </c>
      <c r="M139" s="41">
        <f>IF($C139="","",$H139-$L139)</f>
      </c>
      <c r="N139" s="42">
        <f>IF($C139="","",IF($I139="","추정 ESTIMATE","실제 ACTUAL"))</f>
      </c>
      <c r="O139" s="41">
        <f>IF($A139="","",SUMIFS('입금 Payments'!$C$3:$C$1002,'입금 Payments'!$B$3:$B$1002,$A139))</f>
      </c>
      <c r="P139" s="41">
        <f>IF($C139="","",ROUND($H139*(1+IF('설정 Settings'!$C$24="YES",'설정 Settings'!$C$26,0)),2)-N($O139))</f>
      </c>
      <c r="Q139" s="42">
        <f>IF($A139="","","INV-"&amp;$A139)</f>
      </c>
      <c r="R139" s="42">
        <f>IF($H139="","",IF($H139&gt;'설정 Settings'!$C$36,"$2,000 초과: e-Transfer 나눠 받기 (F36)",""))</f>
      </c>
    </row>
    <row r="140" spans="12:18" x14ac:dyDescent="0.25">
      <c r="L140" s="41">
        <f>IF($C140="","",IF($I140="",ROUND(IFERROR($H140*VLOOKUP($F140,'설정 Settings'!$A$122:$F$130,4,0)+VLOOKUP($F140,'설정 Settings'!$A$122:$F$130,5,0),0),2),$I140))</f>
      </c>
      <c r="M140" s="41">
        <f>IF($C140="","",$H140-$L140)</f>
      </c>
      <c r="N140" s="42">
        <f>IF($C140="","",IF($I140="","추정 ESTIMATE","실제 ACTUAL"))</f>
      </c>
      <c r="O140" s="41">
        <f>IF($A140="","",SUMIFS('입금 Payments'!$C$3:$C$1002,'입금 Payments'!$B$3:$B$1002,$A140))</f>
      </c>
      <c r="P140" s="41">
        <f>IF($C140="","",ROUND($H140*(1+IF('설정 Settings'!$C$24="YES",'설정 Settings'!$C$26,0)),2)-N($O140))</f>
      </c>
      <c r="Q140" s="42">
        <f>IF($A140="","","INV-"&amp;$A140)</f>
      </c>
      <c r="R140" s="42">
        <f>IF($H140="","",IF($H140&gt;'설정 Settings'!$C$36,"$2,000 초과: e-Transfer 나눠 받기 (F36)",""))</f>
      </c>
    </row>
    <row r="141" spans="12:18" x14ac:dyDescent="0.25">
      <c r="L141" s="41">
        <f>IF($C141="","",IF($I141="",ROUND(IFERROR($H141*VLOOKUP($F141,'설정 Settings'!$A$122:$F$130,4,0)+VLOOKUP($F141,'설정 Settings'!$A$122:$F$130,5,0),0),2),$I141))</f>
      </c>
      <c r="M141" s="41">
        <f>IF($C141="","",$H141-$L141)</f>
      </c>
      <c r="N141" s="42">
        <f>IF($C141="","",IF($I141="","추정 ESTIMATE","실제 ACTUAL"))</f>
      </c>
      <c r="O141" s="41">
        <f>IF($A141="","",SUMIFS('입금 Payments'!$C$3:$C$1002,'입금 Payments'!$B$3:$B$1002,$A141))</f>
      </c>
      <c r="P141" s="41">
        <f>IF($C141="","",ROUND($H141*(1+IF('설정 Settings'!$C$24="YES",'설정 Settings'!$C$26,0)),2)-N($O141))</f>
      </c>
      <c r="Q141" s="42">
        <f>IF($A141="","","INV-"&amp;$A141)</f>
      </c>
      <c r="R141" s="42">
        <f>IF($H141="","",IF($H141&gt;'설정 Settings'!$C$36,"$2,000 초과: e-Transfer 나눠 받기 (F36)",""))</f>
      </c>
    </row>
    <row r="142" spans="12:18" x14ac:dyDescent="0.25">
      <c r="L142" s="41">
        <f>IF($C142="","",IF($I142="",ROUND(IFERROR($H142*VLOOKUP($F142,'설정 Settings'!$A$122:$F$130,4,0)+VLOOKUP($F142,'설정 Settings'!$A$122:$F$130,5,0),0),2),$I142))</f>
      </c>
      <c r="M142" s="41">
        <f>IF($C142="","",$H142-$L142)</f>
      </c>
      <c r="N142" s="42">
        <f>IF($C142="","",IF($I142="","추정 ESTIMATE","실제 ACTUAL"))</f>
      </c>
      <c r="O142" s="41">
        <f>IF($A142="","",SUMIFS('입금 Payments'!$C$3:$C$1002,'입금 Payments'!$B$3:$B$1002,$A142))</f>
      </c>
      <c r="P142" s="41">
        <f>IF($C142="","",ROUND($H142*(1+IF('설정 Settings'!$C$24="YES",'설정 Settings'!$C$26,0)),2)-N($O142))</f>
      </c>
      <c r="Q142" s="42">
        <f>IF($A142="","","INV-"&amp;$A142)</f>
      </c>
      <c r="R142" s="42">
        <f>IF($H142="","",IF($H142&gt;'설정 Settings'!$C$36,"$2,000 초과: e-Transfer 나눠 받기 (F36)",""))</f>
      </c>
    </row>
    <row r="143" spans="12:18" x14ac:dyDescent="0.25">
      <c r="L143" s="41">
        <f>IF($C143="","",IF($I143="",ROUND(IFERROR($H143*VLOOKUP($F143,'설정 Settings'!$A$122:$F$130,4,0)+VLOOKUP($F143,'설정 Settings'!$A$122:$F$130,5,0),0),2),$I143))</f>
      </c>
      <c r="M143" s="41">
        <f>IF($C143="","",$H143-$L143)</f>
      </c>
      <c r="N143" s="42">
        <f>IF($C143="","",IF($I143="","추정 ESTIMATE","실제 ACTUAL"))</f>
      </c>
      <c r="O143" s="41">
        <f>IF($A143="","",SUMIFS('입금 Payments'!$C$3:$C$1002,'입금 Payments'!$B$3:$B$1002,$A143))</f>
      </c>
      <c r="P143" s="41">
        <f>IF($C143="","",ROUND($H143*(1+IF('설정 Settings'!$C$24="YES",'설정 Settings'!$C$26,0)),2)-N($O143))</f>
      </c>
      <c r="Q143" s="42">
        <f>IF($A143="","","INV-"&amp;$A143)</f>
      </c>
      <c r="R143" s="42">
        <f>IF($H143="","",IF($H143&gt;'설정 Settings'!$C$36,"$2,000 초과: e-Transfer 나눠 받기 (F36)",""))</f>
      </c>
    </row>
    <row r="144" spans="12:18" x14ac:dyDescent="0.25">
      <c r="L144" s="41">
        <f>IF($C144="","",IF($I144="",ROUND(IFERROR($H144*VLOOKUP($F144,'설정 Settings'!$A$122:$F$130,4,0)+VLOOKUP($F144,'설정 Settings'!$A$122:$F$130,5,0),0),2),$I144))</f>
      </c>
      <c r="M144" s="41">
        <f>IF($C144="","",$H144-$L144)</f>
      </c>
      <c r="N144" s="42">
        <f>IF($C144="","",IF($I144="","추정 ESTIMATE","실제 ACTUAL"))</f>
      </c>
      <c r="O144" s="41">
        <f>IF($A144="","",SUMIFS('입금 Payments'!$C$3:$C$1002,'입금 Payments'!$B$3:$B$1002,$A144))</f>
      </c>
      <c r="P144" s="41">
        <f>IF($C144="","",ROUND($H144*(1+IF('설정 Settings'!$C$24="YES",'설정 Settings'!$C$26,0)),2)-N($O144))</f>
      </c>
      <c r="Q144" s="42">
        <f>IF($A144="","","INV-"&amp;$A144)</f>
      </c>
      <c r="R144" s="42">
        <f>IF($H144="","",IF($H144&gt;'설정 Settings'!$C$36,"$2,000 초과: e-Transfer 나눠 받기 (F36)",""))</f>
      </c>
    </row>
    <row r="145" spans="12:18" x14ac:dyDescent="0.25">
      <c r="L145" s="41">
        <f>IF($C145="","",IF($I145="",ROUND(IFERROR($H145*VLOOKUP($F145,'설정 Settings'!$A$122:$F$130,4,0)+VLOOKUP($F145,'설정 Settings'!$A$122:$F$130,5,0),0),2),$I145))</f>
      </c>
      <c r="M145" s="41">
        <f>IF($C145="","",$H145-$L145)</f>
      </c>
      <c r="N145" s="42">
        <f>IF($C145="","",IF($I145="","추정 ESTIMATE","실제 ACTUAL"))</f>
      </c>
      <c r="O145" s="41">
        <f>IF($A145="","",SUMIFS('입금 Payments'!$C$3:$C$1002,'입금 Payments'!$B$3:$B$1002,$A145))</f>
      </c>
      <c r="P145" s="41">
        <f>IF($C145="","",ROUND($H145*(1+IF('설정 Settings'!$C$24="YES",'설정 Settings'!$C$26,0)),2)-N($O145))</f>
      </c>
      <c r="Q145" s="42">
        <f>IF($A145="","","INV-"&amp;$A145)</f>
      </c>
      <c r="R145" s="42">
        <f>IF($H145="","",IF($H145&gt;'설정 Settings'!$C$36,"$2,000 초과: e-Transfer 나눠 받기 (F36)",""))</f>
      </c>
    </row>
    <row r="146" spans="12:18" x14ac:dyDescent="0.25">
      <c r="L146" s="41">
        <f>IF($C146="","",IF($I146="",ROUND(IFERROR($H146*VLOOKUP($F146,'설정 Settings'!$A$122:$F$130,4,0)+VLOOKUP($F146,'설정 Settings'!$A$122:$F$130,5,0),0),2),$I146))</f>
      </c>
      <c r="M146" s="41">
        <f>IF($C146="","",$H146-$L146)</f>
      </c>
      <c r="N146" s="42">
        <f>IF($C146="","",IF($I146="","추정 ESTIMATE","실제 ACTUAL"))</f>
      </c>
      <c r="O146" s="41">
        <f>IF($A146="","",SUMIFS('입금 Payments'!$C$3:$C$1002,'입금 Payments'!$B$3:$B$1002,$A146))</f>
      </c>
      <c r="P146" s="41">
        <f>IF($C146="","",ROUND($H146*(1+IF('설정 Settings'!$C$24="YES",'설정 Settings'!$C$26,0)),2)-N($O146))</f>
      </c>
      <c r="Q146" s="42">
        <f>IF($A146="","","INV-"&amp;$A146)</f>
      </c>
      <c r="R146" s="42">
        <f>IF($H146="","",IF($H146&gt;'설정 Settings'!$C$36,"$2,000 초과: e-Transfer 나눠 받기 (F36)",""))</f>
      </c>
    </row>
    <row r="147" spans="12:18" x14ac:dyDescent="0.25">
      <c r="L147" s="41">
        <f>IF($C147="","",IF($I147="",ROUND(IFERROR($H147*VLOOKUP($F147,'설정 Settings'!$A$122:$F$130,4,0)+VLOOKUP($F147,'설정 Settings'!$A$122:$F$130,5,0),0),2),$I147))</f>
      </c>
      <c r="M147" s="41">
        <f>IF($C147="","",$H147-$L147)</f>
      </c>
      <c r="N147" s="42">
        <f>IF($C147="","",IF($I147="","추정 ESTIMATE","실제 ACTUAL"))</f>
      </c>
      <c r="O147" s="41">
        <f>IF($A147="","",SUMIFS('입금 Payments'!$C$3:$C$1002,'입금 Payments'!$B$3:$B$1002,$A147))</f>
      </c>
      <c r="P147" s="41">
        <f>IF($C147="","",ROUND($H147*(1+IF('설정 Settings'!$C$24="YES",'설정 Settings'!$C$26,0)),2)-N($O147))</f>
      </c>
      <c r="Q147" s="42">
        <f>IF($A147="","","INV-"&amp;$A147)</f>
      </c>
      <c r="R147" s="42">
        <f>IF($H147="","",IF($H147&gt;'설정 Settings'!$C$36,"$2,000 초과: e-Transfer 나눠 받기 (F36)",""))</f>
      </c>
    </row>
    <row r="148" spans="12:18" x14ac:dyDescent="0.25">
      <c r="L148" s="41">
        <f>IF($C148="","",IF($I148="",ROUND(IFERROR($H148*VLOOKUP($F148,'설정 Settings'!$A$122:$F$130,4,0)+VLOOKUP($F148,'설정 Settings'!$A$122:$F$130,5,0),0),2),$I148))</f>
      </c>
      <c r="M148" s="41">
        <f>IF($C148="","",$H148-$L148)</f>
      </c>
      <c r="N148" s="42">
        <f>IF($C148="","",IF($I148="","추정 ESTIMATE","실제 ACTUAL"))</f>
      </c>
      <c r="O148" s="41">
        <f>IF($A148="","",SUMIFS('입금 Payments'!$C$3:$C$1002,'입금 Payments'!$B$3:$B$1002,$A148))</f>
      </c>
      <c r="P148" s="41">
        <f>IF($C148="","",ROUND($H148*(1+IF('설정 Settings'!$C$24="YES",'설정 Settings'!$C$26,0)),2)-N($O148))</f>
      </c>
      <c r="Q148" s="42">
        <f>IF($A148="","","INV-"&amp;$A148)</f>
      </c>
      <c r="R148" s="42">
        <f>IF($H148="","",IF($H148&gt;'설정 Settings'!$C$36,"$2,000 초과: e-Transfer 나눠 받기 (F36)",""))</f>
      </c>
    </row>
    <row r="149" spans="12:18" x14ac:dyDescent="0.25">
      <c r="L149" s="41">
        <f>IF($C149="","",IF($I149="",ROUND(IFERROR($H149*VLOOKUP($F149,'설정 Settings'!$A$122:$F$130,4,0)+VLOOKUP($F149,'설정 Settings'!$A$122:$F$130,5,0),0),2),$I149))</f>
      </c>
      <c r="M149" s="41">
        <f>IF($C149="","",$H149-$L149)</f>
      </c>
      <c r="N149" s="42">
        <f>IF($C149="","",IF($I149="","추정 ESTIMATE","실제 ACTUAL"))</f>
      </c>
      <c r="O149" s="41">
        <f>IF($A149="","",SUMIFS('입금 Payments'!$C$3:$C$1002,'입금 Payments'!$B$3:$B$1002,$A149))</f>
      </c>
      <c r="P149" s="41">
        <f>IF($C149="","",ROUND($H149*(1+IF('설정 Settings'!$C$24="YES",'설정 Settings'!$C$26,0)),2)-N($O149))</f>
      </c>
      <c r="Q149" s="42">
        <f>IF($A149="","","INV-"&amp;$A149)</f>
      </c>
      <c r="R149" s="42">
        <f>IF($H149="","",IF($H149&gt;'설정 Settings'!$C$36,"$2,000 초과: e-Transfer 나눠 받기 (F36)",""))</f>
      </c>
    </row>
    <row r="150" spans="12:18" x14ac:dyDescent="0.25">
      <c r="L150" s="41">
        <f>IF($C150="","",IF($I150="",ROUND(IFERROR($H150*VLOOKUP($F150,'설정 Settings'!$A$122:$F$130,4,0)+VLOOKUP($F150,'설정 Settings'!$A$122:$F$130,5,0),0),2),$I150))</f>
      </c>
      <c r="M150" s="41">
        <f>IF($C150="","",$H150-$L150)</f>
      </c>
      <c r="N150" s="42">
        <f>IF($C150="","",IF($I150="","추정 ESTIMATE","실제 ACTUAL"))</f>
      </c>
      <c r="O150" s="41">
        <f>IF($A150="","",SUMIFS('입금 Payments'!$C$3:$C$1002,'입금 Payments'!$B$3:$B$1002,$A150))</f>
      </c>
      <c r="P150" s="41">
        <f>IF($C150="","",ROUND($H150*(1+IF('설정 Settings'!$C$24="YES",'설정 Settings'!$C$26,0)),2)-N($O150))</f>
      </c>
      <c r="Q150" s="42">
        <f>IF($A150="","","INV-"&amp;$A150)</f>
      </c>
      <c r="R150" s="42">
        <f>IF($H150="","",IF($H150&gt;'설정 Settings'!$C$36,"$2,000 초과: e-Transfer 나눠 받기 (F36)",""))</f>
      </c>
    </row>
    <row r="151" spans="12:18" x14ac:dyDescent="0.25">
      <c r="L151" s="41">
        <f>IF($C151="","",IF($I151="",ROUND(IFERROR($H151*VLOOKUP($F151,'설정 Settings'!$A$122:$F$130,4,0)+VLOOKUP($F151,'설정 Settings'!$A$122:$F$130,5,0),0),2),$I151))</f>
      </c>
      <c r="M151" s="41">
        <f>IF($C151="","",$H151-$L151)</f>
      </c>
      <c r="N151" s="42">
        <f>IF($C151="","",IF($I151="","추정 ESTIMATE","실제 ACTUAL"))</f>
      </c>
      <c r="O151" s="41">
        <f>IF($A151="","",SUMIFS('입금 Payments'!$C$3:$C$1002,'입금 Payments'!$B$3:$B$1002,$A151))</f>
      </c>
      <c r="P151" s="41">
        <f>IF($C151="","",ROUND($H151*(1+IF('설정 Settings'!$C$24="YES",'설정 Settings'!$C$26,0)),2)-N($O151))</f>
      </c>
      <c r="Q151" s="42">
        <f>IF($A151="","","INV-"&amp;$A151)</f>
      </c>
      <c r="R151" s="42">
        <f>IF($H151="","",IF($H151&gt;'설정 Settings'!$C$36,"$2,000 초과: e-Transfer 나눠 받기 (F36)",""))</f>
      </c>
    </row>
    <row r="152" spans="12:18" x14ac:dyDescent="0.25">
      <c r="L152" s="41">
        <f>IF($C152="","",IF($I152="",ROUND(IFERROR($H152*VLOOKUP($F152,'설정 Settings'!$A$122:$F$130,4,0)+VLOOKUP($F152,'설정 Settings'!$A$122:$F$130,5,0),0),2),$I152))</f>
      </c>
      <c r="M152" s="41">
        <f>IF($C152="","",$H152-$L152)</f>
      </c>
      <c r="N152" s="42">
        <f>IF($C152="","",IF($I152="","추정 ESTIMATE","실제 ACTUAL"))</f>
      </c>
      <c r="O152" s="41">
        <f>IF($A152="","",SUMIFS('입금 Payments'!$C$3:$C$1002,'입금 Payments'!$B$3:$B$1002,$A152))</f>
      </c>
      <c r="P152" s="41">
        <f>IF($C152="","",ROUND($H152*(1+IF('설정 Settings'!$C$24="YES",'설정 Settings'!$C$26,0)),2)-N($O152))</f>
      </c>
      <c r="Q152" s="42">
        <f>IF($A152="","","INV-"&amp;$A152)</f>
      </c>
      <c r="R152" s="42">
        <f>IF($H152="","",IF($H152&gt;'설정 Settings'!$C$36,"$2,000 초과: e-Transfer 나눠 받기 (F36)",""))</f>
      </c>
    </row>
    <row r="153" spans="12:18" x14ac:dyDescent="0.25">
      <c r="L153" s="41">
        <f>IF($C153="","",IF($I153="",ROUND(IFERROR($H153*VLOOKUP($F153,'설정 Settings'!$A$122:$F$130,4,0)+VLOOKUP($F153,'설정 Settings'!$A$122:$F$130,5,0),0),2),$I153))</f>
      </c>
      <c r="M153" s="41">
        <f>IF($C153="","",$H153-$L153)</f>
      </c>
      <c r="N153" s="42">
        <f>IF($C153="","",IF($I153="","추정 ESTIMATE","실제 ACTUAL"))</f>
      </c>
      <c r="O153" s="41">
        <f>IF($A153="","",SUMIFS('입금 Payments'!$C$3:$C$1002,'입금 Payments'!$B$3:$B$1002,$A153))</f>
      </c>
      <c r="P153" s="41">
        <f>IF($C153="","",ROUND($H153*(1+IF('설정 Settings'!$C$24="YES",'설정 Settings'!$C$26,0)),2)-N($O153))</f>
      </c>
      <c r="Q153" s="42">
        <f>IF($A153="","","INV-"&amp;$A153)</f>
      </c>
      <c r="R153" s="42">
        <f>IF($H153="","",IF($H153&gt;'설정 Settings'!$C$36,"$2,000 초과: e-Transfer 나눠 받기 (F36)",""))</f>
      </c>
    </row>
    <row r="154" spans="12:18" x14ac:dyDescent="0.25">
      <c r="L154" s="41">
        <f>IF($C154="","",IF($I154="",ROUND(IFERROR($H154*VLOOKUP($F154,'설정 Settings'!$A$122:$F$130,4,0)+VLOOKUP($F154,'설정 Settings'!$A$122:$F$130,5,0),0),2),$I154))</f>
      </c>
      <c r="M154" s="41">
        <f>IF($C154="","",$H154-$L154)</f>
      </c>
      <c r="N154" s="42">
        <f>IF($C154="","",IF($I154="","추정 ESTIMATE","실제 ACTUAL"))</f>
      </c>
      <c r="O154" s="41">
        <f>IF($A154="","",SUMIFS('입금 Payments'!$C$3:$C$1002,'입금 Payments'!$B$3:$B$1002,$A154))</f>
      </c>
      <c r="P154" s="41">
        <f>IF($C154="","",ROUND($H154*(1+IF('설정 Settings'!$C$24="YES",'설정 Settings'!$C$26,0)),2)-N($O154))</f>
      </c>
      <c r="Q154" s="42">
        <f>IF($A154="","","INV-"&amp;$A154)</f>
      </c>
      <c r="R154" s="42">
        <f>IF($H154="","",IF($H154&gt;'설정 Settings'!$C$36,"$2,000 초과: e-Transfer 나눠 받기 (F36)",""))</f>
      </c>
    </row>
    <row r="155" spans="12:18" x14ac:dyDescent="0.25">
      <c r="L155" s="41">
        <f>IF($C155="","",IF($I155="",ROUND(IFERROR($H155*VLOOKUP($F155,'설정 Settings'!$A$122:$F$130,4,0)+VLOOKUP($F155,'설정 Settings'!$A$122:$F$130,5,0),0),2),$I155))</f>
      </c>
      <c r="M155" s="41">
        <f>IF($C155="","",$H155-$L155)</f>
      </c>
      <c r="N155" s="42">
        <f>IF($C155="","",IF($I155="","추정 ESTIMATE","실제 ACTUAL"))</f>
      </c>
      <c r="O155" s="41">
        <f>IF($A155="","",SUMIFS('입금 Payments'!$C$3:$C$1002,'입금 Payments'!$B$3:$B$1002,$A155))</f>
      </c>
      <c r="P155" s="41">
        <f>IF($C155="","",ROUND($H155*(1+IF('설정 Settings'!$C$24="YES",'설정 Settings'!$C$26,0)),2)-N($O155))</f>
      </c>
      <c r="Q155" s="42">
        <f>IF($A155="","","INV-"&amp;$A155)</f>
      </c>
      <c r="R155" s="42">
        <f>IF($H155="","",IF($H155&gt;'설정 Settings'!$C$36,"$2,000 초과: e-Transfer 나눠 받기 (F36)",""))</f>
      </c>
    </row>
    <row r="156" spans="12:18" x14ac:dyDescent="0.25">
      <c r="L156" s="41">
        <f>IF($C156="","",IF($I156="",ROUND(IFERROR($H156*VLOOKUP($F156,'설정 Settings'!$A$122:$F$130,4,0)+VLOOKUP($F156,'설정 Settings'!$A$122:$F$130,5,0),0),2),$I156))</f>
      </c>
      <c r="M156" s="41">
        <f>IF($C156="","",$H156-$L156)</f>
      </c>
      <c r="N156" s="42">
        <f>IF($C156="","",IF($I156="","추정 ESTIMATE","실제 ACTUAL"))</f>
      </c>
      <c r="O156" s="41">
        <f>IF($A156="","",SUMIFS('입금 Payments'!$C$3:$C$1002,'입금 Payments'!$B$3:$B$1002,$A156))</f>
      </c>
      <c r="P156" s="41">
        <f>IF($C156="","",ROUND($H156*(1+IF('설정 Settings'!$C$24="YES",'설정 Settings'!$C$26,0)),2)-N($O156))</f>
      </c>
      <c r="Q156" s="42">
        <f>IF($A156="","","INV-"&amp;$A156)</f>
      </c>
      <c r="R156" s="42">
        <f>IF($H156="","",IF($H156&gt;'설정 Settings'!$C$36,"$2,000 초과: e-Transfer 나눠 받기 (F36)",""))</f>
      </c>
    </row>
    <row r="157" spans="12:18" x14ac:dyDescent="0.25">
      <c r="L157" s="41">
        <f>IF($C157="","",IF($I157="",ROUND(IFERROR($H157*VLOOKUP($F157,'설정 Settings'!$A$122:$F$130,4,0)+VLOOKUP($F157,'설정 Settings'!$A$122:$F$130,5,0),0),2),$I157))</f>
      </c>
      <c r="M157" s="41">
        <f>IF($C157="","",$H157-$L157)</f>
      </c>
      <c r="N157" s="42">
        <f>IF($C157="","",IF($I157="","추정 ESTIMATE","실제 ACTUAL"))</f>
      </c>
      <c r="O157" s="41">
        <f>IF($A157="","",SUMIFS('입금 Payments'!$C$3:$C$1002,'입금 Payments'!$B$3:$B$1002,$A157))</f>
      </c>
      <c r="P157" s="41">
        <f>IF($C157="","",ROUND($H157*(1+IF('설정 Settings'!$C$24="YES",'설정 Settings'!$C$26,0)),2)-N($O157))</f>
      </c>
      <c r="Q157" s="42">
        <f>IF($A157="","","INV-"&amp;$A157)</f>
      </c>
      <c r="R157" s="42">
        <f>IF($H157="","",IF($H157&gt;'설정 Settings'!$C$36,"$2,000 초과: e-Transfer 나눠 받기 (F36)",""))</f>
      </c>
    </row>
    <row r="158" spans="12:18" x14ac:dyDescent="0.25">
      <c r="L158" s="41">
        <f>IF($C158="","",IF($I158="",ROUND(IFERROR($H158*VLOOKUP($F158,'설정 Settings'!$A$122:$F$130,4,0)+VLOOKUP($F158,'설정 Settings'!$A$122:$F$130,5,0),0),2),$I158))</f>
      </c>
      <c r="M158" s="41">
        <f>IF($C158="","",$H158-$L158)</f>
      </c>
      <c r="N158" s="42">
        <f>IF($C158="","",IF($I158="","추정 ESTIMATE","실제 ACTUAL"))</f>
      </c>
      <c r="O158" s="41">
        <f>IF($A158="","",SUMIFS('입금 Payments'!$C$3:$C$1002,'입금 Payments'!$B$3:$B$1002,$A158))</f>
      </c>
      <c r="P158" s="41">
        <f>IF($C158="","",ROUND($H158*(1+IF('설정 Settings'!$C$24="YES",'설정 Settings'!$C$26,0)),2)-N($O158))</f>
      </c>
      <c r="Q158" s="42">
        <f>IF($A158="","","INV-"&amp;$A158)</f>
      </c>
      <c r="R158" s="42">
        <f>IF($H158="","",IF($H158&gt;'설정 Settings'!$C$36,"$2,000 초과: e-Transfer 나눠 받기 (F36)",""))</f>
      </c>
    </row>
    <row r="159" spans="12:18" x14ac:dyDescent="0.25">
      <c r="L159" s="41">
        <f>IF($C159="","",IF($I159="",ROUND(IFERROR($H159*VLOOKUP($F159,'설정 Settings'!$A$122:$F$130,4,0)+VLOOKUP($F159,'설정 Settings'!$A$122:$F$130,5,0),0),2),$I159))</f>
      </c>
      <c r="M159" s="41">
        <f>IF($C159="","",$H159-$L159)</f>
      </c>
      <c r="N159" s="42">
        <f>IF($C159="","",IF($I159="","추정 ESTIMATE","실제 ACTUAL"))</f>
      </c>
      <c r="O159" s="41">
        <f>IF($A159="","",SUMIFS('입금 Payments'!$C$3:$C$1002,'입금 Payments'!$B$3:$B$1002,$A159))</f>
      </c>
      <c r="P159" s="41">
        <f>IF($C159="","",ROUND($H159*(1+IF('설정 Settings'!$C$24="YES",'설정 Settings'!$C$26,0)),2)-N($O159))</f>
      </c>
      <c r="Q159" s="42">
        <f>IF($A159="","","INV-"&amp;$A159)</f>
      </c>
      <c r="R159" s="42">
        <f>IF($H159="","",IF($H159&gt;'설정 Settings'!$C$36,"$2,000 초과: e-Transfer 나눠 받기 (F36)",""))</f>
      </c>
    </row>
    <row r="160" spans="12:18" x14ac:dyDescent="0.25">
      <c r="L160" s="41">
        <f>IF($C160="","",IF($I160="",ROUND(IFERROR($H160*VLOOKUP($F160,'설정 Settings'!$A$122:$F$130,4,0)+VLOOKUP($F160,'설정 Settings'!$A$122:$F$130,5,0),0),2),$I160))</f>
      </c>
      <c r="M160" s="41">
        <f>IF($C160="","",$H160-$L160)</f>
      </c>
      <c r="N160" s="42">
        <f>IF($C160="","",IF($I160="","추정 ESTIMATE","실제 ACTUAL"))</f>
      </c>
      <c r="O160" s="41">
        <f>IF($A160="","",SUMIFS('입금 Payments'!$C$3:$C$1002,'입금 Payments'!$B$3:$B$1002,$A160))</f>
      </c>
      <c r="P160" s="41">
        <f>IF($C160="","",ROUND($H160*(1+IF('설정 Settings'!$C$24="YES",'설정 Settings'!$C$26,0)),2)-N($O160))</f>
      </c>
      <c r="Q160" s="42">
        <f>IF($A160="","","INV-"&amp;$A160)</f>
      </c>
      <c r="R160" s="42">
        <f>IF($H160="","",IF($H160&gt;'설정 Settings'!$C$36,"$2,000 초과: e-Transfer 나눠 받기 (F36)",""))</f>
      </c>
    </row>
    <row r="161" spans="12:18" x14ac:dyDescent="0.25">
      <c r="L161" s="41">
        <f>IF($C161="","",IF($I161="",ROUND(IFERROR($H161*VLOOKUP($F161,'설정 Settings'!$A$122:$F$130,4,0)+VLOOKUP($F161,'설정 Settings'!$A$122:$F$130,5,0),0),2),$I161))</f>
      </c>
      <c r="M161" s="41">
        <f>IF($C161="","",$H161-$L161)</f>
      </c>
      <c r="N161" s="42">
        <f>IF($C161="","",IF($I161="","추정 ESTIMATE","실제 ACTUAL"))</f>
      </c>
      <c r="O161" s="41">
        <f>IF($A161="","",SUMIFS('입금 Payments'!$C$3:$C$1002,'입금 Payments'!$B$3:$B$1002,$A161))</f>
      </c>
      <c r="P161" s="41">
        <f>IF($C161="","",ROUND($H161*(1+IF('설정 Settings'!$C$24="YES",'설정 Settings'!$C$26,0)),2)-N($O161))</f>
      </c>
      <c r="Q161" s="42">
        <f>IF($A161="","","INV-"&amp;$A161)</f>
      </c>
      <c r="R161" s="42">
        <f>IF($H161="","",IF($H161&gt;'설정 Settings'!$C$36,"$2,000 초과: e-Transfer 나눠 받기 (F36)",""))</f>
      </c>
    </row>
    <row r="162" spans="12:18" x14ac:dyDescent="0.25">
      <c r="L162" s="41">
        <f>IF($C162="","",IF($I162="",ROUND(IFERROR($H162*VLOOKUP($F162,'설정 Settings'!$A$122:$F$130,4,0)+VLOOKUP($F162,'설정 Settings'!$A$122:$F$130,5,0),0),2),$I162))</f>
      </c>
      <c r="M162" s="41">
        <f>IF($C162="","",$H162-$L162)</f>
      </c>
      <c r="N162" s="42">
        <f>IF($C162="","",IF($I162="","추정 ESTIMATE","실제 ACTUAL"))</f>
      </c>
      <c r="O162" s="41">
        <f>IF($A162="","",SUMIFS('입금 Payments'!$C$3:$C$1002,'입금 Payments'!$B$3:$B$1002,$A162))</f>
      </c>
      <c r="P162" s="41">
        <f>IF($C162="","",ROUND($H162*(1+IF('설정 Settings'!$C$24="YES",'설정 Settings'!$C$26,0)),2)-N($O162))</f>
      </c>
      <c r="Q162" s="42">
        <f>IF($A162="","","INV-"&amp;$A162)</f>
      </c>
      <c r="R162" s="42">
        <f>IF($H162="","",IF($H162&gt;'설정 Settings'!$C$36,"$2,000 초과: e-Transfer 나눠 받기 (F36)",""))</f>
      </c>
    </row>
    <row r="163" spans="12:18" x14ac:dyDescent="0.25">
      <c r="L163" s="41">
        <f>IF($C163="","",IF($I163="",ROUND(IFERROR($H163*VLOOKUP($F163,'설정 Settings'!$A$122:$F$130,4,0)+VLOOKUP($F163,'설정 Settings'!$A$122:$F$130,5,0),0),2),$I163))</f>
      </c>
      <c r="M163" s="41">
        <f>IF($C163="","",$H163-$L163)</f>
      </c>
      <c r="N163" s="42">
        <f>IF($C163="","",IF($I163="","추정 ESTIMATE","실제 ACTUAL"))</f>
      </c>
      <c r="O163" s="41">
        <f>IF($A163="","",SUMIFS('입금 Payments'!$C$3:$C$1002,'입금 Payments'!$B$3:$B$1002,$A163))</f>
      </c>
      <c r="P163" s="41">
        <f>IF($C163="","",ROUND($H163*(1+IF('설정 Settings'!$C$24="YES",'설정 Settings'!$C$26,0)),2)-N($O163))</f>
      </c>
      <c r="Q163" s="42">
        <f>IF($A163="","","INV-"&amp;$A163)</f>
      </c>
      <c r="R163" s="42">
        <f>IF($H163="","",IF($H163&gt;'설정 Settings'!$C$36,"$2,000 초과: e-Transfer 나눠 받기 (F36)",""))</f>
      </c>
    </row>
    <row r="164" spans="12:18" x14ac:dyDescent="0.25">
      <c r="L164" s="41">
        <f>IF($C164="","",IF($I164="",ROUND(IFERROR($H164*VLOOKUP($F164,'설정 Settings'!$A$122:$F$130,4,0)+VLOOKUP($F164,'설정 Settings'!$A$122:$F$130,5,0),0),2),$I164))</f>
      </c>
      <c r="M164" s="41">
        <f>IF($C164="","",$H164-$L164)</f>
      </c>
      <c r="N164" s="42">
        <f>IF($C164="","",IF($I164="","추정 ESTIMATE","실제 ACTUAL"))</f>
      </c>
      <c r="O164" s="41">
        <f>IF($A164="","",SUMIFS('입금 Payments'!$C$3:$C$1002,'입금 Payments'!$B$3:$B$1002,$A164))</f>
      </c>
      <c r="P164" s="41">
        <f>IF($C164="","",ROUND($H164*(1+IF('설정 Settings'!$C$24="YES",'설정 Settings'!$C$26,0)),2)-N($O164))</f>
      </c>
      <c r="Q164" s="42">
        <f>IF($A164="","","INV-"&amp;$A164)</f>
      </c>
      <c r="R164" s="42">
        <f>IF($H164="","",IF($H164&gt;'설정 Settings'!$C$36,"$2,000 초과: e-Transfer 나눠 받기 (F36)",""))</f>
      </c>
    </row>
    <row r="165" spans="12:18" x14ac:dyDescent="0.25">
      <c r="L165" s="41">
        <f>IF($C165="","",IF($I165="",ROUND(IFERROR($H165*VLOOKUP($F165,'설정 Settings'!$A$122:$F$130,4,0)+VLOOKUP($F165,'설정 Settings'!$A$122:$F$130,5,0),0),2),$I165))</f>
      </c>
      <c r="M165" s="41">
        <f>IF($C165="","",$H165-$L165)</f>
      </c>
      <c r="N165" s="42">
        <f>IF($C165="","",IF($I165="","추정 ESTIMATE","실제 ACTUAL"))</f>
      </c>
      <c r="O165" s="41">
        <f>IF($A165="","",SUMIFS('입금 Payments'!$C$3:$C$1002,'입금 Payments'!$B$3:$B$1002,$A165))</f>
      </c>
      <c r="P165" s="41">
        <f>IF($C165="","",ROUND($H165*(1+IF('설정 Settings'!$C$24="YES",'설정 Settings'!$C$26,0)),2)-N($O165))</f>
      </c>
      <c r="Q165" s="42">
        <f>IF($A165="","","INV-"&amp;$A165)</f>
      </c>
      <c r="R165" s="42">
        <f>IF($H165="","",IF($H165&gt;'설정 Settings'!$C$36,"$2,000 초과: e-Transfer 나눠 받기 (F36)",""))</f>
      </c>
    </row>
    <row r="166" spans="12:18" x14ac:dyDescent="0.25">
      <c r="L166" s="41">
        <f>IF($C166="","",IF($I166="",ROUND(IFERROR($H166*VLOOKUP($F166,'설정 Settings'!$A$122:$F$130,4,0)+VLOOKUP($F166,'설정 Settings'!$A$122:$F$130,5,0),0),2),$I166))</f>
      </c>
      <c r="M166" s="41">
        <f>IF($C166="","",$H166-$L166)</f>
      </c>
      <c r="N166" s="42">
        <f>IF($C166="","",IF($I166="","추정 ESTIMATE","실제 ACTUAL"))</f>
      </c>
      <c r="O166" s="41">
        <f>IF($A166="","",SUMIFS('입금 Payments'!$C$3:$C$1002,'입금 Payments'!$B$3:$B$1002,$A166))</f>
      </c>
      <c r="P166" s="41">
        <f>IF($C166="","",ROUND($H166*(1+IF('설정 Settings'!$C$24="YES",'설정 Settings'!$C$26,0)),2)-N($O166))</f>
      </c>
      <c r="Q166" s="42">
        <f>IF($A166="","","INV-"&amp;$A166)</f>
      </c>
      <c r="R166" s="42">
        <f>IF($H166="","",IF($H166&gt;'설정 Settings'!$C$36,"$2,000 초과: e-Transfer 나눠 받기 (F36)",""))</f>
      </c>
    </row>
    <row r="167" spans="12:18" x14ac:dyDescent="0.25">
      <c r="L167" s="41">
        <f>IF($C167="","",IF($I167="",ROUND(IFERROR($H167*VLOOKUP($F167,'설정 Settings'!$A$122:$F$130,4,0)+VLOOKUP($F167,'설정 Settings'!$A$122:$F$130,5,0),0),2),$I167))</f>
      </c>
      <c r="M167" s="41">
        <f>IF($C167="","",$H167-$L167)</f>
      </c>
      <c r="N167" s="42">
        <f>IF($C167="","",IF($I167="","추정 ESTIMATE","실제 ACTUAL"))</f>
      </c>
      <c r="O167" s="41">
        <f>IF($A167="","",SUMIFS('입금 Payments'!$C$3:$C$1002,'입금 Payments'!$B$3:$B$1002,$A167))</f>
      </c>
      <c r="P167" s="41">
        <f>IF($C167="","",ROUND($H167*(1+IF('설정 Settings'!$C$24="YES",'설정 Settings'!$C$26,0)),2)-N($O167))</f>
      </c>
      <c r="Q167" s="42">
        <f>IF($A167="","","INV-"&amp;$A167)</f>
      </c>
      <c r="R167" s="42">
        <f>IF($H167="","",IF($H167&gt;'설정 Settings'!$C$36,"$2,000 초과: e-Transfer 나눠 받기 (F36)",""))</f>
      </c>
    </row>
    <row r="168" spans="12:18" x14ac:dyDescent="0.25">
      <c r="L168" s="41">
        <f>IF($C168="","",IF($I168="",ROUND(IFERROR($H168*VLOOKUP($F168,'설정 Settings'!$A$122:$F$130,4,0)+VLOOKUP($F168,'설정 Settings'!$A$122:$F$130,5,0),0),2),$I168))</f>
      </c>
      <c r="M168" s="41">
        <f>IF($C168="","",$H168-$L168)</f>
      </c>
      <c r="N168" s="42">
        <f>IF($C168="","",IF($I168="","추정 ESTIMATE","실제 ACTUAL"))</f>
      </c>
      <c r="O168" s="41">
        <f>IF($A168="","",SUMIFS('입금 Payments'!$C$3:$C$1002,'입금 Payments'!$B$3:$B$1002,$A168))</f>
      </c>
      <c r="P168" s="41">
        <f>IF($C168="","",ROUND($H168*(1+IF('설정 Settings'!$C$24="YES",'설정 Settings'!$C$26,0)),2)-N($O168))</f>
      </c>
      <c r="Q168" s="42">
        <f>IF($A168="","","INV-"&amp;$A168)</f>
      </c>
      <c r="R168" s="42">
        <f>IF($H168="","",IF($H168&gt;'설정 Settings'!$C$36,"$2,000 초과: e-Transfer 나눠 받기 (F36)",""))</f>
      </c>
    </row>
    <row r="169" spans="12:18" x14ac:dyDescent="0.25">
      <c r="L169" s="41">
        <f>IF($C169="","",IF($I169="",ROUND(IFERROR($H169*VLOOKUP($F169,'설정 Settings'!$A$122:$F$130,4,0)+VLOOKUP($F169,'설정 Settings'!$A$122:$F$130,5,0),0),2),$I169))</f>
      </c>
      <c r="M169" s="41">
        <f>IF($C169="","",$H169-$L169)</f>
      </c>
      <c r="N169" s="42">
        <f>IF($C169="","",IF($I169="","추정 ESTIMATE","실제 ACTUAL"))</f>
      </c>
      <c r="O169" s="41">
        <f>IF($A169="","",SUMIFS('입금 Payments'!$C$3:$C$1002,'입금 Payments'!$B$3:$B$1002,$A169))</f>
      </c>
      <c r="P169" s="41">
        <f>IF($C169="","",ROUND($H169*(1+IF('설정 Settings'!$C$24="YES",'설정 Settings'!$C$26,0)),2)-N($O169))</f>
      </c>
      <c r="Q169" s="42">
        <f>IF($A169="","","INV-"&amp;$A169)</f>
      </c>
      <c r="R169" s="42">
        <f>IF($H169="","",IF($H169&gt;'설정 Settings'!$C$36,"$2,000 초과: e-Transfer 나눠 받기 (F36)",""))</f>
      </c>
    </row>
    <row r="170" spans="12:18" x14ac:dyDescent="0.25">
      <c r="L170" s="41">
        <f>IF($C170="","",IF($I170="",ROUND(IFERROR($H170*VLOOKUP($F170,'설정 Settings'!$A$122:$F$130,4,0)+VLOOKUP($F170,'설정 Settings'!$A$122:$F$130,5,0),0),2),$I170))</f>
      </c>
      <c r="M170" s="41">
        <f>IF($C170="","",$H170-$L170)</f>
      </c>
      <c r="N170" s="42">
        <f>IF($C170="","",IF($I170="","추정 ESTIMATE","실제 ACTUAL"))</f>
      </c>
      <c r="O170" s="41">
        <f>IF($A170="","",SUMIFS('입금 Payments'!$C$3:$C$1002,'입금 Payments'!$B$3:$B$1002,$A170))</f>
      </c>
      <c r="P170" s="41">
        <f>IF($C170="","",ROUND($H170*(1+IF('설정 Settings'!$C$24="YES",'설정 Settings'!$C$26,0)),2)-N($O170))</f>
      </c>
      <c r="Q170" s="42">
        <f>IF($A170="","","INV-"&amp;$A170)</f>
      </c>
      <c r="R170" s="42">
        <f>IF($H170="","",IF($H170&gt;'설정 Settings'!$C$36,"$2,000 초과: e-Transfer 나눠 받기 (F36)",""))</f>
      </c>
    </row>
    <row r="171" spans="12:18" x14ac:dyDescent="0.25">
      <c r="L171" s="41">
        <f>IF($C171="","",IF($I171="",ROUND(IFERROR($H171*VLOOKUP($F171,'설정 Settings'!$A$122:$F$130,4,0)+VLOOKUP($F171,'설정 Settings'!$A$122:$F$130,5,0),0),2),$I171))</f>
      </c>
      <c r="M171" s="41">
        <f>IF($C171="","",$H171-$L171)</f>
      </c>
      <c r="N171" s="42">
        <f>IF($C171="","",IF($I171="","추정 ESTIMATE","실제 ACTUAL"))</f>
      </c>
      <c r="O171" s="41">
        <f>IF($A171="","",SUMIFS('입금 Payments'!$C$3:$C$1002,'입금 Payments'!$B$3:$B$1002,$A171))</f>
      </c>
      <c r="P171" s="41">
        <f>IF($C171="","",ROUND($H171*(1+IF('설정 Settings'!$C$24="YES",'설정 Settings'!$C$26,0)),2)-N($O171))</f>
      </c>
      <c r="Q171" s="42">
        <f>IF($A171="","","INV-"&amp;$A171)</f>
      </c>
      <c r="R171" s="42">
        <f>IF($H171="","",IF($H171&gt;'설정 Settings'!$C$36,"$2,000 초과: e-Transfer 나눠 받기 (F36)",""))</f>
      </c>
    </row>
    <row r="172" spans="12:18" x14ac:dyDescent="0.25">
      <c r="L172" s="41">
        <f>IF($C172="","",IF($I172="",ROUND(IFERROR($H172*VLOOKUP($F172,'설정 Settings'!$A$122:$F$130,4,0)+VLOOKUP($F172,'설정 Settings'!$A$122:$F$130,5,0),0),2),$I172))</f>
      </c>
      <c r="M172" s="41">
        <f>IF($C172="","",$H172-$L172)</f>
      </c>
      <c r="N172" s="42">
        <f>IF($C172="","",IF($I172="","추정 ESTIMATE","실제 ACTUAL"))</f>
      </c>
      <c r="O172" s="41">
        <f>IF($A172="","",SUMIFS('입금 Payments'!$C$3:$C$1002,'입금 Payments'!$B$3:$B$1002,$A172))</f>
      </c>
      <c r="P172" s="41">
        <f>IF($C172="","",ROUND($H172*(1+IF('설정 Settings'!$C$24="YES",'설정 Settings'!$C$26,0)),2)-N($O172))</f>
      </c>
      <c r="Q172" s="42">
        <f>IF($A172="","","INV-"&amp;$A172)</f>
      </c>
      <c r="R172" s="42">
        <f>IF($H172="","",IF($H172&gt;'설정 Settings'!$C$36,"$2,000 초과: e-Transfer 나눠 받기 (F36)",""))</f>
      </c>
    </row>
    <row r="173" spans="12:18" x14ac:dyDescent="0.25">
      <c r="L173" s="41">
        <f>IF($C173="","",IF($I173="",ROUND(IFERROR($H173*VLOOKUP($F173,'설정 Settings'!$A$122:$F$130,4,0)+VLOOKUP($F173,'설정 Settings'!$A$122:$F$130,5,0),0),2),$I173))</f>
      </c>
      <c r="M173" s="41">
        <f>IF($C173="","",$H173-$L173)</f>
      </c>
      <c r="N173" s="42">
        <f>IF($C173="","",IF($I173="","추정 ESTIMATE","실제 ACTUAL"))</f>
      </c>
      <c r="O173" s="41">
        <f>IF($A173="","",SUMIFS('입금 Payments'!$C$3:$C$1002,'입금 Payments'!$B$3:$B$1002,$A173))</f>
      </c>
      <c r="P173" s="41">
        <f>IF($C173="","",ROUND($H173*(1+IF('설정 Settings'!$C$24="YES",'설정 Settings'!$C$26,0)),2)-N($O173))</f>
      </c>
      <c r="Q173" s="42">
        <f>IF($A173="","","INV-"&amp;$A173)</f>
      </c>
      <c r="R173" s="42">
        <f>IF($H173="","",IF($H173&gt;'설정 Settings'!$C$36,"$2,000 초과: e-Transfer 나눠 받기 (F36)",""))</f>
      </c>
    </row>
    <row r="174" spans="12:18" x14ac:dyDescent="0.25">
      <c r="L174" s="41">
        <f>IF($C174="","",IF($I174="",ROUND(IFERROR($H174*VLOOKUP($F174,'설정 Settings'!$A$122:$F$130,4,0)+VLOOKUP($F174,'설정 Settings'!$A$122:$F$130,5,0),0),2),$I174))</f>
      </c>
      <c r="M174" s="41">
        <f>IF($C174="","",$H174-$L174)</f>
      </c>
      <c r="N174" s="42">
        <f>IF($C174="","",IF($I174="","추정 ESTIMATE","실제 ACTUAL"))</f>
      </c>
      <c r="O174" s="41">
        <f>IF($A174="","",SUMIFS('입금 Payments'!$C$3:$C$1002,'입금 Payments'!$B$3:$B$1002,$A174))</f>
      </c>
      <c r="P174" s="41">
        <f>IF($C174="","",ROUND($H174*(1+IF('설정 Settings'!$C$24="YES",'설정 Settings'!$C$26,0)),2)-N($O174))</f>
      </c>
      <c r="Q174" s="42">
        <f>IF($A174="","","INV-"&amp;$A174)</f>
      </c>
      <c r="R174" s="42">
        <f>IF($H174="","",IF($H174&gt;'설정 Settings'!$C$36,"$2,000 초과: e-Transfer 나눠 받기 (F36)",""))</f>
      </c>
    </row>
    <row r="175" spans="12:18" x14ac:dyDescent="0.25">
      <c r="L175" s="41">
        <f>IF($C175="","",IF($I175="",ROUND(IFERROR($H175*VLOOKUP($F175,'설정 Settings'!$A$122:$F$130,4,0)+VLOOKUP($F175,'설정 Settings'!$A$122:$F$130,5,0),0),2),$I175))</f>
      </c>
      <c r="M175" s="41">
        <f>IF($C175="","",$H175-$L175)</f>
      </c>
      <c r="N175" s="42">
        <f>IF($C175="","",IF($I175="","추정 ESTIMATE","실제 ACTUAL"))</f>
      </c>
      <c r="O175" s="41">
        <f>IF($A175="","",SUMIFS('입금 Payments'!$C$3:$C$1002,'입금 Payments'!$B$3:$B$1002,$A175))</f>
      </c>
      <c r="P175" s="41">
        <f>IF($C175="","",ROUND($H175*(1+IF('설정 Settings'!$C$24="YES",'설정 Settings'!$C$26,0)),2)-N($O175))</f>
      </c>
      <c r="Q175" s="42">
        <f>IF($A175="","","INV-"&amp;$A175)</f>
      </c>
      <c r="R175" s="42">
        <f>IF($H175="","",IF($H175&gt;'설정 Settings'!$C$36,"$2,000 초과: e-Transfer 나눠 받기 (F36)",""))</f>
      </c>
    </row>
    <row r="176" spans="12:18" x14ac:dyDescent="0.25">
      <c r="L176" s="41">
        <f>IF($C176="","",IF($I176="",ROUND(IFERROR($H176*VLOOKUP($F176,'설정 Settings'!$A$122:$F$130,4,0)+VLOOKUP($F176,'설정 Settings'!$A$122:$F$130,5,0),0),2),$I176))</f>
      </c>
      <c r="M176" s="41">
        <f>IF($C176="","",$H176-$L176)</f>
      </c>
      <c r="N176" s="42">
        <f>IF($C176="","",IF($I176="","추정 ESTIMATE","실제 ACTUAL"))</f>
      </c>
      <c r="O176" s="41">
        <f>IF($A176="","",SUMIFS('입금 Payments'!$C$3:$C$1002,'입금 Payments'!$B$3:$B$1002,$A176))</f>
      </c>
      <c r="P176" s="41">
        <f>IF($C176="","",ROUND($H176*(1+IF('설정 Settings'!$C$24="YES",'설정 Settings'!$C$26,0)),2)-N($O176))</f>
      </c>
      <c r="Q176" s="42">
        <f>IF($A176="","","INV-"&amp;$A176)</f>
      </c>
      <c r="R176" s="42">
        <f>IF($H176="","",IF($H176&gt;'설정 Settings'!$C$36,"$2,000 초과: e-Transfer 나눠 받기 (F36)",""))</f>
      </c>
    </row>
    <row r="177" spans="12:18" x14ac:dyDescent="0.25">
      <c r="L177" s="41">
        <f>IF($C177="","",IF($I177="",ROUND(IFERROR($H177*VLOOKUP($F177,'설정 Settings'!$A$122:$F$130,4,0)+VLOOKUP($F177,'설정 Settings'!$A$122:$F$130,5,0),0),2),$I177))</f>
      </c>
      <c r="M177" s="41">
        <f>IF($C177="","",$H177-$L177)</f>
      </c>
      <c r="N177" s="42">
        <f>IF($C177="","",IF($I177="","추정 ESTIMATE","실제 ACTUAL"))</f>
      </c>
      <c r="O177" s="41">
        <f>IF($A177="","",SUMIFS('입금 Payments'!$C$3:$C$1002,'입금 Payments'!$B$3:$B$1002,$A177))</f>
      </c>
      <c r="P177" s="41">
        <f>IF($C177="","",ROUND($H177*(1+IF('설정 Settings'!$C$24="YES",'설정 Settings'!$C$26,0)),2)-N($O177))</f>
      </c>
      <c r="Q177" s="42">
        <f>IF($A177="","","INV-"&amp;$A177)</f>
      </c>
      <c r="R177" s="42">
        <f>IF($H177="","",IF($H177&gt;'설정 Settings'!$C$36,"$2,000 초과: e-Transfer 나눠 받기 (F36)",""))</f>
      </c>
    </row>
    <row r="178" spans="12:18" x14ac:dyDescent="0.25">
      <c r="L178" s="41">
        <f>IF($C178="","",IF($I178="",ROUND(IFERROR($H178*VLOOKUP($F178,'설정 Settings'!$A$122:$F$130,4,0)+VLOOKUP($F178,'설정 Settings'!$A$122:$F$130,5,0),0),2),$I178))</f>
      </c>
      <c r="M178" s="41">
        <f>IF($C178="","",$H178-$L178)</f>
      </c>
      <c r="N178" s="42">
        <f>IF($C178="","",IF($I178="","추정 ESTIMATE","실제 ACTUAL"))</f>
      </c>
      <c r="O178" s="41">
        <f>IF($A178="","",SUMIFS('입금 Payments'!$C$3:$C$1002,'입금 Payments'!$B$3:$B$1002,$A178))</f>
      </c>
      <c r="P178" s="41">
        <f>IF($C178="","",ROUND($H178*(1+IF('설정 Settings'!$C$24="YES",'설정 Settings'!$C$26,0)),2)-N($O178))</f>
      </c>
      <c r="Q178" s="42">
        <f>IF($A178="","","INV-"&amp;$A178)</f>
      </c>
      <c r="R178" s="42">
        <f>IF($H178="","",IF($H178&gt;'설정 Settings'!$C$36,"$2,000 초과: e-Transfer 나눠 받기 (F36)",""))</f>
      </c>
    </row>
    <row r="179" spans="12:18" x14ac:dyDescent="0.25">
      <c r="L179" s="41">
        <f>IF($C179="","",IF($I179="",ROUND(IFERROR($H179*VLOOKUP($F179,'설정 Settings'!$A$122:$F$130,4,0)+VLOOKUP($F179,'설정 Settings'!$A$122:$F$130,5,0),0),2),$I179))</f>
      </c>
      <c r="M179" s="41">
        <f>IF($C179="","",$H179-$L179)</f>
      </c>
      <c r="N179" s="42">
        <f>IF($C179="","",IF($I179="","추정 ESTIMATE","실제 ACTUAL"))</f>
      </c>
      <c r="O179" s="41">
        <f>IF($A179="","",SUMIFS('입금 Payments'!$C$3:$C$1002,'입금 Payments'!$B$3:$B$1002,$A179))</f>
      </c>
      <c r="P179" s="41">
        <f>IF($C179="","",ROUND($H179*(1+IF('설정 Settings'!$C$24="YES",'설정 Settings'!$C$26,0)),2)-N($O179))</f>
      </c>
      <c r="Q179" s="42">
        <f>IF($A179="","","INV-"&amp;$A179)</f>
      </c>
      <c r="R179" s="42">
        <f>IF($H179="","",IF($H179&gt;'설정 Settings'!$C$36,"$2,000 초과: e-Transfer 나눠 받기 (F36)",""))</f>
      </c>
    </row>
    <row r="180" spans="12:18" x14ac:dyDescent="0.25">
      <c r="L180" s="41">
        <f>IF($C180="","",IF($I180="",ROUND(IFERROR($H180*VLOOKUP($F180,'설정 Settings'!$A$122:$F$130,4,0)+VLOOKUP($F180,'설정 Settings'!$A$122:$F$130,5,0),0),2),$I180))</f>
      </c>
      <c r="M180" s="41">
        <f>IF($C180="","",$H180-$L180)</f>
      </c>
      <c r="N180" s="42">
        <f>IF($C180="","",IF($I180="","추정 ESTIMATE","실제 ACTUAL"))</f>
      </c>
      <c r="O180" s="41">
        <f>IF($A180="","",SUMIFS('입금 Payments'!$C$3:$C$1002,'입금 Payments'!$B$3:$B$1002,$A180))</f>
      </c>
      <c r="P180" s="41">
        <f>IF($C180="","",ROUND($H180*(1+IF('설정 Settings'!$C$24="YES",'설정 Settings'!$C$26,0)),2)-N($O180))</f>
      </c>
      <c r="Q180" s="42">
        <f>IF($A180="","","INV-"&amp;$A180)</f>
      </c>
      <c r="R180" s="42">
        <f>IF($H180="","",IF($H180&gt;'설정 Settings'!$C$36,"$2,000 초과: e-Transfer 나눠 받기 (F36)",""))</f>
      </c>
    </row>
    <row r="181" spans="12:18" x14ac:dyDescent="0.25">
      <c r="L181" s="41">
        <f>IF($C181="","",IF($I181="",ROUND(IFERROR($H181*VLOOKUP($F181,'설정 Settings'!$A$122:$F$130,4,0)+VLOOKUP($F181,'설정 Settings'!$A$122:$F$130,5,0),0),2),$I181))</f>
      </c>
      <c r="M181" s="41">
        <f>IF($C181="","",$H181-$L181)</f>
      </c>
      <c r="N181" s="42">
        <f>IF($C181="","",IF($I181="","추정 ESTIMATE","실제 ACTUAL"))</f>
      </c>
      <c r="O181" s="41">
        <f>IF($A181="","",SUMIFS('입금 Payments'!$C$3:$C$1002,'입금 Payments'!$B$3:$B$1002,$A181))</f>
      </c>
      <c r="P181" s="41">
        <f>IF($C181="","",ROUND($H181*(1+IF('설정 Settings'!$C$24="YES",'설정 Settings'!$C$26,0)),2)-N($O181))</f>
      </c>
      <c r="Q181" s="42">
        <f>IF($A181="","","INV-"&amp;$A181)</f>
      </c>
      <c r="R181" s="42">
        <f>IF($H181="","",IF($H181&gt;'설정 Settings'!$C$36,"$2,000 초과: e-Transfer 나눠 받기 (F36)",""))</f>
      </c>
    </row>
    <row r="182" spans="12:18" x14ac:dyDescent="0.25">
      <c r="L182" s="41">
        <f>IF($C182="","",IF($I182="",ROUND(IFERROR($H182*VLOOKUP($F182,'설정 Settings'!$A$122:$F$130,4,0)+VLOOKUP($F182,'설정 Settings'!$A$122:$F$130,5,0),0),2),$I182))</f>
      </c>
      <c r="M182" s="41">
        <f>IF($C182="","",$H182-$L182)</f>
      </c>
      <c r="N182" s="42">
        <f>IF($C182="","",IF($I182="","추정 ESTIMATE","실제 ACTUAL"))</f>
      </c>
      <c r="O182" s="41">
        <f>IF($A182="","",SUMIFS('입금 Payments'!$C$3:$C$1002,'입금 Payments'!$B$3:$B$1002,$A182))</f>
      </c>
      <c r="P182" s="41">
        <f>IF($C182="","",ROUND($H182*(1+IF('설정 Settings'!$C$24="YES",'설정 Settings'!$C$26,0)),2)-N($O182))</f>
      </c>
      <c r="Q182" s="42">
        <f>IF($A182="","","INV-"&amp;$A182)</f>
      </c>
      <c r="R182" s="42">
        <f>IF($H182="","",IF($H182&gt;'설정 Settings'!$C$36,"$2,000 초과: e-Transfer 나눠 받기 (F36)",""))</f>
      </c>
    </row>
    <row r="183" spans="12:18" x14ac:dyDescent="0.25">
      <c r="L183" s="41">
        <f>IF($C183="","",IF($I183="",ROUND(IFERROR($H183*VLOOKUP($F183,'설정 Settings'!$A$122:$F$130,4,0)+VLOOKUP($F183,'설정 Settings'!$A$122:$F$130,5,0),0),2),$I183))</f>
      </c>
      <c r="M183" s="41">
        <f>IF($C183="","",$H183-$L183)</f>
      </c>
      <c r="N183" s="42">
        <f>IF($C183="","",IF($I183="","추정 ESTIMATE","실제 ACTUAL"))</f>
      </c>
      <c r="O183" s="41">
        <f>IF($A183="","",SUMIFS('입금 Payments'!$C$3:$C$1002,'입금 Payments'!$B$3:$B$1002,$A183))</f>
      </c>
      <c r="P183" s="41">
        <f>IF($C183="","",ROUND($H183*(1+IF('설정 Settings'!$C$24="YES",'설정 Settings'!$C$26,0)),2)-N($O183))</f>
      </c>
      <c r="Q183" s="42">
        <f>IF($A183="","","INV-"&amp;$A183)</f>
      </c>
      <c r="R183" s="42">
        <f>IF($H183="","",IF($H183&gt;'설정 Settings'!$C$36,"$2,000 초과: e-Transfer 나눠 받기 (F36)",""))</f>
      </c>
    </row>
    <row r="184" spans="12:18" x14ac:dyDescent="0.25">
      <c r="L184" s="41">
        <f>IF($C184="","",IF($I184="",ROUND(IFERROR($H184*VLOOKUP($F184,'설정 Settings'!$A$122:$F$130,4,0)+VLOOKUP($F184,'설정 Settings'!$A$122:$F$130,5,0),0),2),$I184))</f>
      </c>
      <c r="M184" s="41">
        <f>IF($C184="","",$H184-$L184)</f>
      </c>
      <c r="N184" s="42">
        <f>IF($C184="","",IF($I184="","추정 ESTIMATE","실제 ACTUAL"))</f>
      </c>
      <c r="O184" s="41">
        <f>IF($A184="","",SUMIFS('입금 Payments'!$C$3:$C$1002,'입금 Payments'!$B$3:$B$1002,$A184))</f>
      </c>
      <c r="P184" s="41">
        <f>IF($C184="","",ROUND($H184*(1+IF('설정 Settings'!$C$24="YES",'설정 Settings'!$C$26,0)),2)-N($O184))</f>
      </c>
      <c r="Q184" s="42">
        <f>IF($A184="","","INV-"&amp;$A184)</f>
      </c>
      <c r="R184" s="42">
        <f>IF($H184="","",IF($H184&gt;'설정 Settings'!$C$36,"$2,000 초과: e-Transfer 나눠 받기 (F36)",""))</f>
      </c>
    </row>
    <row r="185" spans="12:18" x14ac:dyDescent="0.25">
      <c r="L185" s="41">
        <f>IF($C185="","",IF($I185="",ROUND(IFERROR($H185*VLOOKUP($F185,'설정 Settings'!$A$122:$F$130,4,0)+VLOOKUP($F185,'설정 Settings'!$A$122:$F$130,5,0),0),2),$I185))</f>
      </c>
      <c r="M185" s="41">
        <f>IF($C185="","",$H185-$L185)</f>
      </c>
      <c r="N185" s="42">
        <f>IF($C185="","",IF($I185="","추정 ESTIMATE","실제 ACTUAL"))</f>
      </c>
      <c r="O185" s="41">
        <f>IF($A185="","",SUMIFS('입금 Payments'!$C$3:$C$1002,'입금 Payments'!$B$3:$B$1002,$A185))</f>
      </c>
      <c r="P185" s="41">
        <f>IF($C185="","",ROUND($H185*(1+IF('설정 Settings'!$C$24="YES",'설정 Settings'!$C$26,0)),2)-N($O185))</f>
      </c>
      <c r="Q185" s="42">
        <f>IF($A185="","","INV-"&amp;$A185)</f>
      </c>
      <c r="R185" s="42">
        <f>IF($H185="","",IF($H185&gt;'설정 Settings'!$C$36,"$2,000 초과: e-Transfer 나눠 받기 (F36)",""))</f>
      </c>
    </row>
    <row r="186" spans="12:18" x14ac:dyDescent="0.25">
      <c r="L186" s="41">
        <f>IF($C186="","",IF($I186="",ROUND(IFERROR($H186*VLOOKUP($F186,'설정 Settings'!$A$122:$F$130,4,0)+VLOOKUP($F186,'설정 Settings'!$A$122:$F$130,5,0),0),2),$I186))</f>
      </c>
      <c r="M186" s="41">
        <f>IF($C186="","",$H186-$L186)</f>
      </c>
      <c r="N186" s="42">
        <f>IF($C186="","",IF($I186="","추정 ESTIMATE","실제 ACTUAL"))</f>
      </c>
      <c r="O186" s="41">
        <f>IF($A186="","",SUMIFS('입금 Payments'!$C$3:$C$1002,'입금 Payments'!$B$3:$B$1002,$A186))</f>
      </c>
      <c r="P186" s="41">
        <f>IF($C186="","",ROUND($H186*(1+IF('설정 Settings'!$C$24="YES",'설정 Settings'!$C$26,0)),2)-N($O186))</f>
      </c>
      <c r="Q186" s="42">
        <f>IF($A186="","","INV-"&amp;$A186)</f>
      </c>
      <c r="R186" s="42">
        <f>IF($H186="","",IF($H186&gt;'설정 Settings'!$C$36,"$2,000 초과: e-Transfer 나눠 받기 (F36)",""))</f>
      </c>
    </row>
    <row r="187" spans="12:18" x14ac:dyDescent="0.25">
      <c r="L187" s="41">
        <f>IF($C187="","",IF($I187="",ROUND(IFERROR($H187*VLOOKUP($F187,'설정 Settings'!$A$122:$F$130,4,0)+VLOOKUP($F187,'설정 Settings'!$A$122:$F$130,5,0),0),2),$I187))</f>
      </c>
      <c r="M187" s="41">
        <f>IF($C187="","",$H187-$L187)</f>
      </c>
      <c r="N187" s="42">
        <f>IF($C187="","",IF($I187="","추정 ESTIMATE","실제 ACTUAL"))</f>
      </c>
      <c r="O187" s="41">
        <f>IF($A187="","",SUMIFS('입금 Payments'!$C$3:$C$1002,'입금 Payments'!$B$3:$B$1002,$A187))</f>
      </c>
      <c r="P187" s="41">
        <f>IF($C187="","",ROUND($H187*(1+IF('설정 Settings'!$C$24="YES",'설정 Settings'!$C$26,0)),2)-N($O187))</f>
      </c>
      <c r="Q187" s="42">
        <f>IF($A187="","","INV-"&amp;$A187)</f>
      </c>
      <c r="R187" s="42">
        <f>IF($H187="","",IF($H187&gt;'설정 Settings'!$C$36,"$2,000 초과: e-Transfer 나눠 받기 (F36)",""))</f>
      </c>
    </row>
    <row r="188" spans="12:18" x14ac:dyDescent="0.25">
      <c r="L188" s="41">
        <f>IF($C188="","",IF($I188="",ROUND(IFERROR($H188*VLOOKUP($F188,'설정 Settings'!$A$122:$F$130,4,0)+VLOOKUP($F188,'설정 Settings'!$A$122:$F$130,5,0),0),2),$I188))</f>
      </c>
      <c r="M188" s="41">
        <f>IF($C188="","",$H188-$L188)</f>
      </c>
      <c r="N188" s="42">
        <f>IF($C188="","",IF($I188="","추정 ESTIMATE","실제 ACTUAL"))</f>
      </c>
      <c r="O188" s="41">
        <f>IF($A188="","",SUMIFS('입금 Payments'!$C$3:$C$1002,'입금 Payments'!$B$3:$B$1002,$A188))</f>
      </c>
      <c r="P188" s="41">
        <f>IF($C188="","",ROUND($H188*(1+IF('설정 Settings'!$C$24="YES",'설정 Settings'!$C$26,0)),2)-N($O188))</f>
      </c>
      <c r="Q188" s="42">
        <f>IF($A188="","","INV-"&amp;$A188)</f>
      </c>
      <c r="R188" s="42">
        <f>IF($H188="","",IF($H188&gt;'설정 Settings'!$C$36,"$2,000 초과: e-Transfer 나눠 받기 (F36)",""))</f>
      </c>
    </row>
    <row r="189" spans="12:18" x14ac:dyDescent="0.25">
      <c r="L189" s="41">
        <f>IF($C189="","",IF($I189="",ROUND(IFERROR($H189*VLOOKUP($F189,'설정 Settings'!$A$122:$F$130,4,0)+VLOOKUP($F189,'설정 Settings'!$A$122:$F$130,5,0),0),2),$I189))</f>
      </c>
      <c r="M189" s="41">
        <f>IF($C189="","",$H189-$L189)</f>
      </c>
      <c r="N189" s="42">
        <f>IF($C189="","",IF($I189="","추정 ESTIMATE","실제 ACTUAL"))</f>
      </c>
      <c r="O189" s="41">
        <f>IF($A189="","",SUMIFS('입금 Payments'!$C$3:$C$1002,'입금 Payments'!$B$3:$B$1002,$A189))</f>
      </c>
      <c r="P189" s="41">
        <f>IF($C189="","",ROUND($H189*(1+IF('설정 Settings'!$C$24="YES",'설정 Settings'!$C$26,0)),2)-N($O189))</f>
      </c>
      <c r="Q189" s="42">
        <f>IF($A189="","","INV-"&amp;$A189)</f>
      </c>
      <c r="R189" s="42">
        <f>IF($H189="","",IF($H189&gt;'설정 Settings'!$C$36,"$2,000 초과: e-Transfer 나눠 받기 (F36)",""))</f>
      </c>
    </row>
    <row r="190" spans="12:18" x14ac:dyDescent="0.25">
      <c r="L190" s="41">
        <f>IF($C190="","",IF($I190="",ROUND(IFERROR($H190*VLOOKUP($F190,'설정 Settings'!$A$122:$F$130,4,0)+VLOOKUP($F190,'설정 Settings'!$A$122:$F$130,5,0),0),2),$I190))</f>
      </c>
      <c r="M190" s="41">
        <f>IF($C190="","",$H190-$L190)</f>
      </c>
      <c r="N190" s="42">
        <f>IF($C190="","",IF($I190="","추정 ESTIMATE","실제 ACTUAL"))</f>
      </c>
      <c r="O190" s="41">
        <f>IF($A190="","",SUMIFS('입금 Payments'!$C$3:$C$1002,'입금 Payments'!$B$3:$B$1002,$A190))</f>
      </c>
      <c r="P190" s="41">
        <f>IF($C190="","",ROUND($H190*(1+IF('설정 Settings'!$C$24="YES",'설정 Settings'!$C$26,0)),2)-N($O190))</f>
      </c>
      <c r="Q190" s="42">
        <f>IF($A190="","","INV-"&amp;$A190)</f>
      </c>
      <c r="R190" s="42">
        <f>IF($H190="","",IF($H190&gt;'설정 Settings'!$C$36,"$2,000 초과: e-Transfer 나눠 받기 (F36)",""))</f>
      </c>
    </row>
    <row r="191" spans="12:18" x14ac:dyDescent="0.25">
      <c r="L191" s="41">
        <f>IF($C191="","",IF($I191="",ROUND(IFERROR($H191*VLOOKUP($F191,'설정 Settings'!$A$122:$F$130,4,0)+VLOOKUP($F191,'설정 Settings'!$A$122:$F$130,5,0),0),2),$I191))</f>
      </c>
      <c r="M191" s="41">
        <f>IF($C191="","",$H191-$L191)</f>
      </c>
      <c r="N191" s="42">
        <f>IF($C191="","",IF($I191="","추정 ESTIMATE","실제 ACTUAL"))</f>
      </c>
      <c r="O191" s="41">
        <f>IF($A191="","",SUMIFS('입금 Payments'!$C$3:$C$1002,'입금 Payments'!$B$3:$B$1002,$A191))</f>
      </c>
      <c r="P191" s="41">
        <f>IF($C191="","",ROUND($H191*(1+IF('설정 Settings'!$C$24="YES",'설정 Settings'!$C$26,0)),2)-N($O191))</f>
      </c>
      <c r="Q191" s="42">
        <f>IF($A191="","","INV-"&amp;$A191)</f>
      </c>
      <c r="R191" s="42">
        <f>IF($H191="","",IF($H191&gt;'설정 Settings'!$C$36,"$2,000 초과: e-Transfer 나눠 받기 (F36)",""))</f>
      </c>
    </row>
    <row r="192" spans="12:18" x14ac:dyDescent="0.25">
      <c r="L192" s="41">
        <f>IF($C192="","",IF($I192="",ROUND(IFERROR($H192*VLOOKUP($F192,'설정 Settings'!$A$122:$F$130,4,0)+VLOOKUP($F192,'설정 Settings'!$A$122:$F$130,5,0),0),2),$I192))</f>
      </c>
      <c r="M192" s="41">
        <f>IF($C192="","",$H192-$L192)</f>
      </c>
      <c r="N192" s="42">
        <f>IF($C192="","",IF($I192="","추정 ESTIMATE","실제 ACTUAL"))</f>
      </c>
      <c r="O192" s="41">
        <f>IF($A192="","",SUMIFS('입금 Payments'!$C$3:$C$1002,'입금 Payments'!$B$3:$B$1002,$A192))</f>
      </c>
      <c r="P192" s="41">
        <f>IF($C192="","",ROUND($H192*(1+IF('설정 Settings'!$C$24="YES",'설정 Settings'!$C$26,0)),2)-N($O192))</f>
      </c>
      <c r="Q192" s="42">
        <f>IF($A192="","","INV-"&amp;$A192)</f>
      </c>
      <c r="R192" s="42">
        <f>IF($H192="","",IF($H192&gt;'설정 Settings'!$C$36,"$2,000 초과: e-Transfer 나눠 받기 (F36)",""))</f>
      </c>
    </row>
    <row r="193" spans="12:18" x14ac:dyDescent="0.25">
      <c r="L193" s="41">
        <f>IF($C193="","",IF($I193="",ROUND(IFERROR($H193*VLOOKUP($F193,'설정 Settings'!$A$122:$F$130,4,0)+VLOOKUP($F193,'설정 Settings'!$A$122:$F$130,5,0),0),2),$I193))</f>
      </c>
      <c r="M193" s="41">
        <f>IF($C193="","",$H193-$L193)</f>
      </c>
      <c r="N193" s="42">
        <f>IF($C193="","",IF($I193="","추정 ESTIMATE","실제 ACTUAL"))</f>
      </c>
      <c r="O193" s="41">
        <f>IF($A193="","",SUMIFS('입금 Payments'!$C$3:$C$1002,'입금 Payments'!$B$3:$B$1002,$A193))</f>
      </c>
      <c r="P193" s="41">
        <f>IF($C193="","",ROUND($H193*(1+IF('설정 Settings'!$C$24="YES",'설정 Settings'!$C$26,0)),2)-N($O193))</f>
      </c>
      <c r="Q193" s="42">
        <f>IF($A193="","","INV-"&amp;$A193)</f>
      </c>
      <c r="R193" s="42">
        <f>IF($H193="","",IF($H193&gt;'설정 Settings'!$C$36,"$2,000 초과: e-Transfer 나눠 받기 (F36)",""))</f>
      </c>
    </row>
    <row r="194" spans="12:18" x14ac:dyDescent="0.25">
      <c r="L194" s="41">
        <f>IF($C194="","",IF($I194="",ROUND(IFERROR($H194*VLOOKUP($F194,'설정 Settings'!$A$122:$F$130,4,0)+VLOOKUP($F194,'설정 Settings'!$A$122:$F$130,5,0),0),2),$I194))</f>
      </c>
      <c r="M194" s="41">
        <f>IF($C194="","",$H194-$L194)</f>
      </c>
      <c r="N194" s="42">
        <f>IF($C194="","",IF($I194="","추정 ESTIMATE","실제 ACTUAL"))</f>
      </c>
      <c r="O194" s="41">
        <f>IF($A194="","",SUMIFS('입금 Payments'!$C$3:$C$1002,'입금 Payments'!$B$3:$B$1002,$A194))</f>
      </c>
      <c r="P194" s="41">
        <f>IF($C194="","",ROUND($H194*(1+IF('설정 Settings'!$C$24="YES",'설정 Settings'!$C$26,0)),2)-N($O194))</f>
      </c>
      <c r="Q194" s="42">
        <f>IF($A194="","","INV-"&amp;$A194)</f>
      </c>
      <c r="R194" s="42">
        <f>IF($H194="","",IF($H194&gt;'설정 Settings'!$C$36,"$2,000 초과: e-Transfer 나눠 받기 (F36)",""))</f>
      </c>
    </row>
    <row r="195" spans="12:18" x14ac:dyDescent="0.25">
      <c r="L195" s="41">
        <f>IF($C195="","",IF($I195="",ROUND(IFERROR($H195*VLOOKUP($F195,'설정 Settings'!$A$122:$F$130,4,0)+VLOOKUP($F195,'설정 Settings'!$A$122:$F$130,5,0),0),2),$I195))</f>
      </c>
      <c r="M195" s="41">
        <f>IF($C195="","",$H195-$L195)</f>
      </c>
      <c r="N195" s="42">
        <f>IF($C195="","",IF($I195="","추정 ESTIMATE","실제 ACTUAL"))</f>
      </c>
      <c r="O195" s="41">
        <f>IF($A195="","",SUMIFS('입금 Payments'!$C$3:$C$1002,'입금 Payments'!$B$3:$B$1002,$A195))</f>
      </c>
      <c r="P195" s="41">
        <f>IF($C195="","",ROUND($H195*(1+IF('설정 Settings'!$C$24="YES",'설정 Settings'!$C$26,0)),2)-N($O195))</f>
      </c>
      <c r="Q195" s="42">
        <f>IF($A195="","","INV-"&amp;$A195)</f>
      </c>
      <c r="R195" s="42">
        <f>IF($H195="","",IF($H195&gt;'설정 Settings'!$C$36,"$2,000 초과: e-Transfer 나눠 받기 (F36)",""))</f>
      </c>
    </row>
    <row r="196" spans="12:18" x14ac:dyDescent="0.25">
      <c r="L196" s="41">
        <f>IF($C196="","",IF($I196="",ROUND(IFERROR($H196*VLOOKUP($F196,'설정 Settings'!$A$122:$F$130,4,0)+VLOOKUP($F196,'설정 Settings'!$A$122:$F$130,5,0),0),2),$I196))</f>
      </c>
      <c r="M196" s="41">
        <f>IF($C196="","",$H196-$L196)</f>
      </c>
      <c r="N196" s="42">
        <f>IF($C196="","",IF($I196="","추정 ESTIMATE","실제 ACTUAL"))</f>
      </c>
      <c r="O196" s="41">
        <f>IF($A196="","",SUMIFS('입금 Payments'!$C$3:$C$1002,'입금 Payments'!$B$3:$B$1002,$A196))</f>
      </c>
      <c r="P196" s="41">
        <f>IF($C196="","",ROUND($H196*(1+IF('설정 Settings'!$C$24="YES",'설정 Settings'!$C$26,0)),2)-N($O196))</f>
      </c>
      <c r="Q196" s="42">
        <f>IF($A196="","","INV-"&amp;$A196)</f>
      </c>
      <c r="R196" s="42">
        <f>IF($H196="","",IF($H196&gt;'설정 Settings'!$C$36,"$2,000 초과: e-Transfer 나눠 받기 (F36)",""))</f>
      </c>
    </row>
    <row r="197" spans="12:18" x14ac:dyDescent="0.25">
      <c r="L197" s="41">
        <f>IF($C197="","",IF($I197="",ROUND(IFERROR($H197*VLOOKUP($F197,'설정 Settings'!$A$122:$F$130,4,0)+VLOOKUP($F197,'설정 Settings'!$A$122:$F$130,5,0),0),2),$I197))</f>
      </c>
      <c r="M197" s="41">
        <f>IF($C197="","",$H197-$L197)</f>
      </c>
      <c r="N197" s="42">
        <f>IF($C197="","",IF($I197="","추정 ESTIMATE","실제 ACTUAL"))</f>
      </c>
      <c r="O197" s="41">
        <f>IF($A197="","",SUMIFS('입금 Payments'!$C$3:$C$1002,'입금 Payments'!$B$3:$B$1002,$A197))</f>
      </c>
      <c r="P197" s="41">
        <f>IF($C197="","",ROUND($H197*(1+IF('설정 Settings'!$C$24="YES",'설정 Settings'!$C$26,0)),2)-N($O197))</f>
      </c>
      <c r="Q197" s="42">
        <f>IF($A197="","","INV-"&amp;$A197)</f>
      </c>
      <c r="R197" s="42">
        <f>IF($H197="","",IF($H197&gt;'설정 Settings'!$C$36,"$2,000 초과: e-Transfer 나눠 받기 (F36)",""))</f>
      </c>
    </row>
    <row r="198" spans="12:18" x14ac:dyDescent="0.25">
      <c r="L198" s="41">
        <f>IF($C198="","",IF($I198="",ROUND(IFERROR($H198*VLOOKUP($F198,'설정 Settings'!$A$122:$F$130,4,0)+VLOOKUP($F198,'설정 Settings'!$A$122:$F$130,5,0),0),2),$I198))</f>
      </c>
      <c r="M198" s="41">
        <f>IF($C198="","",$H198-$L198)</f>
      </c>
      <c r="N198" s="42">
        <f>IF($C198="","",IF($I198="","추정 ESTIMATE","실제 ACTUAL"))</f>
      </c>
      <c r="O198" s="41">
        <f>IF($A198="","",SUMIFS('입금 Payments'!$C$3:$C$1002,'입금 Payments'!$B$3:$B$1002,$A198))</f>
      </c>
      <c r="P198" s="41">
        <f>IF($C198="","",ROUND($H198*(1+IF('설정 Settings'!$C$24="YES",'설정 Settings'!$C$26,0)),2)-N($O198))</f>
      </c>
      <c r="Q198" s="42">
        <f>IF($A198="","","INV-"&amp;$A198)</f>
      </c>
      <c r="R198" s="42">
        <f>IF($H198="","",IF($H198&gt;'설정 Settings'!$C$36,"$2,000 초과: e-Transfer 나눠 받기 (F36)",""))</f>
      </c>
    </row>
    <row r="199" spans="12:18" x14ac:dyDescent="0.25">
      <c r="L199" s="41">
        <f>IF($C199="","",IF($I199="",ROUND(IFERROR($H199*VLOOKUP($F199,'설정 Settings'!$A$122:$F$130,4,0)+VLOOKUP($F199,'설정 Settings'!$A$122:$F$130,5,0),0),2),$I199))</f>
      </c>
      <c r="M199" s="41">
        <f>IF($C199="","",$H199-$L199)</f>
      </c>
      <c r="N199" s="42">
        <f>IF($C199="","",IF($I199="","추정 ESTIMATE","실제 ACTUAL"))</f>
      </c>
      <c r="O199" s="41">
        <f>IF($A199="","",SUMIFS('입금 Payments'!$C$3:$C$1002,'입금 Payments'!$B$3:$B$1002,$A199))</f>
      </c>
      <c r="P199" s="41">
        <f>IF($C199="","",ROUND($H199*(1+IF('설정 Settings'!$C$24="YES",'설정 Settings'!$C$26,0)),2)-N($O199))</f>
      </c>
      <c r="Q199" s="42">
        <f>IF($A199="","","INV-"&amp;$A199)</f>
      </c>
      <c r="R199" s="42">
        <f>IF($H199="","",IF($H199&gt;'설정 Settings'!$C$36,"$2,000 초과: e-Transfer 나눠 받기 (F36)",""))</f>
      </c>
    </row>
    <row r="200" spans="12:18" x14ac:dyDescent="0.25">
      <c r="L200" s="41">
        <f>IF($C200="","",IF($I200="",ROUND(IFERROR($H200*VLOOKUP($F200,'설정 Settings'!$A$122:$F$130,4,0)+VLOOKUP($F200,'설정 Settings'!$A$122:$F$130,5,0),0),2),$I200))</f>
      </c>
      <c r="M200" s="41">
        <f>IF($C200="","",$H200-$L200)</f>
      </c>
      <c r="N200" s="42">
        <f>IF($C200="","",IF($I200="","추정 ESTIMATE","실제 ACTUAL"))</f>
      </c>
      <c r="O200" s="41">
        <f>IF($A200="","",SUMIFS('입금 Payments'!$C$3:$C$1002,'입금 Payments'!$B$3:$B$1002,$A200))</f>
      </c>
      <c r="P200" s="41">
        <f>IF($C200="","",ROUND($H200*(1+IF('설정 Settings'!$C$24="YES",'설정 Settings'!$C$26,0)),2)-N($O200))</f>
      </c>
      <c r="Q200" s="42">
        <f>IF($A200="","","INV-"&amp;$A200)</f>
      </c>
      <c r="R200" s="42">
        <f>IF($H200="","",IF($H200&gt;'설정 Settings'!$C$36,"$2,000 초과: e-Transfer 나눠 받기 (F36)",""))</f>
      </c>
    </row>
    <row r="201" spans="12:18" x14ac:dyDescent="0.25">
      <c r="L201" s="41">
        <f>IF($C201="","",IF($I201="",ROUND(IFERROR($H201*VLOOKUP($F201,'설정 Settings'!$A$122:$F$130,4,0)+VLOOKUP($F201,'설정 Settings'!$A$122:$F$130,5,0),0),2),$I201))</f>
      </c>
      <c r="M201" s="41">
        <f>IF($C201="","",$H201-$L201)</f>
      </c>
      <c r="N201" s="42">
        <f>IF($C201="","",IF($I201="","추정 ESTIMATE","실제 ACTUAL"))</f>
      </c>
      <c r="O201" s="41">
        <f>IF($A201="","",SUMIFS('입금 Payments'!$C$3:$C$1002,'입금 Payments'!$B$3:$B$1002,$A201))</f>
      </c>
      <c r="P201" s="41">
        <f>IF($C201="","",ROUND($H201*(1+IF('설정 Settings'!$C$24="YES",'설정 Settings'!$C$26,0)),2)-N($O201))</f>
      </c>
      <c r="Q201" s="42">
        <f>IF($A201="","","INV-"&amp;$A201)</f>
      </c>
      <c r="R201" s="42">
        <f>IF($H201="","",IF($H201&gt;'설정 Settings'!$C$36,"$2,000 초과: e-Transfer 나눠 받기 (F36)",""))</f>
      </c>
    </row>
    <row r="202" spans="12:18" x14ac:dyDescent="0.25">
      <c r="L202" s="41">
        <f>IF($C202="","",IF($I202="",ROUND(IFERROR($H202*VLOOKUP($F202,'설정 Settings'!$A$122:$F$130,4,0)+VLOOKUP($F202,'설정 Settings'!$A$122:$F$130,5,0),0),2),$I202))</f>
      </c>
      <c r="M202" s="41">
        <f>IF($C202="","",$H202-$L202)</f>
      </c>
      <c r="N202" s="42">
        <f>IF($C202="","",IF($I202="","추정 ESTIMATE","실제 ACTUAL"))</f>
      </c>
      <c r="O202" s="41">
        <f>IF($A202="","",SUMIFS('입금 Payments'!$C$3:$C$1002,'입금 Payments'!$B$3:$B$1002,$A202))</f>
      </c>
      <c r="P202" s="41">
        <f>IF($C202="","",ROUND($H202*(1+IF('설정 Settings'!$C$24="YES",'설정 Settings'!$C$26,0)),2)-N($O202))</f>
      </c>
      <c r="Q202" s="42">
        <f>IF($A202="","","INV-"&amp;$A202)</f>
      </c>
      <c r="R202" s="42">
        <f>IF($H202="","",IF($H202&gt;'설정 Settings'!$C$36,"$2,000 초과: e-Transfer 나눠 받기 (F36)",""))</f>
      </c>
    </row>
    <row r="203" spans="12:18" x14ac:dyDescent="0.25">
      <c r="L203" s="41">
        <f>IF($C203="","",IF($I203="",ROUND(IFERROR($H203*VLOOKUP($F203,'설정 Settings'!$A$122:$F$130,4,0)+VLOOKUP($F203,'설정 Settings'!$A$122:$F$130,5,0),0),2),$I203))</f>
      </c>
      <c r="M203" s="41">
        <f>IF($C203="","",$H203-$L203)</f>
      </c>
      <c r="N203" s="42">
        <f>IF($C203="","",IF($I203="","추정 ESTIMATE","실제 ACTUAL"))</f>
      </c>
      <c r="O203" s="41">
        <f>IF($A203="","",SUMIFS('입금 Payments'!$C$3:$C$1002,'입금 Payments'!$B$3:$B$1002,$A203))</f>
      </c>
      <c r="P203" s="41">
        <f>IF($C203="","",ROUND($H203*(1+IF('설정 Settings'!$C$24="YES",'설정 Settings'!$C$26,0)),2)-N($O203))</f>
      </c>
      <c r="Q203" s="42">
        <f>IF($A203="","","INV-"&amp;$A203)</f>
      </c>
      <c r="R203" s="42">
        <f>IF($H203="","",IF($H203&gt;'설정 Settings'!$C$36,"$2,000 초과: e-Transfer 나눠 받기 (F36)",""))</f>
      </c>
    </row>
    <row r="204" spans="12:18" x14ac:dyDescent="0.25">
      <c r="L204" s="41">
        <f>IF($C204="","",IF($I204="",ROUND(IFERROR($H204*VLOOKUP($F204,'설정 Settings'!$A$122:$F$130,4,0)+VLOOKUP($F204,'설정 Settings'!$A$122:$F$130,5,0),0),2),$I204))</f>
      </c>
      <c r="M204" s="41">
        <f>IF($C204="","",$H204-$L204)</f>
      </c>
      <c r="N204" s="42">
        <f>IF($C204="","",IF($I204="","추정 ESTIMATE","실제 ACTUAL"))</f>
      </c>
      <c r="O204" s="41">
        <f>IF($A204="","",SUMIFS('입금 Payments'!$C$3:$C$1002,'입금 Payments'!$B$3:$B$1002,$A204))</f>
      </c>
      <c r="P204" s="41">
        <f>IF($C204="","",ROUND($H204*(1+IF('설정 Settings'!$C$24="YES",'설정 Settings'!$C$26,0)),2)-N($O204))</f>
      </c>
      <c r="Q204" s="42">
        <f>IF($A204="","","INV-"&amp;$A204)</f>
      </c>
      <c r="R204" s="42">
        <f>IF($H204="","",IF($H204&gt;'설정 Settings'!$C$36,"$2,000 초과: e-Transfer 나눠 받기 (F36)",""))</f>
      </c>
    </row>
    <row r="205" spans="12:18" x14ac:dyDescent="0.25">
      <c r="L205" s="41">
        <f>IF($C205="","",IF($I205="",ROUND(IFERROR($H205*VLOOKUP($F205,'설정 Settings'!$A$122:$F$130,4,0)+VLOOKUP($F205,'설정 Settings'!$A$122:$F$130,5,0),0),2),$I205))</f>
      </c>
      <c r="M205" s="41">
        <f>IF($C205="","",$H205-$L205)</f>
      </c>
      <c r="N205" s="42">
        <f>IF($C205="","",IF($I205="","추정 ESTIMATE","실제 ACTUAL"))</f>
      </c>
      <c r="O205" s="41">
        <f>IF($A205="","",SUMIFS('입금 Payments'!$C$3:$C$1002,'입금 Payments'!$B$3:$B$1002,$A205))</f>
      </c>
      <c r="P205" s="41">
        <f>IF($C205="","",ROUND($H205*(1+IF('설정 Settings'!$C$24="YES",'설정 Settings'!$C$26,0)),2)-N($O205))</f>
      </c>
      <c r="Q205" s="42">
        <f>IF($A205="","","INV-"&amp;$A205)</f>
      </c>
      <c r="R205" s="42">
        <f>IF($H205="","",IF($H205&gt;'설정 Settings'!$C$36,"$2,000 초과: e-Transfer 나눠 받기 (F36)",""))</f>
      </c>
    </row>
    <row r="206" spans="12:18" x14ac:dyDescent="0.25">
      <c r="L206" s="41">
        <f>IF($C206="","",IF($I206="",ROUND(IFERROR($H206*VLOOKUP($F206,'설정 Settings'!$A$122:$F$130,4,0)+VLOOKUP($F206,'설정 Settings'!$A$122:$F$130,5,0),0),2),$I206))</f>
      </c>
      <c r="M206" s="41">
        <f>IF($C206="","",$H206-$L206)</f>
      </c>
      <c r="N206" s="42">
        <f>IF($C206="","",IF($I206="","추정 ESTIMATE","실제 ACTUAL"))</f>
      </c>
      <c r="O206" s="41">
        <f>IF($A206="","",SUMIFS('입금 Payments'!$C$3:$C$1002,'입금 Payments'!$B$3:$B$1002,$A206))</f>
      </c>
      <c r="P206" s="41">
        <f>IF($C206="","",ROUND($H206*(1+IF('설정 Settings'!$C$24="YES",'설정 Settings'!$C$26,0)),2)-N($O206))</f>
      </c>
      <c r="Q206" s="42">
        <f>IF($A206="","","INV-"&amp;$A206)</f>
      </c>
      <c r="R206" s="42">
        <f>IF($H206="","",IF($H206&gt;'설정 Settings'!$C$36,"$2,000 초과: e-Transfer 나눠 받기 (F36)",""))</f>
      </c>
    </row>
    <row r="207" spans="12:18" x14ac:dyDescent="0.25">
      <c r="L207" s="41">
        <f>IF($C207="","",IF($I207="",ROUND(IFERROR($H207*VLOOKUP($F207,'설정 Settings'!$A$122:$F$130,4,0)+VLOOKUP($F207,'설정 Settings'!$A$122:$F$130,5,0),0),2),$I207))</f>
      </c>
      <c r="M207" s="41">
        <f>IF($C207="","",$H207-$L207)</f>
      </c>
      <c r="N207" s="42">
        <f>IF($C207="","",IF($I207="","추정 ESTIMATE","실제 ACTUAL"))</f>
      </c>
      <c r="O207" s="41">
        <f>IF($A207="","",SUMIFS('입금 Payments'!$C$3:$C$1002,'입금 Payments'!$B$3:$B$1002,$A207))</f>
      </c>
      <c r="P207" s="41">
        <f>IF($C207="","",ROUND($H207*(1+IF('설정 Settings'!$C$24="YES",'설정 Settings'!$C$26,0)),2)-N($O207))</f>
      </c>
      <c r="Q207" s="42">
        <f>IF($A207="","","INV-"&amp;$A207)</f>
      </c>
      <c r="R207" s="42">
        <f>IF($H207="","",IF($H207&gt;'설정 Settings'!$C$36,"$2,000 초과: e-Transfer 나눠 받기 (F36)",""))</f>
      </c>
    </row>
    <row r="208" spans="12:18" x14ac:dyDescent="0.25">
      <c r="L208" s="41">
        <f>IF($C208="","",IF($I208="",ROUND(IFERROR($H208*VLOOKUP($F208,'설정 Settings'!$A$122:$F$130,4,0)+VLOOKUP($F208,'설정 Settings'!$A$122:$F$130,5,0),0),2),$I208))</f>
      </c>
      <c r="M208" s="41">
        <f>IF($C208="","",$H208-$L208)</f>
      </c>
      <c r="N208" s="42">
        <f>IF($C208="","",IF($I208="","추정 ESTIMATE","실제 ACTUAL"))</f>
      </c>
      <c r="O208" s="41">
        <f>IF($A208="","",SUMIFS('입금 Payments'!$C$3:$C$1002,'입금 Payments'!$B$3:$B$1002,$A208))</f>
      </c>
      <c r="P208" s="41">
        <f>IF($C208="","",ROUND($H208*(1+IF('설정 Settings'!$C$24="YES",'설정 Settings'!$C$26,0)),2)-N($O208))</f>
      </c>
      <c r="Q208" s="42">
        <f>IF($A208="","","INV-"&amp;$A208)</f>
      </c>
      <c r="R208" s="42">
        <f>IF($H208="","",IF($H208&gt;'설정 Settings'!$C$36,"$2,000 초과: e-Transfer 나눠 받기 (F36)",""))</f>
      </c>
    </row>
    <row r="209" spans="12:18" x14ac:dyDescent="0.25">
      <c r="L209" s="41">
        <f>IF($C209="","",IF($I209="",ROUND(IFERROR($H209*VLOOKUP($F209,'설정 Settings'!$A$122:$F$130,4,0)+VLOOKUP($F209,'설정 Settings'!$A$122:$F$130,5,0),0),2),$I209))</f>
      </c>
      <c r="M209" s="41">
        <f>IF($C209="","",$H209-$L209)</f>
      </c>
      <c r="N209" s="42">
        <f>IF($C209="","",IF($I209="","추정 ESTIMATE","실제 ACTUAL"))</f>
      </c>
      <c r="O209" s="41">
        <f>IF($A209="","",SUMIFS('입금 Payments'!$C$3:$C$1002,'입금 Payments'!$B$3:$B$1002,$A209))</f>
      </c>
      <c r="P209" s="41">
        <f>IF($C209="","",ROUND($H209*(1+IF('설정 Settings'!$C$24="YES",'설정 Settings'!$C$26,0)),2)-N($O209))</f>
      </c>
      <c r="Q209" s="42">
        <f>IF($A209="","","INV-"&amp;$A209)</f>
      </c>
      <c r="R209" s="42">
        <f>IF($H209="","",IF($H209&gt;'설정 Settings'!$C$36,"$2,000 초과: e-Transfer 나눠 받기 (F36)",""))</f>
      </c>
    </row>
    <row r="210" spans="12:18" x14ac:dyDescent="0.25">
      <c r="L210" s="41">
        <f>IF($C210="","",IF($I210="",ROUND(IFERROR($H210*VLOOKUP($F210,'설정 Settings'!$A$122:$F$130,4,0)+VLOOKUP($F210,'설정 Settings'!$A$122:$F$130,5,0),0),2),$I210))</f>
      </c>
      <c r="M210" s="41">
        <f>IF($C210="","",$H210-$L210)</f>
      </c>
      <c r="N210" s="42">
        <f>IF($C210="","",IF($I210="","추정 ESTIMATE","실제 ACTUAL"))</f>
      </c>
      <c r="O210" s="41">
        <f>IF($A210="","",SUMIFS('입금 Payments'!$C$3:$C$1002,'입금 Payments'!$B$3:$B$1002,$A210))</f>
      </c>
      <c r="P210" s="41">
        <f>IF($C210="","",ROUND($H210*(1+IF('설정 Settings'!$C$24="YES",'설정 Settings'!$C$26,0)),2)-N($O210))</f>
      </c>
      <c r="Q210" s="42">
        <f>IF($A210="","","INV-"&amp;$A210)</f>
      </c>
      <c r="R210" s="42">
        <f>IF($H210="","",IF($H210&gt;'설정 Settings'!$C$36,"$2,000 초과: e-Transfer 나눠 받기 (F36)",""))</f>
      </c>
    </row>
    <row r="211" spans="12:18" x14ac:dyDescent="0.25">
      <c r="L211" s="41">
        <f>IF($C211="","",IF($I211="",ROUND(IFERROR($H211*VLOOKUP($F211,'설정 Settings'!$A$122:$F$130,4,0)+VLOOKUP($F211,'설정 Settings'!$A$122:$F$130,5,0),0),2),$I211))</f>
      </c>
      <c r="M211" s="41">
        <f>IF($C211="","",$H211-$L211)</f>
      </c>
      <c r="N211" s="42">
        <f>IF($C211="","",IF($I211="","추정 ESTIMATE","실제 ACTUAL"))</f>
      </c>
      <c r="O211" s="41">
        <f>IF($A211="","",SUMIFS('입금 Payments'!$C$3:$C$1002,'입금 Payments'!$B$3:$B$1002,$A211))</f>
      </c>
      <c r="P211" s="41">
        <f>IF($C211="","",ROUND($H211*(1+IF('설정 Settings'!$C$24="YES",'설정 Settings'!$C$26,0)),2)-N($O211))</f>
      </c>
      <c r="Q211" s="42">
        <f>IF($A211="","","INV-"&amp;$A211)</f>
      </c>
      <c r="R211" s="42">
        <f>IF($H211="","",IF($H211&gt;'설정 Settings'!$C$36,"$2,000 초과: e-Transfer 나눠 받기 (F36)",""))</f>
      </c>
    </row>
    <row r="212" spans="12:18" x14ac:dyDescent="0.25">
      <c r="L212" s="41">
        <f>IF($C212="","",IF($I212="",ROUND(IFERROR($H212*VLOOKUP($F212,'설정 Settings'!$A$122:$F$130,4,0)+VLOOKUP($F212,'설정 Settings'!$A$122:$F$130,5,0),0),2),$I212))</f>
      </c>
      <c r="M212" s="41">
        <f>IF($C212="","",$H212-$L212)</f>
      </c>
      <c r="N212" s="42">
        <f>IF($C212="","",IF($I212="","추정 ESTIMATE","실제 ACTUAL"))</f>
      </c>
      <c r="O212" s="41">
        <f>IF($A212="","",SUMIFS('입금 Payments'!$C$3:$C$1002,'입금 Payments'!$B$3:$B$1002,$A212))</f>
      </c>
      <c r="P212" s="41">
        <f>IF($C212="","",ROUND($H212*(1+IF('설정 Settings'!$C$24="YES",'설정 Settings'!$C$26,0)),2)-N($O212))</f>
      </c>
      <c r="Q212" s="42">
        <f>IF($A212="","","INV-"&amp;$A212)</f>
      </c>
      <c r="R212" s="42">
        <f>IF($H212="","",IF($H212&gt;'설정 Settings'!$C$36,"$2,000 초과: e-Transfer 나눠 받기 (F36)",""))</f>
      </c>
    </row>
    <row r="213" spans="12:18" x14ac:dyDescent="0.25">
      <c r="L213" s="41">
        <f>IF($C213="","",IF($I213="",ROUND(IFERROR($H213*VLOOKUP($F213,'설정 Settings'!$A$122:$F$130,4,0)+VLOOKUP($F213,'설정 Settings'!$A$122:$F$130,5,0),0),2),$I213))</f>
      </c>
      <c r="M213" s="41">
        <f>IF($C213="","",$H213-$L213)</f>
      </c>
      <c r="N213" s="42">
        <f>IF($C213="","",IF($I213="","추정 ESTIMATE","실제 ACTUAL"))</f>
      </c>
      <c r="O213" s="41">
        <f>IF($A213="","",SUMIFS('입금 Payments'!$C$3:$C$1002,'입금 Payments'!$B$3:$B$1002,$A213))</f>
      </c>
      <c r="P213" s="41">
        <f>IF($C213="","",ROUND($H213*(1+IF('설정 Settings'!$C$24="YES",'설정 Settings'!$C$26,0)),2)-N($O213))</f>
      </c>
      <c r="Q213" s="42">
        <f>IF($A213="","","INV-"&amp;$A213)</f>
      </c>
      <c r="R213" s="42">
        <f>IF($H213="","",IF($H213&gt;'설정 Settings'!$C$36,"$2,000 초과: e-Transfer 나눠 받기 (F36)",""))</f>
      </c>
    </row>
    <row r="214" spans="12:18" x14ac:dyDescent="0.25">
      <c r="L214" s="41">
        <f>IF($C214="","",IF($I214="",ROUND(IFERROR($H214*VLOOKUP($F214,'설정 Settings'!$A$122:$F$130,4,0)+VLOOKUP($F214,'설정 Settings'!$A$122:$F$130,5,0),0),2),$I214))</f>
      </c>
      <c r="M214" s="41">
        <f>IF($C214="","",$H214-$L214)</f>
      </c>
      <c r="N214" s="42">
        <f>IF($C214="","",IF($I214="","추정 ESTIMATE","실제 ACTUAL"))</f>
      </c>
      <c r="O214" s="41">
        <f>IF($A214="","",SUMIFS('입금 Payments'!$C$3:$C$1002,'입금 Payments'!$B$3:$B$1002,$A214))</f>
      </c>
      <c r="P214" s="41">
        <f>IF($C214="","",ROUND($H214*(1+IF('설정 Settings'!$C$24="YES",'설정 Settings'!$C$26,0)),2)-N($O214))</f>
      </c>
      <c r="Q214" s="42">
        <f>IF($A214="","","INV-"&amp;$A214)</f>
      </c>
      <c r="R214" s="42">
        <f>IF($H214="","",IF($H214&gt;'설정 Settings'!$C$36,"$2,000 초과: e-Transfer 나눠 받기 (F36)",""))</f>
      </c>
    </row>
    <row r="215" spans="12:18" x14ac:dyDescent="0.25">
      <c r="L215" s="41">
        <f>IF($C215="","",IF($I215="",ROUND(IFERROR($H215*VLOOKUP($F215,'설정 Settings'!$A$122:$F$130,4,0)+VLOOKUP($F215,'설정 Settings'!$A$122:$F$130,5,0),0),2),$I215))</f>
      </c>
      <c r="M215" s="41">
        <f>IF($C215="","",$H215-$L215)</f>
      </c>
      <c r="N215" s="42">
        <f>IF($C215="","",IF($I215="","추정 ESTIMATE","실제 ACTUAL"))</f>
      </c>
      <c r="O215" s="41">
        <f>IF($A215="","",SUMIFS('입금 Payments'!$C$3:$C$1002,'입금 Payments'!$B$3:$B$1002,$A215))</f>
      </c>
      <c r="P215" s="41">
        <f>IF($C215="","",ROUND($H215*(1+IF('설정 Settings'!$C$24="YES",'설정 Settings'!$C$26,0)),2)-N($O215))</f>
      </c>
      <c r="Q215" s="42">
        <f>IF($A215="","","INV-"&amp;$A215)</f>
      </c>
      <c r="R215" s="42">
        <f>IF($H215="","",IF($H215&gt;'설정 Settings'!$C$36,"$2,000 초과: e-Transfer 나눠 받기 (F36)",""))</f>
      </c>
    </row>
    <row r="216" spans="12:18" x14ac:dyDescent="0.25">
      <c r="L216" s="41">
        <f>IF($C216="","",IF($I216="",ROUND(IFERROR($H216*VLOOKUP($F216,'설정 Settings'!$A$122:$F$130,4,0)+VLOOKUP($F216,'설정 Settings'!$A$122:$F$130,5,0),0),2),$I216))</f>
      </c>
      <c r="M216" s="41">
        <f>IF($C216="","",$H216-$L216)</f>
      </c>
      <c r="N216" s="42">
        <f>IF($C216="","",IF($I216="","추정 ESTIMATE","실제 ACTUAL"))</f>
      </c>
      <c r="O216" s="41">
        <f>IF($A216="","",SUMIFS('입금 Payments'!$C$3:$C$1002,'입금 Payments'!$B$3:$B$1002,$A216))</f>
      </c>
      <c r="P216" s="41">
        <f>IF($C216="","",ROUND($H216*(1+IF('설정 Settings'!$C$24="YES",'설정 Settings'!$C$26,0)),2)-N($O216))</f>
      </c>
      <c r="Q216" s="42">
        <f>IF($A216="","","INV-"&amp;$A216)</f>
      </c>
      <c r="R216" s="42">
        <f>IF($H216="","",IF($H216&gt;'설정 Settings'!$C$36,"$2,000 초과: e-Transfer 나눠 받기 (F36)",""))</f>
      </c>
    </row>
    <row r="217" spans="12:18" x14ac:dyDescent="0.25">
      <c r="L217" s="41">
        <f>IF($C217="","",IF($I217="",ROUND(IFERROR($H217*VLOOKUP($F217,'설정 Settings'!$A$122:$F$130,4,0)+VLOOKUP($F217,'설정 Settings'!$A$122:$F$130,5,0),0),2),$I217))</f>
      </c>
      <c r="M217" s="41">
        <f>IF($C217="","",$H217-$L217)</f>
      </c>
      <c r="N217" s="42">
        <f>IF($C217="","",IF($I217="","추정 ESTIMATE","실제 ACTUAL"))</f>
      </c>
      <c r="O217" s="41">
        <f>IF($A217="","",SUMIFS('입금 Payments'!$C$3:$C$1002,'입금 Payments'!$B$3:$B$1002,$A217))</f>
      </c>
      <c r="P217" s="41">
        <f>IF($C217="","",ROUND($H217*(1+IF('설정 Settings'!$C$24="YES",'설정 Settings'!$C$26,0)),2)-N($O217))</f>
      </c>
      <c r="Q217" s="42">
        <f>IF($A217="","","INV-"&amp;$A217)</f>
      </c>
      <c r="R217" s="42">
        <f>IF($H217="","",IF($H217&gt;'설정 Settings'!$C$36,"$2,000 초과: e-Transfer 나눠 받기 (F36)",""))</f>
      </c>
    </row>
    <row r="218" spans="12:18" x14ac:dyDescent="0.25">
      <c r="L218" s="41">
        <f>IF($C218="","",IF($I218="",ROUND(IFERROR($H218*VLOOKUP($F218,'설정 Settings'!$A$122:$F$130,4,0)+VLOOKUP($F218,'설정 Settings'!$A$122:$F$130,5,0),0),2),$I218))</f>
      </c>
      <c r="M218" s="41">
        <f>IF($C218="","",$H218-$L218)</f>
      </c>
      <c r="N218" s="42">
        <f>IF($C218="","",IF($I218="","추정 ESTIMATE","실제 ACTUAL"))</f>
      </c>
      <c r="O218" s="41">
        <f>IF($A218="","",SUMIFS('입금 Payments'!$C$3:$C$1002,'입금 Payments'!$B$3:$B$1002,$A218))</f>
      </c>
      <c r="P218" s="41">
        <f>IF($C218="","",ROUND($H218*(1+IF('설정 Settings'!$C$24="YES",'설정 Settings'!$C$26,0)),2)-N($O218))</f>
      </c>
      <c r="Q218" s="42">
        <f>IF($A218="","","INV-"&amp;$A218)</f>
      </c>
      <c r="R218" s="42">
        <f>IF($H218="","",IF($H218&gt;'설정 Settings'!$C$36,"$2,000 초과: e-Transfer 나눠 받기 (F36)",""))</f>
      </c>
    </row>
    <row r="219" spans="12:18" x14ac:dyDescent="0.25">
      <c r="L219" s="41">
        <f>IF($C219="","",IF($I219="",ROUND(IFERROR($H219*VLOOKUP($F219,'설정 Settings'!$A$122:$F$130,4,0)+VLOOKUP($F219,'설정 Settings'!$A$122:$F$130,5,0),0),2),$I219))</f>
      </c>
      <c r="M219" s="41">
        <f>IF($C219="","",$H219-$L219)</f>
      </c>
      <c r="N219" s="42">
        <f>IF($C219="","",IF($I219="","추정 ESTIMATE","실제 ACTUAL"))</f>
      </c>
      <c r="O219" s="41">
        <f>IF($A219="","",SUMIFS('입금 Payments'!$C$3:$C$1002,'입금 Payments'!$B$3:$B$1002,$A219))</f>
      </c>
      <c r="P219" s="41">
        <f>IF($C219="","",ROUND($H219*(1+IF('설정 Settings'!$C$24="YES",'설정 Settings'!$C$26,0)),2)-N($O219))</f>
      </c>
      <c r="Q219" s="42">
        <f>IF($A219="","","INV-"&amp;$A219)</f>
      </c>
      <c r="R219" s="42">
        <f>IF($H219="","",IF($H219&gt;'설정 Settings'!$C$36,"$2,000 초과: e-Transfer 나눠 받기 (F36)",""))</f>
      </c>
    </row>
    <row r="220" spans="12:18" x14ac:dyDescent="0.25">
      <c r="L220" s="41">
        <f>IF($C220="","",IF($I220="",ROUND(IFERROR($H220*VLOOKUP($F220,'설정 Settings'!$A$122:$F$130,4,0)+VLOOKUP($F220,'설정 Settings'!$A$122:$F$130,5,0),0),2),$I220))</f>
      </c>
      <c r="M220" s="41">
        <f>IF($C220="","",$H220-$L220)</f>
      </c>
      <c r="N220" s="42">
        <f>IF($C220="","",IF($I220="","추정 ESTIMATE","실제 ACTUAL"))</f>
      </c>
      <c r="O220" s="41">
        <f>IF($A220="","",SUMIFS('입금 Payments'!$C$3:$C$1002,'입금 Payments'!$B$3:$B$1002,$A220))</f>
      </c>
      <c r="P220" s="41">
        <f>IF($C220="","",ROUND($H220*(1+IF('설정 Settings'!$C$24="YES",'설정 Settings'!$C$26,0)),2)-N($O220))</f>
      </c>
      <c r="Q220" s="42">
        <f>IF($A220="","","INV-"&amp;$A220)</f>
      </c>
      <c r="R220" s="42">
        <f>IF($H220="","",IF($H220&gt;'설정 Settings'!$C$36,"$2,000 초과: e-Transfer 나눠 받기 (F36)",""))</f>
      </c>
    </row>
    <row r="221" spans="12:18" x14ac:dyDescent="0.25">
      <c r="L221" s="41">
        <f>IF($C221="","",IF($I221="",ROUND(IFERROR($H221*VLOOKUP($F221,'설정 Settings'!$A$122:$F$130,4,0)+VLOOKUP($F221,'설정 Settings'!$A$122:$F$130,5,0),0),2),$I221))</f>
      </c>
      <c r="M221" s="41">
        <f>IF($C221="","",$H221-$L221)</f>
      </c>
      <c r="N221" s="42">
        <f>IF($C221="","",IF($I221="","추정 ESTIMATE","실제 ACTUAL"))</f>
      </c>
      <c r="O221" s="41">
        <f>IF($A221="","",SUMIFS('입금 Payments'!$C$3:$C$1002,'입금 Payments'!$B$3:$B$1002,$A221))</f>
      </c>
      <c r="P221" s="41">
        <f>IF($C221="","",ROUND($H221*(1+IF('설정 Settings'!$C$24="YES",'설정 Settings'!$C$26,0)),2)-N($O221))</f>
      </c>
      <c r="Q221" s="42">
        <f>IF($A221="","","INV-"&amp;$A221)</f>
      </c>
      <c r="R221" s="42">
        <f>IF($H221="","",IF($H221&gt;'설정 Settings'!$C$36,"$2,000 초과: e-Transfer 나눠 받기 (F36)",""))</f>
      </c>
    </row>
    <row r="222" spans="12:18" x14ac:dyDescent="0.25">
      <c r="L222" s="41">
        <f>IF($C222="","",IF($I222="",ROUND(IFERROR($H222*VLOOKUP($F222,'설정 Settings'!$A$122:$F$130,4,0)+VLOOKUP($F222,'설정 Settings'!$A$122:$F$130,5,0),0),2),$I222))</f>
      </c>
      <c r="M222" s="41">
        <f>IF($C222="","",$H222-$L222)</f>
      </c>
      <c r="N222" s="42">
        <f>IF($C222="","",IF($I222="","추정 ESTIMATE","실제 ACTUAL"))</f>
      </c>
      <c r="O222" s="41">
        <f>IF($A222="","",SUMIFS('입금 Payments'!$C$3:$C$1002,'입금 Payments'!$B$3:$B$1002,$A222))</f>
      </c>
      <c r="P222" s="41">
        <f>IF($C222="","",ROUND($H222*(1+IF('설정 Settings'!$C$24="YES",'설정 Settings'!$C$26,0)),2)-N($O222))</f>
      </c>
      <c r="Q222" s="42">
        <f>IF($A222="","","INV-"&amp;$A222)</f>
      </c>
      <c r="R222" s="42">
        <f>IF($H222="","",IF($H222&gt;'설정 Settings'!$C$36,"$2,000 초과: e-Transfer 나눠 받기 (F36)",""))</f>
      </c>
    </row>
    <row r="223" spans="12:18" x14ac:dyDescent="0.25">
      <c r="L223" s="41">
        <f>IF($C223="","",IF($I223="",ROUND(IFERROR($H223*VLOOKUP($F223,'설정 Settings'!$A$122:$F$130,4,0)+VLOOKUP($F223,'설정 Settings'!$A$122:$F$130,5,0),0),2),$I223))</f>
      </c>
      <c r="M223" s="41">
        <f>IF($C223="","",$H223-$L223)</f>
      </c>
      <c r="N223" s="42">
        <f>IF($C223="","",IF($I223="","추정 ESTIMATE","실제 ACTUAL"))</f>
      </c>
      <c r="O223" s="41">
        <f>IF($A223="","",SUMIFS('입금 Payments'!$C$3:$C$1002,'입금 Payments'!$B$3:$B$1002,$A223))</f>
      </c>
      <c r="P223" s="41">
        <f>IF($C223="","",ROUND($H223*(1+IF('설정 Settings'!$C$24="YES",'설정 Settings'!$C$26,0)),2)-N($O223))</f>
      </c>
      <c r="Q223" s="42">
        <f>IF($A223="","","INV-"&amp;$A223)</f>
      </c>
      <c r="R223" s="42">
        <f>IF($H223="","",IF($H223&gt;'설정 Settings'!$C$36,"$2,000 초과: e-Transfer 나눠 받기 (F36)",""))</f>
      </c>
    </row>
    <row r="224" spans="12:18" x14ac:dyDescent="0.25">
      <c r="L224" s="41">
        <f>IF($C224="","",IF($I224="",ROUND(IFERROR($H224*VLOOKUP($F224,'설정 Settings'!$A$122:$F$130,4,0)+VLOOKUP($F224,'설정 Settings'!$A$122:$F$130,5,0),0),2),$I224))</f>
      </c>
      <c r="M224" s="41">
        <f>IF($C224="","",$H224-$L224)</f>
      </c>
      <c r="N224" s="42">
        <f>IF($C224="","",IF($I224="","추정 ESTIMATE","실제 ACTUAL"))</f>
      </c>
      <c r="O224" s="41">
        <f>IF($A224="","",SUMIFS('입금 Payments'!$C$3:$C$1002,'입금 Payments'!$B$3:$B$1002,$A224))</f>
      </c>
      <c r="P224" s="41">
        <f>IF($C224="","",ROUND($H224*(1+IF('설정 Settings'!$C$24="YES",'설정 Settings'!$C$26,0)),2)-N($O224))</f>
      </c>
      <c r="Q224" s="42">
        <f>IF($A224="","","INV-"&amp;$A224)</f>
      </c>
      <c r="R224" s="42">
        <f>IF($H224="","",IF($H224&gt;'설정 Settings'!$C$36,"$2,000 초과: e-Transfer 나눠 받기 (F36)",""))</f>
      </c>
    </row>
    <row r="225" spans="12:18" x14ac:dyDescent="0.25">
      <c r="L225" s="41">
        <f>IF($C225="","",IF($I225="",ROUND(IFERROR($H225*VLOOKUP($F225,'설정 Settings'!$A$122:$F$130,4,0)+VLOOKUP($F225,'설정 Settings'!$A$122:$F$130,5,0),0),2),$I225))</f>
      </c>
      <c r="M225" s="41">
        <f>IF($C225="","",$H225-$L225)</f>
      </c>
      <c r="N225" s="42">
        <f>IF($C225="","",IF($I225="","추정 ESTIMATE","실제 ACTUAL"))</f>
      </c>
      <c r="O225" s="41">
        <f>IF($A225="","",SUMIFS('입금 Payments'!$C$3:$C$1002,'입금 Payments'!$B$3:$B$1002,$A225))</f>
      </c>
      <c r="P225" s="41">
        <f>IF($C225="","",ROUND($H225*(1+IF('설정 Settings'!$C$24="YES",'설정 Settings'!$C$26,0)),2)-N($O225))</f>
      </c>
      <c r="Q225" s="42">
        <f>IF($A225="","","INV-"&amp;$A225)</f>
      </c>
      <c r="R225" s="42">
        <f>IF($H225="","",IF($H225&gt;'설정 Settings'!$C$36,"$2,000 초과: e-Transfer 나눠 받기 (F36)",""))</f>
      </c>
    </row>
    <row r="226" spans="12:18" x14ac:dyDescent="0.25">
      <c r="L226" s="41">
        <f>IF($C226="","",IF($I226="",ROUND(IFERROR($H226*VLOOKUP($F226,'설정 Settings'!$A$122:$F$130,4,0)+VLOOKUP($F226,'설정 Settings'!$A$122:$F$130,5,0),0),2),$I226))</f>
      </c>
      <c r="M226" s="41">
        <f>IF($C226="","",$H226-$L226)</f>
      </c>
      <c r="N226" s="42">
        <f>IF($C226="","",IF($I226="","추정 ESTIMATE","실제 ACTUAL"))</f>
      </c>
      <c r="O226" s="41">
        <f>IF($A226="","",SUMIFS('입금 Payments'!$C$3:$C$1002,'입금 Payments'!$B$3:$B$1002,$A226))</f>
      </c>
      <c r="P226" s="41">
        <f>IF($C226="","",ROUND($H226*(1+IF('설정 Settings'!$C$24="YES",'설정 Settings'!$C$26,0)),2)-N($O226))</f>
      </c>
      <c r="Q226" s="42">
        <f>IF($A226="","","INV-"&amp;$A226)</f>
      </c>
      <c r="R226" s="42">
        <f>IF($H226="","",IF($H226&gt;'설정 Settings'!$C$36,"$2,000 초과: e-Transfer 나눠 받기 (F36)",""))</f>
      </c>
    </row>
    <row r="227" spans="12:18" x14ac:dyDescent="0.25">
      <c r="L227" s="41">
        <f>IF($C227="","",IF($I227="",ROUND(IFERROR($H227*VLOOKUP($F227,'설정 Settings'!$A$122:$F$130,4,0)+VLOOKUP($F227,'설정 Settings'!$A$122:$F$130,5,0),0),2),$I227))</f>
      </c>
      <c r="M227" s="41">
        <f>IF($C227="","",$H227-$L227)</f>
      </c>
      <c r="N227" s="42">
        <f>IF($C227="","",IF($I227="","추정 ESTIMATE","실제 ACTUAL"))</f>
      </c>
      <c r="O227" s="41">
        <f>IF($A227="","",SUMIFS('입금 Payments'!$C$3:$C$1002,'입금 Payments'!$B$3:$B$1002,$A227))</f>
      </c>
      <c r="P227" s="41">
        <f>IF($C227="","",ROUND($H227*(1+IF('설정 Settings'!$C$24="YES",'설정 Settings'!$C$26,0)),2)-N($O227))</f>
      </c>
      <c r="Q227" s="42">
        <f>IF($A227="","","INV-"&amp;$A227)</f>
      </c>
      <c r="R227" s="42">
        <f>IF($H227="","",IF($H227&gt;'설정 Settings'!$C$36,"$2,000 초과: e-Transfer 나눠 받기 (F36)",""))</f>
      </c>
    </row>
    <row r="228" spans="12:18" x14ac:dyDescent="0.25">
      <c r="L228" s="41">
        <f>IF($C228="","",IF($I228="",ROUND(IFERROR($H228*VLOOKUP($F228,'설정 Settings'!$A$122:$F$130,4,0)+VLOOKUP($F228,'설정 Settings'!$A$122:$F$130,5,0),0),2),$I228))</f>
      </c>
      <c r="M228" s="41">
        <f>IF($C228="","",$H228-$L228)</f>
      </c>
      <c r="N228" s="42">
        <f>IF($C228="","",IF($I228="","추정 ESTIMATE","실제 ACTUAL"))</f>
      </c>
      <c r="O228" s="41">
        <f>IF($A228="","",SUMIFS('입금 Payments'!$C$3:$C$1002,'입금 Payments'!$B$3:$B$1002,$A228))</f>
      </c>
      <c r="P228" s="41">
        <f>IF($C228="","",ROUND($H228*(1+IF('설정 Settings'!$C$24="YES",'설정 Settings'!$C$26,0)),2)-N($O228))</f>
      </c>
      <c r="Q228" s="42">
        <f>IF($A228="","","INV-"&amp;$A228)</f>
      </c>
      <c r="R228" s="42">
        <f>IF($H228="","",IF($H228&gt;'설정 Settings'!$C$36,"$2,000 초과: e-Transfer 나눠 받기 (F36)",""))</f>
      </c>
    </row>
    <row r="229" spans="12:18" x14ac:dyDescent="0.25">
      <c r="L229" s="41">
        <f>IF($C229="","",IF($I229="",ROUND(IFERROR($H229*VLOOKUP($F229,'설정 Settings'!$A$122:$F$130,4,0)+VLOOKUP($F229,'설정 Settings'!$A$122:$F$130,5,0),0),2),$I229))</f>
      </c>
      <c r="M229" s="41">
        <f>IF($C229="","",$H229-$L229)</f>
      </c>
      <c r="N229" s="42">
        <f>IF($C229="","",IF($I229="","추정 ESTIMATE","실제 ACTUAL"))</f>
      </c>
      <c r="O229" s="41">
        <f>IF($A229="","",SUMIFS('입금 Payments'!$C$3:$C$1002,'입금 Payments'!$B$3:$B$1002,$A229))</f>
      </c>
      <c r="P229" s="41">
        <f>IF($C229="","",ROUND($H229*(1+IF('설정 Settings'!$C$24="YES",'설정 Settings'!$C$26,0)),2)-N($O229))</f>
      </c>
      <c r="Q229" s="42">
        <f>IF($A229="","","INV-"&amp;$A229)</f>
      </c>
      <c r="R229" s="42">
        <f>IF($H229="","",IF($H229&gt;'설정 Settings'!$C$36,"$2,000 초과: e-Transfer 나눠 받기 (F36)",""))</f>
      </c>
    </row>
    <row r="230" spans="12:18" x14ac:dyDescent="0.25">
      <c r="L230" s="41">
        <f>IF($C230="","",IF($I230="",ROUND(IFERROR($H230*VLOOKUP($F230,'설정 Settings'!$A$122:$F$130,4,0)+VLOOKUP($F230,'설정 Settings'!$A$122:$F$130,5,0),0),2),$I230))</f>
      </c>
      <c r="M230" s="41">
        <f>IF($C230="","",$H230-$L230)</f>
      </c>
      <c r="N230" s="42">
        <f>IF($C230="","",IF($I230="","추정 ESTIMATE","실제 ACTUAL"))</f>
      </c>
      <c r="O230" s="41">
        <f>IF($A230="","",SUMIFS('입금 Payments'!$C$3:$C$1002,'입금 Payments'!$B$3:$B$1002,$A230))</f>
      </c>
      <c r="P230" s="41">
        <f>IF($C230="","",ROUND($H230*(1+IF('설정 Settings'!$C$24="YES",'설정 Settings'!$C$26,0)),2)-N($O230))</f>
      </c>
      <c r="Q230" s="42">
        <f>IF($A230="","","INV-"&amp;$A230)</f>
      </c>
      <c r="R230" s="42">
        <f>IF($H230="","",IF($H230&gt;'설정 Settings'!$C$36,"$2,000 초과: e-Transfer 나눠 받기 (F36)",""))</f>
      </c>
    </row>
    <row r="231" spans="12:18" x14ac:dyDescent="0.25">
      <c r="L231" s="41">
        <f>IF($C231="","",IF($I231="",ROUND(IFERROR($H231*VLOOKUP($F231,'설정 Settings'!$A$122:$F$130,4,0)+VLOOKUP($F231,'설정 Settings'!$A$122:$F$130,5,0),0),2),$I231))</f>
      </c>
      <c r="M231" s="41">
        <f>IF($C231="","",$H231-$L231)</f>
      </c>
      <c r="N231" s="42">
        <f>IF($C231="","",IF($I231="","추정 ESTIMATE","실제 ACTUAL"))</f>
      </c>
      <c r="O231" s="41">
        <f>IF($A231="","",SUMIFS('입금 Payments'!$C$3:$C$1002,'입금 Payments'!$B$3:$B$1002,$A231))</f>
      </c>
      <c r="P231" s="41">
        <f>IF($C231="","",ROUND($H231*(1+IF('설정 Settings'!$C$24="YES",'설정 Settings'!$C$26,0)),2)-N($O231))</f>
      </c>
      <c r="Q231" s="42">
        <f>IF($A231="","","INV-"&amp;$A231)</f>
      </c>
      <c r="R231" s="42">
        <f>IF($H231="","",IF($H231&gt;'설정 Settings'!$C$36,"$2,000 초과: e-Transfer 나눠 받기 (F36)",""))</f>
      </c>
    </row>
    <row r="232" spans="12:18" x14ac:dyDescent="0.25">
      <c r="L232" s="41">
        <f>IF($C232="","",IF($I232="",ROUND(IFERROR($H232*VLOOKUP($F232,'설정 Settings'!$A$122:$F$130,4,0)+VLOOKUP($F232,'설정 Settings'!$A$122:$F$130,5,0),0),2),$I232))</f>
      </c>
      <c r="M232" s="41">
        <f>IF($C232="","",$H232-$L232)</f>
      </c>
      <c r="N232" s="42">
        <f>IF($C232="","",IF($I232="","추정 ESTIMATE","실제 ACTUAL"))</f>
      </c>
      <c r="O232" s="41">
        <f>IF($A232="","",SUMIFS('입금 Payments'!$C$3:$C$1002,'입금 Payments'!$B$3:$B$1002,$A232))</f>
      </c>
      <c r="P232" s="41">
        <f>IF($C232="","",ROUND($H232*(1+IF('설정 Settings'!$C$24="YES",'설정 Settings'!$C$26,0)),2)-N($O232))</f>
      </c>
      <c r="Q232" s="42">
        <f>IF($A232="","","INV-"&amp;$A232)</f>
      </c>
      <c r="R232" s="42">
        <f>IF($H232="","",IF($H232&gt;'설정 Settings'!$C$36,"$2,000 초과: e-Transfer 나눠 받기 (F36)",""))</f>
      </c>
    </row>
    <row r="233" spans="12:18" x14ac:dyDescent="0.25">
      <c r="L233" s="41">
        <f>IF($C233="","",IF($I233="",ROUND(IFERROR($H233*VLOOKUP($F233,'설정 Settings'!$A$122:$F$130,4,0)+VLOOKUP($F233,'설정 Settings'!$A$122:$F$130,5,0),0),2),$I233))</f>
      </c>
      <c r="M233" s="41">
        <f>IF($C233="","",$H233-$L233)</f>
      </c>
      <c r="N233" s="42">
        <f>IF($C233="","",IF($I233="","추정 ESTIMATE","실제 ACTUAL"))</f>
      </c>
      <c r="O233" s="41">
        <f>IF($A233="","",SUMIFS('입금 Payments'!$C$3:$C$1002,'입금 Payments'!$B$3:$B$1002,$A233))</f>
      </c>
      <c r="P233" s="41">
        <f>IF($C233="","",ROUND($H233*(1+IF('설정 Settings'!$C$24="YES",'설정 Settings'!$C$26,0)),2)-N($O233))</f>
      </c>
      <c r="Q233" s="42">
        <f>IF($A233="","","INV-"&amp;$A233)</f>
      </c>
      <c r="R233" s="42">
        <f>IF($H233="","",IF($H233&gt;'설정 Settings'!$C$36,"$2,000 초과: e-Transfer 나눠 받기 (F36)",""))</f>
      </c>
    </row>
    <row r="234" spans="12:18" x14ac:dyDescent="0.25">
      <c r="L234" s="41">
        <f>IF($C234="","",IF($I234="",ROUND(IFERROR($H234*VLOOKUP($F234,'설정 Settings'!$A$122:$F$130,4,0)+VLOOKUP($F234,'설정 Settings'!$A$122:$F$130,5,0),0),2),$I234))</f>
      </c>
      <c r="M234" s="41">
        <f>IF($C234="","",$H234-$L234)</f>
      </c>
      <c r="N234" s="42">
        <f>IF($C234="","",IF($I234="","추정 ESTIMATE","실제 ACTUAL"))</f>
      </c>
      <c r="O234" s="41">
        <f>IF($A234="","",SUMIFS('입금 Payments'!$C$3:$C$1002,'입금 Payments'!$B$3:$B$1002,$A234))</f>
      </c>
      <c r="P234" s="41">
        <f>IF($C234="","",ROUND($H234*(1+IF('설정 Settings'!$C$24="YES",'설정 Settings'!$C$26,0)),2)-N($O234))</f>
      </c>
      <c r="Q234" s="42">
        <f>IF($A234="","","INV-"&amp;$A234)</f>
      </c>
      <c r="R234" s="42">
        <f>IF($H234="","",IF($H234&gt;'설정 Settings'!$C$36,"$2,000 초과: e-Transfer 나눠 받기 (F36)",""))</f>
      </c>
    </row>
    <row r="235" spans="12:18" x14ac:dyDescent="0.25">
      <c r="L235" s="41">
        <f>IF($C235="","",IF($I235="",ROUND(IFERROR($H235*VLOOKUP($F235,'설정 Settings'!$A$122:$F$130,4,0)+VLOOKUP($F235,'설정 Settings'!$A$122:$F$130,5,0),0),2),$I235))</f>
      </c>
      <c r="M235" s="41">
        <f>IF($C235="","",$H235-$L235)</f>
      </c>
      <c r="N235" s="42">
        <f>IF($C235="","",IF($I235="","추정 ESTIMATE","실제 ACTUAL"))</f>
      </c>
      <c r="O235" s="41">
        <f>IF($A235="","",SUMIFS('입금 Payments'!$C$3:$C$1002,'입금 Payments'!$B$3:$B$1002,$A235))</f>
      </c>
      <c r="P235" s="41">
        <f>IF($C235="","",ROUND($H235*(1+IF('설정 Settings'!$C$24="YES",'설정 Settings'!$C$26,0)),2)-N($O235))</f>
      </c>
      <c r="Q235" s="42">
        <f>IF($A235="","","INV-"&amp;$A235)</f>
      </c>
      <c r="R235" s="42">
        <f>IF($H235="","",IF($H235&gt;'설정 Settings'!$C$36,"$2,000 초과: e-Transfer 나눠 받기 (F36)",""))</f>
      </c>
    </row>
    <row r="236" spans="12:18" x14ac:dyDescent="0.25">
      <c r="L236" s="41">
        <f>IF($C236="","",IF($I236="",ROUND(IFERROR($H236*VLOOKUP($F236,'설정 Settings'!$A$122:$F$130,4,0)+VLOOKUP($F236,'설정 Settings'!$A$122:$F$130,5,0),0),2),$I236))</f>
      </c>
      <c r="M236" s="41">
        <f>IF($C236="","",$H236-$L236)</f>
      </c>
      <c r="N236" s="42">
        <f>IF($C236="","",IF($I236="","추정 ESTIMATE","실제 ACTUAL"))</f>
      </c>
      <c r="O236" s="41">
        <f>IF($A236="","",SUMIFS('입금 Payments'!$C$3:$C$1002,'입금 Payments'!$B$3:$B$1002,$A236))</f>
      </c>
      <c r="P236" s="41">
        <f>IF($C236="","",ROUND($H236*(1+IF('설정 Settings'!$C$24="YES",'설정 Settings'!$C$26,0)),2)-N($O236))</f>
      </c>
      <c r="Q236" s="42">
        <f>IF($A236="","","INV-"&amp;$A236)</f>
      </c>
      <c r="R236" s="42">
        <f>IF($H236="","",IF($H236&gt;'설정 Settings'!$C$36,"$2,000 초과: e-Transfer 나눠 받기 (F36)",""))</f>
      </c>
    </row>
    <row r="237" spans="12:18" x14ac:dyDescent="0.25">
      <c r="L237" s="41">
        <f>IF($C237="","",IF($I237="",ROUND(IFERROR($H237*VLOOKUP($F237,'설정 Settings'!$A$122:$F$130,4,0)+VLOOKUP($F237,'설정 Settings'!$A$122:$F$130,5,0),0),2),$I237))</f>
      </c>
      <c r="M237" s="41">
        <f>IF($C237="","",$H237-$L237)</f>
      </c>
      <c r="N237" s="42">
        <f>IF($C237="","",IF($I237="","추정 ESTIMATE","실제 ACTUAL"))</f>
      </c>
      <c r="O237" s="41">
        <f>IF($A237="","",SUMIFS('입금 Payments'!$C$3:$C$1002,'입금 Payments'!$B$3:$B$1002,$A237))</f>
      </c>
      <c r="P237" s="41">
        <f>IF($C237="","",ROUND($H237*(1+IF('설정 Settings'!$C$24="YES",'설정 Settings'!$C$26,0)),2)-N($O237))</f>
      </c>
      <c r="Q237" s="42">
        <f>IF($A237="","","INV-"&amp;$A237)</f>
      </c>
      <c r="R237" s="42">
        <f>IF($H237="","",IF($H237&gt;'설정 Settings'!$C$36,"$2,000 초과: e-Transfer 나눠 받기 (F36)",""))</f>
      </c>
    </row>
    <row r="238" spans="12:18" x14ac:dyDescent="0.25">
      <c r="L238" s="41">
        <f>IF($C238="","",IF($I238="",ROUND(IFERROR($H238*VLOOKUP($F238,'설정 Settings'!$A$122:$F$130,4,0)+VLOOKUP($F238,'설정 Settings'!$A$122:$F$130,5,0),0),2),$I238))</f>
      </c>
      <c r="M238" s="41">
        <f>IF($C238="","",$H238-$L238)</f>
      </c>
      <c r="N238" s="42">
        <f>IF($C238="","",IF($I238="","추정 ESTIMATE","실제 ACTUAL"))</f>
      </c>
      <c r="O238" s="41">
        <f>IF($A238="","",SUMIFS('입금 Payments'!$C$3:$C$1002,'입금 Payments'!$B$3:$B$1002,$A238))</f>
      </c>
      <c r="P238" s="41">
        <f>IF($C238="","",ROUND($H238*(1+IF('설정 Settings'!$C$24="YES",'설정 Settings'!$C$26,0)),2)-N($O238))</f>
      </c>
      <c r="Q238" s="42">
        <f>IF($A238="","","INV-"&amp;$A238)</f>
      </c>
      <c r="R238" s="42">
        <f>IF($H238="","",IF($H238&gt;'설정 Settings'!$C$36,"$2,000 초과: e-Transfer 나눠 받기 (F36)",""))</f>
      </c>
    </row>
    <row r="239" spans="12:18" x14ac:dyDescent="0.25">
      <c r="L239" s="41">
        <f>IF($C239="","",IF($I239="",ROUND(IFERROR($H239*VLOOKUP($F239,'설정 Settings'!$A$122:$F$130,4,0)+VLOOKUP($F239,'설정 Settings'!$A$122:$F$130,5,0),0),2),$I239))</f>
      </c>
      <c r="M239" s="41">
        <f>IF($C239="","",$H239-$L239)</f>
      </c>
      <c r="N239" s="42">
        <f>IF($C239="","",IF($I239="","추정 ESTIMATE","실제 ACTUAL"))</f>
      </c>
      <c r="O239" s="41">
        <f>IF($A239="","",SUMIFS('입금 Payments'!$C$3:$C$1002,'입금 Payments'!$B$3:$B$1002,$A239))</f>
      </c>
      <c r="P239" s="41">
        <f>IF($C239="","",ROUND($H239*(1+IF('설정 Settings'!$C$24="YES",'설정 Settings'!$C$26,0)),2)-N($O239))</f>
      </c>
      <c r="Q239" s="42">
        <f>IF($A239="","","INV-"&amp;$A239)</f>
      </c>
      <c r="R239" s="42">
        <f>IF($H239="","",IF($H239&gt;'설정 Settings'!$C$36,"$2,000 초과: e-Transfer 나눠 받기 (F36)",""))</f>
      </c>
    </row>
    <row r="240" spans="12:18" x14ac:dyDescent="0.25">
      <c r="L240" s="41">
        <f>IF($C240="","",IF($I240="",ROUND(IFERROR($H240*VLOOKUP($F240,'설정 Settings'!$A$122:$F$130,4,0)+VLOOKUP($F240,'설정 Settings'!$A$122:$F$130,5,0),0),2),$I240))</f>
      </c>
      <c r="M240" s="41">
        <f>IF($C240="","",$H240-$L240)</f>
      </c>
      <c r="N240" s="42">
        <f>IF($C240="","",IF($I240="","추정 ESTIMATE","실제 ACTUAL"))</f>
      </c>
      <c r="O240" s="41">
        <f>IF($A240="","",SUMIFS('입금 Payments'!$C$3:$C$1002,'입금 Payments'!$B$3:$B$1002,$A240))</f>
      </c>
      <c r="P240" s="41">
        <f>IF($C240="","",ROUND($H240*(1+IF('설정 Settings'!$C$24="YES",'설정 Settings'!$C$26,0)),2)-N($O240))</f>
      </c>
      <c r="Q240" s="42">
        <f>IF($A240="","","INV-"&amp;$A240)</f>
      </c>
      <c r="R240" s="42">
        <f>IF($H240="","",IF($H240&gt;'설정 Settings'!$C$36,"$2,000 초과: e-Transfer 나눠 받기 (F36)",""))</f>
      </c>
    </row>
    <row r="241" spans="12:18" x14ac:dyDescent="0.25">
      <c r="L241" s="41">
        <f>IF($C241="","",IF($I241="",ROUND(IFERROR($H241*VLOOKUP($F241,'설정 Settings'!$A$122:$F$130,4,0)+VLOOKUP($F241,'설정 Settings'!$A$122:$F$130,5,0),0),2),$I241))</f>
      </c>
      <c r="M241" s="41">
        <f>IF($C241="","",$H241-$L241)</f>
      </c>
      <c r="N241" s="42">
        <f>IF($C241="","",IF($I241="","추정 ESTIMATE","실제 ACTUAL"))</f>
      </c>
      <c r="O241" s="41">
        <f>IF($A241="","",SUMIFS('입금 Payments'!$C$3:$C$1002,'입금 Payments'!$B$3:$B$1002,$A241))</f>
      </c>
      <c r="P241" s="41">
        <f>IF($C241="","",ROUND($H241*(1+IF('설정 Settings'!$C$24="YES",'설정 Settings'!$C$26,0)),2)-N($O241))</f>
      </c>
      <c r="Q241" s="42">
        <f>IF($A241="","","INV-"&amp;$A241)</f>
      </c>
      <c r="R241" s="42">
        <f>IF($H241="","",IF($H241&gt;'설정 Settings'!$C$36,"$2,000 초과: e-Transfer 나눠 받기 (F36)",""))</f>
      </c>
    </row>
    <row r="242" spans="12:18" x14ac:dyDescent="0.25">
      <c r="L242" s="41">
        <f>IF($C242="","",IF($I242="",ROUND(IFERROR($H242*VLOOKUP($F242,'설정 Settings'!$A$122:$F$130,4,0)+VLOOKUP($F242,'설정 Settings'!$A$122:$F$130,5,0),0),2),$I242))</f>
      </c>
      <c r="M242" s="41">
        <f>IF($C242="","",$H242-$L242)</f>
      </c>
      <c r="N242" s="42">
        <f>IF($C242="","",IF($I242="","추정 ESTIMATE","실제 ACTUAL"))</f>
      </c>
      <c r="O242" s="41">
        <f>IF($A242="","",SUMIFS('입금 Payments'!$C$3:$C$1002,'입금 Payments'!$B$3:$B$1002,$A242))</f>
      </c>
      <c r="P242" s="41">
        <f>IF($C242="","",ROUND($H242*(1+IF('설정 Settings'!$C$24="YES",'설정 Settings'!$C$26,0)),2)-N($O242))</f>
      </c>
      <c r="Q242" s="42">
        <f>IF($A242="","","INV-"&amp;$A242)</f>
      </c>
      <c r="R242" s="42">
        <f>IF($H242="","",IF($H242&gt;'설정 Settings'!$C$36,"$2,000 초과: e-Transfer 나눠 받기 (F36)",""))</f>
      </c>
    </row>
    <row r="243" spans="12:18" x14ac:dyDescent="0.25">
      <c r="L243" s="41">
        <f>IF($C243="","",IF($I243="",ROUND(IFERROR($H243*VLOOKUP($F243,'설정 Settings'!$A$122:$F$130,4,0)+VLOOKUP($F243,'설정 Settings'!$A$122:$F$130,5,0),0),2),$I243))</f>
      </c>
      <c r="M243" s="41">
        <f>IF($C243="","",$H243-$L243)</f>
      </c>
      <c r="N243" s="42">
        <f>IF($C243="","",IF($I243="","추정 ESTIMATE","실제 ACTUAL"))</f>
      </c>
      <c r="O243" s="41">
        <f>IF($A243="","",SUMIFS('입금 Payments'!$C$3:$C$1002,'입금 Payments'!$B$3:$B$1002,$A243))</f>
      </c>
      <c r="P243" s="41">
        <f>IF($C243="","",ROUND($H243*(1+IF('설정 Settings'!$C$24="YES",'설정 Settings'!$C$26,0)),2)-N($O243))</f>
      </c>
      <c r="Q243" s="42">
        <f>IF($A243="","","INV-"&amp;$A243)</f>
      </c>
      <c r="R243" s="42">
        <f>IF($H243="","",IF($H243&gt;'설정 Settings'!$C$36,"$2,000 초과: e-Transfer 나눠 받기 (F36)",""))</f>
      </c>
    </row>
    <row r="244" spans="12:18" x14ac:dyDescent="0.25">
      <c r="L244" s="41">
        <f>IF($C244="","",IF($I244="",ROUND(IFERROR($H244*VLOOKUP($F244,'설정 Settings'!$A$122:$F$130,4,0)+VLOOKUP($F244,'설정 Settings'!$A$122:$F$130,5,0),0),2),$I244))</f>
      </c>
      <c r="M244" s="41">
        <f>IF($C244="","",$H244-$L244)</f>
      </c>
      <c r="N244" s="42">
        <f>IF($C244="","",IF($I244="","추정 ESTIMATE","실제 ACTUAL"))</f>
      </c>
      <c r="O244" s="41">
        <f>IF($A244="","",SUMIFS('입금 Payments'!$C$3:$C$1002,'입금 Payments'!$B$3:$B$1002,$A244))</f>
      </c>
      <c r="P244" s="41">
        <f>IF($C244="","",ROUND($H244*(1+IF('설정 Settings'!$C$24="YES",'설정 Settings'!$C$26,0)),2)-N($O244))</f>
      </c>
      <c r="Q244" s="42">
        <f>IF($A244="","","INV-"&amp;$A244)</f>
      </c>
      <c r="R244" s="42">
        <f>IF($H244="","",IF($H244&gt;'설정 Settings'!$C$36,"$2,000 초과: e-Transfer 나눠 받기 (F36)",""))</f>
      </c>
    </row>
    <row r="245" spans="12:18" x14ac:dyDescent="0.25">
      <c r="L245" s="41">
        <f>IF($C245="","",IF($I245="",ROUND(IFERROR($H245*VLOOKUP($F245,'설정 Settings'!$A$122:$F$130,4,0)+VLOOKUP($F245,'설정 Settings'!$A$122:$F$130,5,0),0),2),$I245))</f>
      </c>
      <c r="M245" s="41">
        <f>IF($C245="","",$H245-$L245)</f>
      </c>
      <c r="N245" s="42">
        <f>IF($C245="","",IF($I245="","추정 ESTIMATE","실제 ACTUAL"))</f>
      </c>
      <c r="O245" s="41">
        <f>IF($A245="","",SUMIFS('입금 Payments'!$C$3:$C$1002,'입금 Payments'!$B$3:$B$1002,$A245))</f>
      </c>
      <c r="P245" s="41">
        <f>IF($C245="","",ROUND($H245*(1+IF('설정 Settings'!$C$24="YES",'설정 Settings'!$C$26,0)),2)-N($O245))</f>
      </c>
      <c r="Q245" s="42">
        <f>IF($A245="","","INV-"&amp;$A245)</f>
      </c>
      <c r="R245" s="42">
        <f>IF($H245="","",IF($H245&gt;'설정 Settings'!$C$36,"$2,000 초과: e-Transfer 나눠 받기 (F36)",""))</f>
      </c>
    </row>
    <row r="246" spans="12:18" x14ac:dyDescent="0.25">
      <c r="L246" s="41">
        <f>IF($C246="","",IF($I246="",ROUND(IFERROR($H246*VLOOKUP($F246,'설정 Settings'!$A$122:$F$130,4,0)+VLOOKUP($F246,'설정 Settings'!$A$122:$F$130,5,0),0),2),$I246))</f>
      </c>
      <c r="M246" s="41">
        <f>IF($C246="","",$H246-$L246)</f>
      </c>
      <c r="N246" s="42">
        <f>IF($C246="","",IF($I246="","추정 ESTIMATE","실제 ACTUAL"))</f>
      </c>
      <c r="O246" s="41">
        <f>IF($A246="","",SUMIFS('입금 Payments'!$C$3:$C$1002,'입금 Payments'!$B$3:$B$1002,$A246))</f>
      </c>
      <c r="P246" s="41">
        <f>IF($C246="","",ROUND($H246*(1+IF('설정 Settings'!$C$24="YES",'설정 Settings'!$C$26,0)),2)-N($O246))</f>
      </c>
      <c r="Q246" s="42">
        <f>IF($A246="","","INV-"&amp;$A246)</f>
      </c>
      <c r="R246" s="42">
        <f>IF($H246="","",IF($H246&gt;'설정 Settings'!$C$36,"$2,000 초과: e-Transfer 나눠 받기 (F36)",""))</f>
      </c>
    </row>
    <row r="247" spans="12:18" x14ac:dyDescent="0.25">
      <c r="L247" s="41">
        <f>IF($C247="","",IF($I247="",ROUND(IFERROR($H247*VLOOKUP($F247,'설정 Settings'!$A$122:$F$130,4,0)+VLOOKUP($F247,'설정 Settings'!$A$122:$F$130,5,0),0),2),$I247))</f>
      </c>
      <c r="M247" s="41">
        <f>IF($C247="","",$H247-$L247)</f>
      </c>
      <c r="N247" s="42">
        <f>IF($C247="","",IF($I247="","추정 ESTIMATE","실제 ACTUAL"))</f>
      </c>
      <c r="O247" s="41">
        <f>IF($A247="","",SUMIFS('입금 Payments'!$C$3:$C$1002,'입금 Payments'!$B$3:$B$1002,$A247))</f>
      </c>
      <c r="P247" s="41">
        <f>IF($C247="","",ROUND($H247*(1+IF('설정 Settings'!$C$24="YES",'설정 Settings'!$C$26,0)),2)-N($O247))</f>
      </c>
      <c r="Q247" s="42">
        <f>IF($A247="","","INV-"&amp;$A247)</f>
      </c>
      <c r="R247" s="42">
        <f>IF($H247="","",IF($H247&gt;'설정 Settings'!$C$36,"$2,000 초과: e-Transfer 나눠 받기 (F36)",""))</f>
      </c>
    </row>
    <row r="248" spans="12:18" x14ac:dyDescent="0.25">
      <c r="L248" s="41">
        <f>IF($C248="","",IF($I248="",ROUND(IFERROR($H248*VLOOKUP($F248,'설정 Settings'!$A$122:$F$130,4,0)+VLOOKUP($F248,'설정 Settings'!$A$122:$F$130,5,0),0),2),$I248))</f>
      </c>
      <c r="M248" s="41">
        <f>IF($C248="","",$H248-$L248)</f>
      </c>
      <c r="N248" s="42">
        <f>IF($C248="","",IF($I248="","추정 ESTIMATE","실제 ACTUAL"))</f>
      </c>
      <c r="O248" s="41">
        <f>IF($A248="","",SUMIFS('입금 Payments'!$C$3:$C$1002,'입금 Payments'!$B$3:$B$1002,$A248))</f>
      </c>
      <c r="P248" s="41">
        <f>IF($C248="","",ROUND($H248*(1+IF('설정 Settings'!$C$24="YES",'설정 Settings'!$C$26,0)),2)-N($O248))</f>
      </c>
      <c r="Q248" s="42">
        <f>IF($A248="","","INV-"&amp;$A248)</f>
      </c>
      <c r="R248" s="42">
        <f>IF($H248="","",IF($H248&gt;'설정 Settings'!$C$36,"$2,000 초과: e-Transfer 나눠 받기 (F36)",""))</f>
      </c>
    </row>
    <row r="249" spans="12:18" x14ac:dyDescent="0.25">
      <c r="L249" s="41">
        <f>IF($C249="","",IF($I249="",ROUND(IFERROR($H249*VLOOKUP($F249,'설정 Settings'!$A$122:$F$130,4,0)+VLOOKUP($F249,'설정 Settings'!$A$122:$F$130,5,0),0),2),$I249))</f>
      </c>
      <c r="M249" s="41">
        <f>IF($C249="","",$H249-$L249)</f>
      </c>
      <c r="N249" s="42">
        <f>IF($C249="","",IF($I249="","추정 ESTIMATE","실제 ACTUAL"))</f>
      </c>
      <c r="O249" s="41">
        <f>IF($A249="","",SUMIFS('입금 Payments'!$C$3:$C$1002,'입금 Payments'!$B$3:$B$1002,$A249))</f>
      </c>
      <c r="P249" s="41">
        <f>IF($C249="","",ROUND($H249*(1+IF('설정 Settings'!$C$24="YES",'설정 Settings'!$C$26,0)),2)-N($O249))</f>
      </c>
      <c r="Q249" s="42">
        <f>IF($A249="","","INV-"&amp;$A249)</f>
      </c>
      <c r="R249" s="42">
        <f>IF($H249="","",IF($H249&gt;'설정 Settings'!$C$36,"$2,000 초과: e-Transfer 나눠 받기 (F36)",""))</f>
      </c>
    </row>
    <row r="250" spans="12:18" x14ac:dyDescent="0.25">
      <c r="L250" s="41">
        <f>IF($C250="","",IF($I250="",ROUND(IFERROR($H250*VLOOKUP($F250,'설정 Settings'!$A$122:$F$130,4,0)+VLOOKUP($F250,'설정 Settings'!$A$122:$F$130,5,0),0),2),$I250))</f>
      </c>
      <c r="M250" s="41">
        <f>IF($C250="","",$H250-$L250)</f>
      </c>
      <c r="N250" s="42">
        <f>IF($C250="","",IF($I250="","추정 ESTIMATE","실제 ACTUAL"))</f>
      </c>
      <c r="O250" s="41">
        <f>IF($A250="","",SUMIFS('입금 Payments'!$C$3:$C$1002,'입금 Payments'!$B$3:$B$1002,$A250))</f>
      </c>
      <c r="P250" s="41">
        <f>IF($C250="","",ROUND($H250*(1+IF('설정 Settings'!$C$24="YES",'설정 Settings'!$C$26,0)),2)-N($O250))</f>
      </c>
      <c r="Q250" s="42">
        <f>IF($A250="","","INV-"&amp;$A250)</f>
      </c>
      <c r="R250" s="42">
        <f>IF($H250="","",IF($H250&gt;'설정 Settings'!$C$36,"$2,000 초과: e-Transfer 나눠 받기 (F36)",""))</f>
      </c>
    </row>
    <row r="251" spans="12:18" x14ac:dyDescent="0.25">
      <c r="L251" s="41">
        <f>IF($C251="","",IF($I251="",ROUND(IFERROR($H251*VLOOKUP($F251,'설정 Settings'!$A$122:$F$130,4,0)+VLOOKUP($F251,'설정 Settings'!$A$122:$F$130,5,0),0),2),$I251))</f>
      </c>
      <c r="M251" s="41">
        <f>IF($C251="","",$H251-$L251)</f>
      </c>
      <c r="N251" s="42">
        <f>IF($C251="","",IF($I251="","추정 ESTIMATE","실제 ACTUAL"))</f>
      </c>
      <c r="O251" s="41">
        <f>IF($A251="","",SUMIFS('입금 Payments'!$C$3:$C$1002,'입금 Payments'!$B$3:$B$1002,$A251))</f>
      </c>
      <c r="P251" s="41">
        <f>IF($C251="","",ROUND($H251*(1+IF('설정 Settings'!$C$24="YES",'설정 Settings'!$C$26,0)),2)-N($O251))</f>
      </c>
      <c r="Q251" s="42">
        <f>IF($A251="","","INV-"&amp;$A251)</f>
      </c>
      <c r="R251" s="42">
        <f>IF($H251="","",IF($H251&gt;'설정 Settings'!$C$36,"$2,000 초과: e-Transfer 나눠 받기 (F36)",""))</f>
      </c>
    </row>
    <row r="252" spans="12:18" x14ac:dyDescent="0.25">
      <c r="L252" s="41">
        <f>IF($C252="","",IF($I252="",ROUND(IFERROR($H252*VLOOKUP($F252,'설정 Settings'!$A$122:$F$130,4,0)+VLOOKUP($F252,'설정 Settings'!$A$122:$F$130,5,0),0),2),$I252))</f>
      </c>
      <c r="M252" s="41">
        <f>IF($C252="","",$H252-$L252)</f>
      </c>
      <c r="N252" s="42">
        <f>IF($C252="","",IF($I252="","추정 ESTIMATE","실제 ACTUAL"))</f>
      </c>
      <c r="O252" s="41">
        <f>IF($A252="","",SUMIFS('입금 Payments'!$C$3:$C$1002,'입금 Payments'!$B$3:$B$1002,$A252))</f>
      </c>
      <c r="P252" s="41">
        <f>IF($C252="","",ROUND($H252*(1+IF('설정 Settings'!$C$24="YES",'설정 Settings'!$C$26,0)),2)-N($O252))</f>
      </c>
      <c r="Q252" s="42">
        <f>IF($A252="","","INV-"&amp;$A252)</f>
      </c>
      <c r="R252" s="42">
        <f>IF($H252="","",IF($H252&gt;'설정 Settings'!$C$36,"$2,000 초과: e-Transfer 나눠 받기 (F36)",""))</f>
      </c>
    </row>
    <row r="253" spans="12:18" x14ac:dyDescent="0.25">
      <c r="L253" s="41">
        <f>IF($C253="","",IF($I253="",ROUND(IFERROR($H253*VLOOKUP($F253,'설정 Settings'!$A$122:$F$130,4,0)+VLOOKUP($F253,'설정 Settings'!$A$122:$F$130,5,0),0),2),$I253))</f>
      </c>
      <c r="M253" s="41">
        <f>IF($C253="","",$H253-$L253)</f>
      </c>
      <c r="N253" s="42">
        <f>IF($C253="","",IF($I253="","추정 ESTIMATE","실제 ACTUAL"))</f>
      </c>
      <c r="O253" s="41">
        <f>IF($A253="","",SUMIFS('입금 Payments'!$C$3:$C$1002,'입금 Payments'!$B$3:$B$1002,$A253))</f>
      </c>
      <c r="P253" s="41">
        <f>IF($C253="","",ROUND($H253*(1+IF('설정 Settings'!$C$24="YES",'설정 Settings'!$C$26,0)),2)-N($O253))</f>
      </c>
      <c r="Q253" s="42">
        <f>IF($A253="","","INV-"&amp;$A253)</f>
      </c>
      <c r="R253" s="42">
        <f>IF($H253="","",IF($H253&gt;'설정 Settings'!$C$36,"$2,000 초과: e-Transfer 나눠 받기 (F36)",""))</f>
      </c>
    </row>
    <row r="254" spans="12:18" x14ac:dyDescent="0.25">
      <c r="L254" s="41">
        <f>IF($C254="","",IF($I254="",ROUND(IFERROR($H254*VLOOKUP($F254,'설정 Settings'!$A$122:$F$130,4,0)+VLOOKUP($F254,'설정 Settings'!$A$122:$F$130,5,0),0),2),$I254))</f>
      </c>
      <c r="M254" s="41">
        <f>IF($C254="","",$H254-$L254)</f>
      </c>
      <c r="N254" s="42">
        <f>IF($C254="","",IF($I254="","추정 ESTIMATE","실제 ACTUAL"))</f>
      </c>
      <c r="O254" s="41">
        <f>IF($A254="","",SUMIFS('입금 Payments'!$C$3:$C$1002,'입금 Payments'!$B$3:$B$1002,$A254))</f>
      </c>
      <c r="P254" s="41">
        <f>IF($C254="","",ROUND($H254*(1+IF('설정 Settings'!$C$24="YES",'설정 Settings'!$C$26,0)),2)-N($O254))</f>
      </c>
      <c r="Q254" s="42">
        <f>IF($A254="","","INV-"&amp;$A254)</f>
      </c>
      <c r="R254" s="42">
        <f>IF($H254="","",IF($H254&gt;'설정 Settings'!$C$36,"$2,000 초과: e-Transfer 나눠 받기 (F36)",""))</f>
      </c>
    </row>
    <row r="255" spans="12:18" x14ac:dyDescent="0.25">
      <c r="L255" s="41">
        <f>IF($C255="","",IF($I255="",ROUND(IFERROR($H255*VLOOKUP($F255,'설정 Settings'!$A$122:$F$130,4,0)+VLOOKUP($F255,'설정 Settings'!$A$122:$F$130,5,0),0),2),$I255))</f>
      </c>
      <c r="M255" s="41">
        <f>IF($C255="","",$H255-$L255)</f>
      </c>
      <c r="N255" s="42">
        <f>IF($C255="","",IF($I255="","추정 ESTIMATE","실제 ACTUAL"))</f>
      </c>
      <c r="O255" s="41">
        <f>IF($A255="","",SUMIFS('입금 Payments'!$C$3:$C$1002,'입금 Payments'!$B$3:$B$1002,$A255))</f>
      </c>
      <c r="P255" s="41">
        <f>IF($C255="","",ROUND($H255*(1+IF('설정 Settings'!$C$24="YES",'설정 Settings'!$C$26,0)),2)-N($O255))</f>
      </c>
      <c r="Q255" s="42">
        <f>IF($A255="","","INV-"&amp;$A255)</f>
      </c>
      <c r="R255" s="42">
        <f>IF($H255="","",IF($H255&gt;'설정 Settings'!$C$36,"$2,000 초과: e-Transfer 나눠 받기 (F36)",""))</f>
      </c>
    </row>
    <row r="256" spans="12:18" x14ac:dyDescent="0.25">
      <c r="L256" s="41">
        <f>IF($C256="","",IF($I256="",ROUND(IFERROR($H256*VLOOKUP($F256,'설정 Settings'!$A$122:$F$130,4,0)+VLOOKUP($F256,'설정 Settings'!$A$122:$F$130,5,0),0),2),$I256))</f>
      </c>
      <c r="M256" s="41">
        <f>IF($C256="","",$H256-$L256)</f>
      </c>
      <c r="N256" s="42">
        <f>IF($C256="","",IF($I256="","추정 ESTIMATE","실제 ACTUAL"))</f>
      </c>
      <c r="O256" s="41">
        <f>IF($A256="","",SUMIFS('입금 Payments'!$C$3:$C$1002,'입금 Payments'!$B$3:$B$1002,$A256))</f>
      </c>
      <c r="P256" s="41">
        <f>IF($C256="","",ROUND($H256*(1+IF('설정 Settings'!$C$24="YES",'설정 Settings'!$C$26,0)),2)-N($O256))</f>
      </c>
      <c r="Q256" s="42">
        <f>IF($A256="","","INV-"&amp;$A256)</f>
      </c>
      <c r="R256" s="42">
        <f>IF($H256="","",IF($H256&gt;'설정 Settings'!$C$36,"$2,000 초과: e-Transfer 나눠 받기 (F36)",""))</f>
      </c>
    </row>
    <row r="257" spans="12:18" x14ac:dyDescent="0.25">
      <c r="L257" s="41">
        <f>IF($C257="","",IF($I257="",ROUND(IFERROR($H257*VLOOKUP($F257,'설정 Settings'!$A$122:$F$130,4,0)+VLOOKUP($F257,'설정 Settings'!$A$122:$F$130,5,0),0),2),$I257))</f>
      </c>
      <c r="M257" s="41">
        <f>IF($C257="","",$H257-$L257)</f>
      </c>
      <c r="N257" s="42">
        <f>IF($C257="","",IF($I257="","추정 ESTIMATE","실제 ACTUAL"))</f>
      </c>
      <c r="O257" s="41">
        <f>IF($A257="","",SUMIFS('입금 Payments'!$C$3:$C$1002,'입금 Payments'!$B$3:$B$1002,$A257))</f>
      </c>
      <c r="P257" s="41">
        <f>IF($C257="","",ROUND($H257*(1+IF('설정 Settings'!$C$24="YES",'설정 Settings'!$C$26,0)),2)-N($O257))</f>
      </c>
      <c r="Q257" s="42">
        <f>IF($A257="","","INV-"&amp;$A257)</f>
      </c>
      <c r="R257" s="42">
        <f>IF($H257="","",IF($H257&gt;'설정 Settings'!$C$36,"$2,000 초과: e-Transfer 나눠 받기 (F36)",""))</f>
      </c>
    </row>
    <row r="258" spans="12:18" x14ac:dyDescent="0.25">
      <c r="L258" s="41">
        <f>IF($C258="","",IF($I258="",ROUND(IFERROR($H258*VLOOKUP($F258,'설정 Settings'!$A$122:$F$130,4,0)+VLOOKUP($F258,'설정 Settings'!$A$122:$F$130,5,0),0),2),$I258))</f>
      </c>
      <c r="M258" s="41">
        <f>IF($C258="","",$H258-$L258)</f>
      </c>
      <c r="N258" s="42">
        <f>IF($C258="","",IF($I258="","추정 ESTIMATE","실제 ACTUAL"))</f>
      </c>
      <c r="O258" s="41">
        <f>IF($A258="","",SUMIFS('입금 Payments'!$C$3:$C$1002,'입금 Payments'!$B$3:$B$1002,$A258))</f>
      </c>
      <c r="P258" s="41">
        <f>IF($C258="","",ROUND($H258*(1+IF('설정 Settings'!$C$24="YES",'설정 Settings'!$C$26,0)),2)-N($O258))</f>
      </c>
      <c r="Q258" s="42">
        <f>IF($A258="","","INV-"&amp;$A258)</f>
      </c>
      <c r="R258" s="42">
        <f>IF($H258="","",IF($H258&gt;'설정 Settings'!$C$36,"$2,000 초과: e-Transfer 나눠 받기 (F36)",""))</f>
      </c>
    </row>
    <row r="259" spans="12:18" x14ac:dyDescent="0.25">
      <c r="L259" s="41">
        <f>IF($C259="","",IF($I259="",ROUND(IFERROR($H259*VLOOKUP($F259,'설정 Settings'!$A$122:$F$130,4,0)+VLOOKUP($F259,'설정 Settings'!$A$122:$F$130,5,0),0),2),$I259))</f>
      </c>
      <c r="M259" s="41">
        <f>IF($C259="","",$H259-$L259)</f>
      </c>
      <c r="N259" s="42">
        <f>IF($C259="","",IF($I259="","추정 ESTIMATE","실제 ACTUAL"))</f>
      </c>
      <c r="O259" s="41">
        <f>IF($A259="","",SUMIFS('입금 Payments'!$C$3:$C$1002,'입금 Payments'!$B$3:$B$1002,$A259))</f>
      </c>
      <c r="P259" s="41">
        <f>IF($C259="","",ROUND($H259*(1+IF('설정 Settings'!$C$24="YES",'설정 Settings'!$C$26,0)),2)-N($O259))</f>
      </c>
      <c r="Q259" s="42">
        <f>IF($A259="","","INV-"&amp;$A259)</f>
      </c>
      <c r="R259" s="42">
        <f>IF($H259="","",IF($H259&gt;'설정 Settings'!$C$36,"$2,000 초과: e-Transfer 나눠 받기 (F36)",""))</f>
      </c>
    </row>
    <row r="260" spans="12:18" x14ac:dyDescent="0.25">
      <c r="L260" s="41">
        <f>IF($C260="","",IF($I260="",ROUND(IFERROR($H260*VLOOKUP($F260,'설정 Settings'!$A$122:$F$130,4,0)+VLOOKUP($F260,'설정 Settings'!$A$122:$F$130,5,0),0),2),$I260))</f>
      </c>
      <c r="M260" s="41">
        <f>IF($C260="","",$H260-$L260)</f>
      </c>
      <c r="N260" s="42">
        <f>IF($C260="","",IF($I260="","추정 ESTIMATE","실제 ACTUAL"))</f>
      </c>
      <c r="O260" s="41">
        <f>IF($A260="","",SUMIFS('입금 Payments'!$C$3:$C$1002,'입금 Payments'!$B$3:$B$1002,$A260))</f>
      </c>
      <c r="P260" s="41">
        <f>IF($C260="","",ROUND($H260*(1+IF('설정 Settings'!$C$24="YES",'설정 Settings'!$C$26,0)),2)-N($O260))</f>
      </c>
      <c r="Q260" s="42">
        <f>IF($A260="","","INV-"&amp;$A260)</f>
      </c>
      <c r="R260" s="42">
        <f>IF($H260="","",IF($H260&gt;'설정 Settings'!$C$36,"$2,000 초과: e-Transfer 나눠 받기 (F36)",""))</f>
      </c>
    </row>
    <row r="261" spans="12:18" x14ac:dyDescent="0.25">
      <c r="L261" s="41">
        <f>IF($C261="","",IF($I261="",ROUND(IFERROR($H261*VLOOKUP($F261,'설정 Settings'!$A$122:$F$130,4,0)+VLOOKUP($F261,'설정 Settings'!$A$122:$F$130,5,0),0),2),$I261))</f>
      </c>
      <c r="M261" s="41">
        <f>IF($C261="","",$H261-$L261)</f>
      </c>
      <c r="N261" s="42">
        <f>IF($C261="","",IF($I261="","추정 ESTIMATE","실제 ACTUAL"))</f>
      </c>
      <c r="O261" s="41">
        <f>IF($A261="","",SUMIFS('입금 Payments'!$C$3:$C$1002,'입금 Payments'!$B$3:$B$1002,$A261))</f>
      </c>
      <c r="P261" s="41">
        <f>IF($C261="","",ROUND($H261*(1+IF('설정 Settings'!$C$24="YES",'설정 Settings'!$C$26,0)),2)-N($O261))</f>
      </c>
      <c r="Q261" s="42">
        <f>IF($A261="","","INV-"&amp;$A261)</f>
      </c>
      <c r="R261" s="42">
        <f>IF($H261="","",IF($H261&gt;'설정 Settings'!$C$36,"$2,000 초과: e-Transfer 나눠 받기 (F36)",""))</f>
      </c>
    </row>
    <row r="262" spans="12:18" x14ac:dyDescent="0.25">
      <c r="L262" s="41">
        <f>IF($C262="","",IF($I262="",ROUND(IFERROR($H262*VLOOKUP($F262,'설정 Settings'!$A$122:$F$130,4,0)+VLOOKUP($F262,'설정 Settings'!$A$122:$F$130,5,0),0),2),$I262))</f>
      </c>
      <c r="M262" s="41">
        <f>IF($C262="","",$H262-$L262)</f>
      </c>
      <c r="N262" s="42">
        <f>IF($C262="","",IF($I262="","추정 ESTIMATE","실제 ACTUAL"))</f>
      </c>
      <c r="O262" s="41">
        <f>IF($A262="","",SUMIFS('입금 Payments'!$C$3:$C$1002,'입금 Payments'!$B$3:$B$1002,$A262))</f>
      </c>
      <c r="P262" s="41">
        <f>IF($C262="","",ROUND($H262*(1+IF('설정 Settings'!$C$24="YES",'설정 Settings'!$C$26,0)),2)-N($O262))</f>
      </c>
      <c r="Q262" s="42">
        <f>IF($A262="","","INV-"&amp;$A262)</f>
      </c>
      <c r="R262" s="42">
        <f>IF($H262="","",IF($H262&gt;'설정 Settings'!$C$36,"$2,000 초과: e-Transfer 나눠 받기 (F36)",""))</f>
      </c>
    </row>
    <row r="263" spans="12:18" x14ac:dyDescent="0.25">
      <c r="L263" s="41">
        <f>IF($C263="","",IF($I263="",ROUND(IFERROR($H263*VLOOKUP($F263,'설정 Settings'!$A$122:$F$130,4,0)+VLOOKUP($F263,'설정 Settings'!$A$122:$F$130,5,0),0),2),$I263))</f>
      </c>
      <c r="M263" s="41">
        <f>IF($C263="","",$H263-$L263)</f>
      </c>
      <c r="N263" s="42">
        <f>IF($C263="","",IF($I263="","추정 ESTIMATE","실제 ACTUAL"))</f>
      </c>
      <c r="O263" s="41">
        <f>IF($A263="","",SUMIFS('입금 Payments'!$C$3:$C$1002,'입금 Payments'!$B$3:$B$1002,$A263))</f>
      </c>
      <c r="P263" s="41">
        <f>IF($C263="","",ROUND($H263*(1+IF('설정 Settings'!$C$24="YES",'설정 Settings'!$C$26,0)),2)-N($O263))</f>
      </c>
      <c r="Q263" s="42">
        <f>IF($A263="","","INV-"&amp;$A263)</f>
      </c>
      <c r="R263" s="42">
        <f>IF($H263="","",IF($H263&gt;'설정 Settings'!$C$36,"$2,000 초과: e-Transfer 나눠 받기 (F36)",""))</f>
      </c>
    </row>
    <row r="264" spans="12:18" x14ac:dyDescent="0.25">
      <c r="L264" s="41">
        <f>IF($C264="","",IF($I264="",ROUND(IFERROR($H264*VLOOKUP($F264,'설정 Settings'!$A$122:$F$130,4,0)+VLOOKUP($F264,'설정 Settings'!$A$122:$F$130,5,0),0),2),$I264))</f>
      </c>
      <c r="M264" s="41">
        <f>IF($C264="","",$H264-$L264)</f>
      </c>
      <c r="N264" s="42">
        <f>IF($C264="","",IF($I264="","추정 ESTIMATE","실제 ACTUAL"))</f>
      </c>
      <c r="O264" s="41">
        <f>IF($A264="","",SUMIFS('입금 Payments'!$C$3:$C$1002,'입금 Payments'!$B$3:$B$1002,$A264))</f>
      </c>
      <c r="P264" s="41">
        <f>IF($C264="","",ROUND($H264*(1+IF('설정 Settings'!$C$24="YES",'설정 Settings'!$C$26,0)),2)-N($O264))</f>
      </c>
      <c r="Q264" s="42">
        <f>IF($A264="","","INV-"&amp;$A264)</f>
      </c>
      <c r="R264" s="42">
        <f>IF($H264="","",IF($H264&gt;'설정 Settings'!$C$36,"$2,000 초과: e-Transfer 나눠 받기 (F36)",""))</f>
      </c>
    </row>
    <row r="265" spans="12:18" x14ac:dyDescent="0.25">
      <c r="L265" s="41">
        <f>IF($C265="","",IF($I265="",ROUND(IFERROR($H265*VLOOKUP($F265,'설정 Settings'!$A$122:$F$130,4,0)+VLOOKUP($F265,'설정 Settings'!$A$122:$F$130,5,0),0),2),$I265))</f>
      </c>
      <c r="M265" s="41">
        <f>IF($C265="","",$H265-$L265)</f>
      </c>
      <c r="N265" s="42">
        <f>IF($C265="","",IF($I265="","추정 ESTIMATE","실제 ACTUAL"))</f>
      </c>
      <c r="O265" s="41">
        <f>IF($A265="","",SUMIFS('입금 Payments'!$C$3:$C$1002,'입금 Payments'!$B$3:$B$1002,$A265))</f>
      </c>
      <c r="P265" s="41">
        <f>IF($C265="","",ROUND($H265*(1+IF('설정 Settings'!$C$24="YES",'설정 Settings'!$C$26,0)),2)-N($O265))</f>
      </c>
      <c r="Q265" s="42">
        <f>IF($A265="","","INV-"&amp;$A265)</f>
      </c>
      <c r="R265" s="42">
        <f>IF($H265="","",IF($H265&gt;'설정 Settings'!$C$36,"$2,000 초과: e-Transfer 나눠 받기 (F36)",""))</f>
      </c>
    </row>
    <row r="266" spans="12:18" x14ac:dyDescent="0.25">
      <c r="L266" s="41">
        <f>IF($C266="","",IF($I266="",ROUND(IFERROR($H266*VLOOKUP($F266,'설정 Settings'!$A$122:$F$130,4,0)+VLOOKUP($F266,'설정 Settings'!$A$122:$F$130,5,0),0),2),$I266))</f>
      </c>
      <c r="M266" s="41">
        <f>IF($C266="","",$H266-$L266)</f>
      </c>
      <c r="N266" s="42">
        <f>IF($C266="","",IF($I266="","추정 ESTIMATE","실제 ACTUAL"))</f>
      </c>
      <c r="O266" s="41">
        <f>IF($A266="","",SUMIFS('입금 Payments'!$C$3:$C$1002,'입금 Payments'!$B$3:$B$1002,$A266))</f>
      </c>
      <c r="P266" s="41">
        <f>IF($C266="","",ROUND($H266*(1+IF('설정 Settings'!$C$24="YES",'설정 Settings'!$C$26,0)),2)-N($O266))</f>
      </c>
      <c r="Q266" s="42">
        <f>IF($A266="","","INV-"&amp;$A266)</f>
      </c>
      <c r="R266" s="42">
        <f>IF($H266="","",IF($H266&gt;'설정 Settings'!$C$36,"$2,000 초과: e-Transfer 나눠 받기 (F36)",""))</f>
      </c>
    </row>
    <row r="267" spans="12:18" x14ac:dyDescent="0.25">
      <c r="L267" s="41">
        <f>IF($C267="","",IF($I267="",ROUND(IFERROR($H267*VLOOKUP($F267,'설정 Settings'!$A$122:$F$130,4,0)+VLOOKUP($F267,'설정 Settings'!$A$122:$F$130,5,0),0),2),$I267))</f>
      </c>
      <c r="M267" s="41">
        <f>IF($C267="","",$H267-$L267)</f>
      </c>
      <c r="N267" s="42">
        <f>IF($C267="","",IF($I267="","추정 ESTIMATE","실제 ACTUAL"))</f>
      </c>
      <c r="O267" s="41">
        <f>IF($A267="","",SUMIFS('입금 Payments'!$C$3:$C$1002,'입금 Payments'!$B$3:$B$1002,$A267))</f>
      </c>
      <c r="P267" s="41">
        <f>IF($C267="","",ROUND($H267*(1+IF('설정 Settings'!$C$24="YES",'설정 Settings'!$C$26,0)),2)-N($O267))</f>
      </c>
      <c r="Q267" s="42">
        <f>IF($A267="","","INV-"&amp;$A267)</f>
      </c>
      <c r="R267" s="42">
        <f>IF($H267="","",IF($H267&gt;'설정 Settings'!$C$36,"$2,000 초과: e-Transfer 나눠 받기 (F36)",""))</f>
      </c>
    </row>
    <row r="268" spans="12:18" x14ac:dyDescent="0.25">
      <c r="L268" s="41">
        <f>IF($C268="","",IF($I268="",ROUND(IFERROR($H268*VLOOKUP($F268,'설정 Settings'!$A$122:$F$130,4,0)+VLOOKUP($F268,'설정 Settings'!$A$122:$F$130,5,0),0),2),$I268))</f>
      </c>
      <c r="M268" s="41">
        <f>IF($C268="","",$H268-$L268)</f>
      </c>
      <c r="N268" s="42">
        <f>IF($C268="","",IF($I268="","추정 ESTIMATE","실제 ACTUAL"))</f>
      </c>
      <c r="O268" s="41">
        <f>IF($A268="","",SUMIFS('입금 Payments'!$C$3:$C$1002,'입금 Payments'!$B$3:$B$1002,$A268))</f>
      </c>
      <c r="P268" s="41">
        <f>IF($C268="","",ROUND($H268*(1+IF('설정 Settings'!$C$24="YES",'설정 Settings'!$C$26,0)),2)-N($O268))</f>
      </c>
      <c r="Q268" s="42">
        <f>IF($A268="","","INV-"&amp;$A268)</f>
      </c>
      <c r="R268" s="42">
        <f>IF($H268="","",IF($H268&gt;'설정 Settings'!$C$36,"$2,000 초과: e-Transfer 나눠 받기 (F36)",""))</f>
      </c>
    </row>
    <row r="269" spans="12:18" x14ac:dyDescent="0.25">
      <c r="L269" s="41">
        <f>IF($C269="","",IF($I269="",ROUND(IFERROR($H269*VLOOKUP($F269,'설정 Settings'!$A$122:$F$130,4,0)+VLOOKUP($F269,'설정 Settings'!$A$122:$F$130,5,0),0),2),$I269))</f>
      </c>
      <c r="M269" s="41">
        <f>IF($C269="","",$H269-$L269)</f>
      </c>
      <c r="N269" s="42">
        <f>IF($C269="","",IF($I269="","추정 ESTIMATE","실제 ACTUAL"))</f>
      </c>
      <c r="O269" s="41">
        <f>IF($A269="","",SUMIFS('입금 Payments'!$C$3:$C$1002,'입금 Payments'!$B$3:$B$1002,$A269))</f>
      </c>
      <c r="P269" s="41">
        <f>IF($C269="","",ROUND($H269*(1+IF('설정 Settings'!$C$24="YES",'설정 Settings'!$C$26,0)),2)-N($O269))</f>
      </c>
      <c r="Q269" s="42">
        <f>IF($A269="","","INV-"&amp;$A269)</f>
      </c>
      <c r="R269" s="42">
        <f>IF($H269="","",IF($H269&gt;'설정 Settings'!$C$36,"$2,000 초과: e-Transfer 나눠 받기 (F36)",""))</f>
      </c>
    </row>
    <row r="270" spans="12:18" x14ac:dyDescent="0.25">
      <c r="L270" s="41">
        <f>IF($C270="","",IF($I270="",ROUND(IFERROR($H270*VLOOKUP($F270,'설정 Settings'!$A$122:$F$130,4,0)+VLOOKUP($F270,'설정 Settings'!$A$122:$F$130,5,0),0),2),$I270))</f>
      </c>
      <c r="M270" s="41">
        <f>IF($C270="","",$H270-$L270)</f>
      </c>
      <c r="N270" s="42">
        <f>IF($C270="","",IF($I270="","추정 ESTIMATE","실제 ACTUAL"))</f>
      </c>
      <c r="O270" s="41">
        <f>IF($A270="","",SUMIFS('입금 Payments'!$C$3:$C$1002,'입금 Payments'!$B$3:$B$1002,$A270))</f>
      </c>
      <c r="P270" s="41">
        <f>IF($C270="","",ROUND($H270*(1+IF('설정 Settings'!$C$24="YES",'설정 Settings'!$C$26,0)),2)-N($O270))</f>
      </c>
      <c r="Q270" s="42">
        <f>IF($A270="","","INV-"&amp;$A270)</f>
      </c>
      <c r="R270" s="42">
        <f>IF($H270="","",IF($H270&gt;'설정 Settings'!$C$36,"$2,000 초과: e-Transfer 나눠 받기 (F36)",""))</f>
      </c>
    </row>
    <row r="271" spans="12:18" x14ac:dyDescent="0.25">
      <c r="L271" s="41">
        <f>IF($C271="","",IF($I271="",ROUND(IFERROR($H271*VLOOKUP($F271,'설정 Settings'!$A$122:$F$130,4,0)+VLOOKUP($F271,'설정 Settings'!$A$122:$F$130,5,0),0),2),$I271))</f>
      </c>
      <c r="M271" s="41">
        <f>IF($C271="","",$H271-$L271)</f>
      </c>
      <c r="N271" s="42">
        <f>IF($C271="","",IF($I271="","추정 ESTIMATE","실제 ACTUAL"))</f>
      </c>
      <c r="O271" s="41">
        <f>IF($A271="","",SUMIFS('입금 Payments'!$C$3:$C$1002,'입금 Payments'!$B$3:$B$1002,$A271))</f>
      </c>
      <c r="P271" s="41">
        <f>IF($C271="","",ROUND($H271*(1+IF('설정 Settings'!$C$24="YES",'설정 Settings'!$C$26,0)),2)-N($O271))</f>
      </c>
      <c r="Q271" s="42">
        <f>IF($A271="","","INV-"&amp;$A271)</f>
      </c>
      <c r="R271" s="42">
        <f>IF($H271="","",IF($H271&gt;'설정 Settings'!$C$36,"$2,000 초과: e-Transfer 나눠 받기 (F36)",""))</f>
      </c>
    </row>
    <row r="272" spans="12:18" x14ac:dyDescent="0.25">
      <c r="L272" s="41">
        <f>IF($C272="","",IF($I272="",ROUND(IFERROR($H272*VLOOKUP($F272,'설정 Settings'!$A$122:$F$130,4,0)+VLOOKUP($F272,'설정 Settings'!$A$122:$F$130,5,0),0),2),$I272))</f>
      </c>
      <c r="M272" s="41">
        <f>IF($C272="","",$H272-$L272)</f>
      </c>
      <c r="N272" s="42">
        <f>IF($C272="","",IF($I272="","추정 ESTIMATE","실제 ACTUAL"))</f>
      </c>
      <c r="O272" s="41">
        <f>IF($A272="","",SUMIFS('입금 Payments'!$C$3:$C$1002,'입금 Payments'!$B$3:$B$1002,$A272))</f>
      </c>
      <c r="P272" s="41">
        <f>IF($C272="","",ROUND($H272*(1+IF('설정 Settings'!$C$24="YES",'설정 Settings'!$C$26,0)),2)-N($O272))</f>
      </c>
      <c r="Q272" s="42">
        <f>IF($A272="","","INV-"&amp;$A272)</f>
      </c>
      <c r="R272" s="42">
        <f>IF($H272="","",IF($H272&gt;'설정 Settings'!$C$36,"$2,000 초과: e-Transfer 나눠 받기 (F36)",""))</f>
      </c>
    </row>
    <row r="273" spans="12:18" x14ac:dyDescent="0.25">
      <c r="L273" s="41">
        <f>IF($C273="","",IF($I273="",ROUND(IFERROR($H273*VLOOKUP($F273,'설정 Settings'!$A$122:$F$130,4,0)+VLOOKUP($F273,'설정 Settings'!$A$122:$F$130,5,0),0),2),$I273))</f>
      </c>
      <c r="M273" s="41">
        <f>IF($C273="","",$H273-$L273)</f>
      </c>
      <c r="N273" s="42">
        <f>IF($C273="","",IF($I273="","추정 ESTIMATE","실제 ACTUAL"))</f>
      </c>
      <c r="O273" s="41">
        <f>IF($A273="","",SUMIFS('입금 Payments'!$C$3:$C$1002,'입금 Payments'!$B$3:$B$1002,$A273))</f>
      </c>
      <c r="P273" s="41">
        <f>IF($C273="","",ROUND($H273*(1+IF('설정 Settings'!$C$24="YES",'설정 Settings'!$C$26,0)),2)-N($O273))</f>
      </c>
      <c r="Q273" s="42">
        <f>IF($A273="","","INV-"&amp;$A273)</f>
      </c>
      <c r="R273" s="42">
        <f>IF($H273="","",IF($H273&gt;'설정 Settings'!$C$36,"$2,000 초과: e-Transfer 나눠 받기 (F36)",""))</f>
      </c>
    </row>
    <row r="274" spans="12:18" x14ac:dyDescent="0.25">
      <c r="L274" s="41">
        <f>IF($C274="","",IF($I274="",ROUND(IFERROR($H274*VLOOKUP($F274,'설정 Settings'!$A$122:$F$130,4,0)+VLOOKUP($F274,'설정 Settings'!$A$122:$F$130,5,0),0),2),$I274))</f>
      </c>
      <c r="M274" s="41">
        <f>IF($C274="","",$H274-$L274)</f>
      </c>
      <c r="N274" s="42">
        <f>IF($C274="","",IF($I274="","추정 ESTIMATE","실제 ACTUAL"))</f>
      </c>
      <c r="O274" s="41">
        <f>IF($A274="","",SUMIFS('입금 Payments'!$C$3:$C$1002,'입금 Payments'!$B$3:$B$1002,$A274))</f>
      </c>
      <c r="P274" s="41">
        <f>IF($C274="","",ROUND($H274*(1+IF('설정 Settings'!$C$24="YES",'설정 Settings'!$C$26,0)),2)-N($O274))</f>
      </c>
      <c r="Q274" s="42">
        <f>IF($A274="","","INV-"&amp;$A274)</f>
      </c>
      <c r="R274" s="42">
        <f>IF($H274="","",IF($H274&gt;'설정 Settings'!$C$36,"$2,000 초과: e-Transfer 나눠 받기 (F36)",""))</f>
      </c>
    </row>
    <row r="275" spans="12:18" x14ac:dyDescent="0.25">
      <c r="L275" s="41">
        <f>IF($C275="","",IF($I275="",ROUND(IFERROR($H275*VLOOKUP($F275,'설정 Settings'!$A$122:$F$130,4,0)+VLOOKUP($F275,'설정 Settings'!$A$122:$F$130,5,0),0),2),$I275))</f>
      </c>
      <c r="M275" s="41">
        <f>IF($C275="","",$H275-$L275)</f>
      </c>
      <c r="N275" s="42">
        <f>IF($C275="","",IF($I275="","추정 ESTIMATE","실제 ACTUAL"))</f>
      </c>
      <c r="O275" s="41">
        <f>IF($A275="","",SUMIFS('입금 Payments'!$C$3:$C$1002,'입금 Payments'!$B$3:$B$1002,$A275))</f>
      </c>
      <c r="P275" s="41">
        <f>IF($C275="","",ROUND($H275*(1+IF('설정 Settings'!$C$24="YES",'설정 Settings'!$C$26,0)),2)-N($O275))</f>
      </c>
      <c r="Q275" s="42">
        <f>IF($A275="","","INV-"&amp;$A275)</f>
      </c>
      <c r="R275" s="42">
        <f>IF($H275="","",IF($H275&gt;'설정 Settings'!$C$36,"$2,000 초과: e-Transfer 나눠 받기 (F36)",""))</f>
      </c>
    </row>
    <row r="276" spans="12:18" x14ac:dyDescent="0.25">
      <c r="L276" s="41">
        <f>IF($C276="","",IF($I276="",ROUND(IFERROR($H276*VLOOKUP($F276,'설정 Settings'!$A$122:$F$130,4,0)+VLOOKUP($F276,'설정 Settings'!$A$122:$F$130,5,0),0),2),$I276))</f>
      </c>
      <c r="M276" s="41">
        <f>IF($C276="","",$H276-$L276)</f>
      </c>
      <c r="N276" s="42">
        <f>IF($C276="","",IF($I276="","추정 ESTIMATE","실제 ACTUAL"))</f>
      </c>
      <c r="O276" s="41">
        <f>IF($A276="","",SUMIFS('입금 Payments'!$C$3:$C$1002,'입금 Payments'!$B$3:$B$1002,$A276))</f>
      </c>
      <c r="P276" s="41">
        <f>IF($C276="","",ROUND($H276*(1+IF('설정 Settings'!$C$24="YES",'설정 Settings'!$C$26,0)),2)-N($O276))</f>
      </c>
      <c r="Q276" s="42">
        <f>IF($A276="","","INV-"&amp;$A276)</f>
      </c>
      <c r="R276" s="42">
        <f>IF($H276="","",IF($H276&gt;'설정 Settings'!$C$36,"$2,000 초과: e-Transfer 나눠 받기 (F36)",""))</f>
      </c>
    </row>
    <row r="277" spans="12:18" x14ac:dyDescent="0.25">
      <c r="L277" s="41">
        <f>IF($C277="","",IF($I277="",ROUND(IFERROR($H277*VLOOKUP($F277,'설정 Settings'!$A$122:$F$130,4,0)+VLOOKUP($F277,'설정 Settings'!$A$122:$F$130,5,0),0),2),$I277))</f>
      </c>
      <c r="M277" s="41">
        <f>IF($C277="","",$H277-$L277)</f>
      </c>
      <c r="N277" s="42">
        <f>IF($C277="","",IF($I277="","추정 ESTIMATE","실제 ACTUAL"))</f>
      </c>
      <c r="O277" s="41">
        <f>IF($A277="","",SUMIFS('입금 Payments'!$C$3:$C$1002,'입금 Payments'!$B$3:$B$1002,$A277))</f>
      </c>
      <c r="P277" s="41">
        <f>IF($C277="","",ROUND($H277*(1+IF('설정 Settings'!$C$24="YES",'설정 Settings'!$C$26,0)),2)-N($O277))</f>
      </c>
      <c r="Q277" s="42">
        <f>IF($A277="","","INV-"&amp;$A277)</f>
      </c>
      <c r="R277" s="42">
        <f>IF($H277="","",IF($H277&gt;'설정 Settings'!$C$36,"$2,000 초과: e-Transfer 나눠 받기 (F36)",""))</f>
      </c>
    </row>
    <row r="278" spans="12:18" x14ac:dyDescent="0.25">
      <c r="L278" s="41">
        <f>IF($C278="","",IF($I278="",ROUND(IFERROR($H278*VLOOKUP($F278,'설정 Settings'!$A$122:$F$130,4,0)+VLOOKUP($F278,'설정 Settings'!$A$122:$F$130,5,0),0),2),$I278))</f>
      </c>
      <c r="M278" s="41">
        <f>IF($C278="","",$H278-$L278)</f>
      </c>
      <c r="N278" s="42">
        <f>IF($C278="","",IF($I278="","추정 ESTIMATE","실제 ACTUAL"))</f>
      </c>
      <c r="O278" s="41">
        <f>IF($A278="","",SUMIFS('입금 Payments'!$C$3:$C$1002,'입금 Payments'!$B$3:$B$1002,$A278))</f>
      </c>
      <c r="P278" s="41">
        <f>IF($C278="","",ROUND($H278*(1+IF('설정 Settings'!$C$24="YES",'설정 Settings'!$C$26,0)),2)-N($O278))</f>
      </c>
      <c r="Q278" s="42">
        <f>IF($A278="","","INV-"&amp;$A278)</f>
      </c>
      <c r="R278" s="42">
        <f>IF($H278="","",IF($H278&gt;'설정 Settings'!$C$36,"$2,000 초과: e-Transfer 나눠 받기 (F36)",""))</f>
      </c>
    </row>
    <row r="279" spans="12:18" x14ac:dyDescent="0.25">
      <c r="L279" s="41">
        <f>IF($C279="","",IF($I279="",ROUND(IFERROR($H279*VLOOKUP($F279,'설정 Settings'!$A$122:$F$130,4,0)+VLOOKUP($F279,'설정 Settings'!$A$122:$F$130,5,0),0),2),$I279))</f>
      </c>
      <c r="M279" s="41">
        <f>IF($C279="","",$H279-$L279)</f>
      </c>
      <c r="N279" s="42">
        <f>IF($C279="","",IF($I279="","추정 ESTIMATE","실제 ACTUAL"))</f>
      </c>
      <c r="O279" s="41">
        <f>IF($A279="","",SUMIFS('입금 Payments'!$C$3:$C$1002,'입금 Payments'!$B$3:$B$1002,$A279))</f>
      </c>
      <c r="P279" s="41">
        <f>IF($C279="","",ROUND($H279*(1+IF('설정 Settings'!$C$24="YES",'설정 Settings'!$C$26,0)),2)-N($O279))</f>
      </c>
      <c r="Q279" s="42">
        <f>IF($A279="","","INV-"&amp;$A279)</f>
      </c>
      <c r="R279" s="42">
        <f>IF($H279="","",IF($H279&gt;'설정 Settings'!$C$36,"$2,000 초과: e-Transfer 나눠 받기 (F36)",""))</f>
      </c>
    </row>
    <row r="280" spans="12:18" x14ac:dyDescent="0.25">
      <c r="L280" s="41">
        <f>IF($C280="","",IF($I280="",ROUND(IFERROR($H280*VLOOKUP($F280,'설정 Settings'!$A$122:$F$130,4,0)+VLOOKUP($F280,'설정 Settings'!$A$122:$F$130,5,0),0),2),$I280))</f>
      </c>
      <c r="M280" s="41">
        <f>IF($C280="","",$H280-$L280)</f>
      </c>
      <c r="N280" s="42">
        <f>IF($C280="","",IF($I280="","추정 ESTIMATE","실제 ACTUAL"))</f>
      </c>
      <c r="O280" s="41">
        <f>IF($A280="","",SUMIFS('입금 Payments'!$C$3:$C$1002,'입금 Payments'!$B$3:$B$1002,$A280))</f>
      </c>
      <c r="P280" s="41">
        <f>IF($C280="","",ROUND($H280*(1+IF('설정 Settings'!$C$24="YES",'설정 Settings'!$C$26,0)),2)-N($O280))</f>
      </c>
      <c r="Q280" s="42">
        <f>IF($A280="","","INV-"&amp;$A280)</f>
      </c>
      <c r="R280" s="42">
        <f>IF($H280="","",IF($H280&gt;'설정 Settings'!$C$36,"$2,000 초과: e-Transfer 나눠 받기 (F36)",""))</f>
      </c>
    </row>
    <row r="281" spans="12:18" x14ac:dyDescent="0.25">
      <c r="L281" s="41">
        <f>IF($C281="","",IF($I281="",ROUND(IFERROR($H281*VLOOKUP($F281,'설정 Settings'!$A$122:$F$130,4,0)+VLOOKUP($F281,'설정 Settings'!$A$122:$F$130,5,0),0),2),$I281))</f>
      </c>
      <c r="M281" s="41">
        <f>IF($C281="","",$H281-$L281)</f>
      </c>
      <c r="N281" s="42">
        <f>IF($C281="","",IF($I281="","추정 ESTIMATE","실제 ACTUAL"))</f>
      </c>
      <c r="O281" s="41">
        <f>IF($A281="","",SUMIFS('입금 Payments'!$C$3:$C$1002,'입금 Payments'!$B$3:$B$1002,$A281))</f>
      </c>
      <c r="P281" s="41">
        <f>IF($C281="","",ROUND($H281*(1+IF('설정 Settings'!$C$24="YES",'설정 Settings'!$C$26,0)),2)-N($O281))</f>
      </c>
      <c r="Q281" s="42">
        <f>IF($A281="","","INV-"&amp;$A281)</f>
      </c>
      <c r="R281" s="42">
        <f>IF($H281="","",IF($H281&gt;'설정 Settings'!$C$36,"$2,000 초과: e-Transfer 나눠 받기 (F36)",""))</f>
      </c>
    </row>
    <row r="282" spans="12:18" x14ac:dyDescent="0.25">
      <c r="L282" s="41">
        <f>IF($C282="","",IF($I282="",ROUND(IFERROR($H282*VLOOKUP($F282,'설정 Settings'!$A$122:$F$130,4,0)+VLOOKUP($F282,'설정 Settings'!$A$122:$F$130,5,0),0),2),$I282))</f>
      </c>
      <c r="M282" s="41">
        <f>IF($C282="","",$H282-$L282)</f>
      </c>
      <c r="N282" s="42">
        <f>IF($C282="","",IF($I282="","추정 ESTIMATE","실제 ACTUAL"))</f>
      </c>
      <c r="O282" s="41">
        <f>IF($A282="","",SUMIFS('입금 Payments'!$C$3:$C$1002,'입금 Payments'!$B$3:$B$1002,$A282))</f>
      </c>
      <c r="P282" s="41">
        <f>IF($C282="","",ROUND($H282*(1+IF('설정 Settings'!$C$24="YES",'설정 Settings'!$C$26,0)),2)-N($O282))</f>
      </c>
      <c r="Q282" s="42">
        <f>IF($A282="","","INV-"&amp;$A282)</f>
      </c>
      <c r="R282" s="42">
        <f>IF($H282="","",IF($H282&gt;'설정 Settings'!$C$36,"$2,000 초과: e-Transfer 나눠 받기 (F36)",""))</f>
      </c>
    </row>
    <row r="283" spans="12:18" x14ac:dyDescent="0.25">
      <c r="L283" s="41">
        <f>IF($C283="","",IF($I283="",ROUND(IFERROR($H283*VLOOKUP($F283,'설정 Settings'!$A$122:$F$130,4,0)+VLOOKUP($F283,'설정 Settings'!$A$122:$F$130,5,0),0),2),$I283))</f>
      </c>
      <c r="M283" s="41">
        <f>IF($C283="","",$H283-$L283)</f>
      </c>
      <c r="N283" s="42">
        <f>IF($C283="","",IF($I283="","추정 ESTIMATE","실제 ACTUAL"))</f>
      </c>
      <c r="O283" s="41">
        <f>IF($A283="","",SUMIFS('입금 Payments'!$C$3:$C$1002,'입금 Payments'!$B$3:$B$1002,$A283))</f>
      </c>
      <c r="P283" s="41">
        <f>IF($C283="","",ROUND($H283*(1+IF('설정 Settings'!$C$24="YES",'설정 Settings'!$C$26,0)),2)-N($O283))</f>
      </c>
      <c r="Q283" s="42">
        <f>IF($A283="","","INV-"&amp;$A283)</f>
      </c>
      <c r="R283" s="42">
        <f>IF($H283="","",IF($H283&gt;'설정 Settings'!$C$36,"$2,000 초과: e-Transfer 나눠 받기 (F36)",""))</f>
      </c>
    </row>
    <row r="284" spans="12:18" x14ac:dyDescent="0.25">
      <c r="L284" s="41">
        <f>IF($C284="","",IF($I284="",ROUND(IFERROR($H284*VLOOKUP($F284,'설정 Settings'!$A$122:$F$130,4,0)+VLOOKUP($F284,'설정 Settings'!$A$122:$F$130,5,0),0),2),$I284))</f>
      </c>
      <c r="M284" s="41">
        <f>IF($C284="","",$H284-$L284)</f>
      </c>
      <c r="N284" s="42">
        <f>IF($C284="","",IF($I284="","추정 ESTIMATE","실제 ACTUAL"))</f>
      </c>
      <c r="O284" s="41">
        <f>IF($A284="","",SUMIFS('입금 Payments'!$C$3:$C$1002,'입금 Payments'!$B$3:$B$1002,$A284))</f>
      </c>
      <c r="P284" s="41">
        <f>IF($C284="","",ROUND($H284*(1+IF('설정 Settings'!$C$24="YES",'설정 Settings'!$C$26,0)),2)-N($O284))</f>
      </c>
      <c r="Q284" s="42">
        <f>IF($A284="","","INV-"&amp;$A284)</f>
      </c>
      <c r="R284" s="42">
        <f>IF($H284="","",IF($H284&gt;'설정 Settings'!$C$36,"$2,000 초과: e-Transfer 나눠 받기 (F36)",""))</f>
      </c>
    </row>
    <row r="285" spans="12:18" x14ac:dyDescent="0.25">
      <c r="L285" s="41">
        <f>IF($C285="","",IF($I285="",ROUND(IFERROR($H285*VLOOKUP($F285,'설정 Settings'!$A$122:$F$130,4,0)+VLOOKUP($F285,'설정 Settings'!$A$122:$F$130,5,0),0),2),$I285))</f>
      </c>
      <c r="M285" s="41">
        <f>IF($C285="","",$H285-$L285)</f>
      </c>
      <c r="N285" s="42">
        <f>IF($C285="","",IF($I285="","추정 ESTIMATE","실제 ACTUAL"))</f>
      </c>
      <c r="O285" s="41">
        <f>IF($A285="","",SUMIFS('입금 Payments'!$C$3:$C$1002,'입금 Payments'!$B$3:$B$1002,$A285))</f>
      </c>
      <c r="P285" s="41">
        <f>IF($C285="","",ROUND($H285*(1+IF('설정 Settings'!$C$24="YES",'설정 Settings'!$C$26,0)),2)-N($O285))</f>
      </c>
      <c r="Q285" s="42">
        <f>IF($A285="","","INV-"&amp;$A285)</f>
      </c>
      <c r="R285" s="42">
        <f>IF($H285="","",IF($H285&gt;'설정 Settings'!$C$36,"$2,000 초과: e-Transfer 나눠 받기 (F36)",""))</f>
      </c>
    </row>
    <row r="286" spans="12:18" x14ac:dyDescent="0.25">
      <c r="L286" s="41">
        <f>IF($C286="","",IF($I286="",ROUND(IFERROR($H286*VLOOKUP($F286,'설정 Settings'!$A$122:$F$130,4,0)+VLOOKUP($F286,'설정 Settings'!$A$122:$F$130,5,0),0),2),$I286))</f>
      </c>
      <c r="M286" s="41">
        <f>IF($C286="","",$H286-$L286)</f>
      </c>
      <c r="N286" s="42">
        <f>IF($C286="","",IF($I286="","추정 ESTIMATE","실제 ACTUAL"))</f>
      </c>
      <c r="O286" s="41">
        <f>IF($A286="","",SUMIFS('입금 Payments'!$C$3:$C$1002,'입금 Payments'!$B$3:$B$1002,$A286))</f>
      </c>
      <c r="P286" s="41">
        <f>IF($C286="","",ROUND($H286*(1+IF('설정 Settings'!$C$24="YES",'설정 Settings'!$C$26,0)),2)-N($O286))</f>
      </c>
      <c r="Q286" s="42">
        <f>IF($A286="","","INV-"&amp;$A286)</f>
      </c>
      <c r="R286" s="42">
        <f>IF($H286="","",IF($H286&gt;'설정 Settings'!$C$36,"$2,000 초과: e-Transfer 나눠 받기 (F36)",""))</f>
      </c>
    </row>
    <row r="287" spans="12:18" x14ac:dyDescent="0.25">
      <c r="L287" s="41">
        <f>IF($C287="","",IF($I287="",ROUND(IFERROR($H287*VLOOKUP($F287,'설정 Settings'!$A$122:$F$130,4,0)+VLOOKUP($F287,'설정 Settings'!$A$122:$F$130,5,0),0),2),$I287))</f>
      </c>
      <c r="M287" s="41">
        <f>IF($C287="","",$H287-$L287)</f>
      </c>
      <c r="N287" s="42">
        <f>IF($C287="","",IF($I287="","추정 ESTIMATE","실제 ACTUAL"))</f>
      </c>
      <c r="O287" s="41">
        <f>IF($A287="","",SUMIFS('입금 Payments'!$C$3:$C$1002,'입금 Payments'!$B$3:$B$1002,$A287))</f>
      </c>
      <c r="P287" s="41">
        <f>IF($C287="","",ROUND($H287*(1+IF('설정 Settings'!$C$24="YES",'설정 Settings'!$C$26,0)),2)-N($O287))</f>
      </c>
      <c r="Q287" s="42">
        <f>IF($A287="","","INV-"&amp;$A287)</f>
      </c>
      <c r="R287" s="42">
        <f>IF($H287="","",IF($H287&gt;'설정 Settings'!$C$36,"$2,000 초과: e-Transfer 나눠 받기 (F36)",""))</f>
      </c>
    </row>
    <row r="288" spans="12:18" x14ac:dyDescent="0.25">
      <c r="L288" s="41">
        <f>IF($C288="","",IF($I288="",ROUND(IFERROR($H288*VLOOKUP($F288,'설정 Settings'!$A$122:$F$130,4,0)+VLOOKUP($F288,'설정 Settings'!$A$122:$F$130,5,0),0),2),$I288))</f>
      </c>
      <c r="M288" s="41">
        <f>IF($C288="","",$H288-$L288)</f>
      </c>
      <c r="N288" s="42">
        <f>IF($C288="","",IF($I288="","추정 ESTIMATE","실제 ACTUAL"))</f>
      </c>
      <c r="O288" s="41">
        <f>IF($A288="","",SUMIFS('입금 Payments'!$C$3:$C$1002,'입금 Payments'!$B$3:$B$1002,$A288))</f>
      </c>
      <c r="P288" s="41">
        <f>IF($C288="","",ROUND($H288*(1+IF('설정 Settings'!$C$24="YES",'설정 Settings'!$C$26,0)),2)-N($O288))</f>
      </c>
      <c r="Q288" s="42">
        <f>IF($A288="","","INV-"&amp;$A288)</f>
      </c>
      <c r="R288" s="42">
        <f>IF($H288="","",IF($H288&gt;'설정 Settings'!$C$36,"$2,000 초과: e-Transfer 나눠 받기 (F36)",""))</f>
      </c>
    </row>
    <row r="289" spans="12:18" x14ac:dyDescent="0.25">
      <c r="L289" s="41">
        <f>IF($C289="","",IF($I289="",ROUND(IFERROR($H289*VLOOKUP($F289,'설정 Settings'!$A$122:$F$130,4,0)+VLOOKUP($F289,'설정 Settings'!$A$122:$F$130,5,0),0),2),$I289))</f>
      </c>
      <c r="M289" s="41">
        <f>IF($C289="","",$H289-$L289)</f>
      </c>
      <c r="N289" s="42">
        <f>IF($C289="","",IF($I289="","추정 ESTIMATE","실제 ACTUAL"))</f>
      </c>
      <c r="O289" s="41">
        <f>IF($A289="","",SUMIFS('입금 Payments'!$C$3:$C$1002,'입금 Payments'!$B$3:$B$1002,$A289))</f>
      </c>
      <c r="P289" s="41">
        <f>IF($C289="","",ROUND($H289*(1+IF('설정 Settings'!$C$24="YES",'설정 Settings'!$C$26,0)),2)-N($O289))</f>
      </c>
      <c r="Q289" s="42">
        <f>IF($A289="","","INV-"&amp;$A289)</f>
      </c>
      <c r="R289" s="42">
        <f>IF($H289="","",IF($H289&gt;'설정 Settings'!$C$36,"$2,000 초과: e-Transfer 나눠 받기 (F36)",""))</f>
      </c>
    </row>
    <row r="290" spans="12:18" x14ac:dyDescent="0.25">
      <c r="L290" s="41">
        <f>IF($C290="","",IF($I290="",ROUND(IFERROR($H290*VLOOKUP($F290,'설정 Settings'!$A$122:$F$130,4,0)+VLOOKUP($F290,'설정 Settings'!$A$122:$F$130,5,0),0),2),$I290))</f>
      </c>
      <c r="M290" s="41">
        <f>IF($C290="","",$H290-$L290)</f>
      </c>
      <c r="N290" s="42">
        <f>IF($C290="","",IF($I290="","추정 ESTIMATE","실제 ACTUAL"))</f>
      </c>
      <c r="O290" s="41">
        <f>IF($A290="","",SUMIFS('입금 Payments'!$C$3:$C$1002,'입금 Payments'!$B$3:$B$1002,$A290))</f>
      </c>
      <c r="P290" s="41">
        <f>IF($C290="","",ROUND($H290*(1+IF('설정 Settings'!$C$24="YES",'설정 Settings'!$C$26,0)),2)-N($O290))</f>
      </c>
      <c r="Q290" s="42">
        <f>IF($A290="","","INV-"&amp;$A290)</f>
      </c>
      <c r="R290" s="42">
        <f>IF($H290="","",IF($H290&gt;'설정 Settings'!$C$36,"$2,000 초과: e-Transfer 나눠 받기 (F36)",""))</f>
      </c>
    </row>
    <row r="291" spans="12:18" x14ac:dyDescent="0.25">
      <c r="L291" s="41">
        <f>IF($C291="","",IF($I291="",ROUND(IFERROR($H291*VLOOKUP($F291,'설정 Settings'!$A$122:$F$130,4,0)+VLOOKUP($F291,'설정 Settings'!$A$122:$F$130,5,0),0),2),$I291))</f>
      </c>
      <c r="M291" s="41">
        <f>IF($C291="","",$H291-$L291)</f>
      </c>
      <c r="N291" s="42">
        <f>IF($C291="","",IF($I291="","추정 ESTIMATE","실제 ACTUAL"))</f>
      </c>
      <c r="O291" s="41">
        <f>IF($A291="","",SUMIFS('입금 Payments'!$C$3:$C$1002,'입금 Payments'!$B$3:$B$1002,$A291))</f>
      </c>
      <c r="P291" s="41">
        <f>IF($C291="","",ROUND($H291*(1+IF('설정 Settings'!$C$24="YES",'설정 Settings'!$C$26,0)),2)-N($O291))</f>
      </c>
      <c r="Q291" s="42">
        <f>IF($A291="","","INV-"&amp;$A291)</f>
      </c>
      <c r="R291" s="42">
        <f>IF($H291="","",IF($H291&gt;'설정 Settings'!$C$36,"$2,000 초과: e-Transfer 나눠 받기 (F36)",""))</f>
      </c>
    </row>
    <row r="292" spans="12:18" x14ac:dyDescent="0.25">
      <c r="L292" s="41">
        <f>IF($C292="","",IF($I292="",ROUND(IFERROR($H292*VLOOKUP($F292,'설정 Settings'!$A$122:$F$130,4,0)+VLOOKUP($F292,'설정 Settings'!$A$122:$F$130,5,0),0),2),$I292))</f>
      </c>
      <c r="M292" s="41">
        <f>IF($C292="","",$H292-$L292)</f>
      </c>
      <c r="N292" s="42">
        <f>IF($C292="","",IF($I292="","추정 ESTIMATE","실제 ACTUAL"))</f>
      </c>
      <c r="O292" s="41">
        <f>IF($A292="","",SUMIFS('입금 Payments'!$C$3:$C$1002,'입금 Payments'!$B$3:$B$1002,$A292))</f>
      </c>
      <c r="P292" s="41">
        <f>IF($C292="","",ROUND($H292*(1+IF('설정 Settings'!$C$24="YES",'설정 Settings'!$C$26,0)),2)-N($O292))</f>
      </c>
      <c r="Q292" s="42">
        <f>IF($A292="","","INV-"&amp;$A292)</f>
      </c>
      <c r="R292" s="42">
        <f>IF($H292="","",IF($H292&gt;'설정 Settings'!$C$36,"$2,000 초과: e-Transfer 나눠 받기 (F36)",""))</f>
      </c>
    </row>
    <row r="293" spans="12:18" x14ac:dyDescent="0.25">
      <c r="L293" s="41">
        <f>IF($C293="","",IF($I293="",ROUND(IFERROR($H293*VLOOKUP($F293,'설정 Settings'!$A$122:$F$130,4,0)+VLOOKUP($F293,'설정 Settings'!$A$122:$F$130,5,0),0),2),$I293))</f>
      </c>
      <c r="M293" s="41">
        <f>IF($C293="","",$H293-$L293)</f>
      </c>
      <c r="N293" s="42">
        <f>IF($C293="","",IF($I293="","추정 ESTIMATE","실제 ACTUAL"))</f>
      </c>
      <c r="O293" s="41">
        <f>IF($A293="","",SUMIFS('입금 Payments'!$C$3:$C$1002,'입금 Payments'!$B$3:$B$1002,$A293))</f>
      </c>
      <c r="P293" s="41">
        <f>IF($C293="","",ROUND($H293*(1+IF('설정 Settings'!$C$24="YES",'설정 Settings'!$C$26,0)),2)-N($O293))</f>
      </c>
      <c r="Q293" s="42">
        <f>IF($A293="","","INV-"&amp;$A293)</f>
      </c>
      <c r="R293" s="42">
        <f>IF($H293="","",IF($H293&gt;'설정 Settings'!$C$36,"$2,000 초과: e-Transfer 나눠 받기 (F36)",""))</f>
      </c>
    </row>
    <row r="294" spans="12:18" x14ac:dyDescent="0.25">
      <c r="L294" s="41">
        <f>IF($C294="","",IF($I294="",ROUND(IFERROR($H294*VLOOKUP($F294,'설정 Settings'!$A$122:$F$130,4,0)+VLOOKUP($F294,'설정 Settings'!$A$122:$F$130,5,0),0),2),$I294))</f>
      </c>
      <c r="M294" s="41">
        <f>IF($C294="","",$H294-$L294)</f>
      </c>
      <c r="N294" s="42">
        <f>IF($C294="","",IF($I294="","추정 ESTIMATE","실제 ACTUAL"))</f>
      </c>
      <c r="O294" s="41">
        <f>IF($A294="","",SUMIFS('입금 Payments'!$C$3:$C$1002,'입금 Payments'!$B$3:$B$1002,$A294))</f>
      </c>
      <c r="P294" s="41">
        <f>IF($C294="","",ROUND($H294*(1+IF('설정 Settings'!$C$24="YES",'설정 Settings'!$C$26,0)),2)-N($O294))</f>
      </c>
      <c r="Q294" s="42">
        <f>IF($A294="","","INV-"&amp;$A294)</f>
      </c>
      <c r="R294" s="42">
        <f>IF($H294="","",IF($H294&gt;'설정 Settings'!$C$36,"$2,000 초과: e-Transfer 나눠 받기 (F36)",""))</f>
      </c>
    </row>
    <row r="295" spans="12:18" x14ac:dyDescent="0.25">
      <c r="L295" s="41">
        <f>IF($C295="","",IF($I295="",ROUND(IFERROR($H295*VLOOKUP($F295,'설정 Settings'!$A$122:$F$130,4,0)+VLOOKUP($F295,'설정 Settings'!$A$122:$F$130,5,0),0),2),$I295))</f>
      </c>
      <c r="M295" s="41">
        <f>IF($C295="","",$H295-$L295)</f>
      </c>
      <c r="N295" s="42">
        <f>IF($C295="","",IF($I295="","추정 ESTIMATE","실제 ACTUAL"))</f>
      </c>
      <c r="O295" s="41">
        <f>IF($A295="","",SUMIFS('입금 Payments'!$C$3:$C$1002,'입금 Payments'!$B$3:$B$1002,$A295))</f>
      </c>
      <c r="P295" s="41">
        <f>IF($C295="","",ROUND($H295*(1+IF('설정 Settings'!$C$24="YES",'설정 Settings'!$C$26,0)),2)-N($O295))</f>
      </c>
      <c r="Q295" s="42">
        <f>IF($A295="","","INV-"&amp;$A295)</f>
      </c>
      <c r="R295" s="42">
        <f>IF($H295="","",IF($H295&gt;'설정 Settings'!$C$36,"$2,000 초과: e-Transfer 나눠 받기 (F36)",""))</f>
      </c>
    </row>
    <row r="296" spans="12:18" x14ac:dyDescent="0.25">
      <c r="L296" s="41">
        <f>IF($C296="","",IF($I296="",ROUND(IFERROR($H296*VLOOKUP($F296,'설정 Settings'!$A$122:$F$130,4,0)+VLOOKUP($F296,'설정 Settings'!$A$122:$F$130,5,0),0),2),$I296))</f>
      </c>
      <c r="M296" s="41">
        <f>IF($C296="","",$H296-$L296)</f>
      </c>
      <c r="N296" s="42">
        <f>IF($C296="","",IF($I296="","추정 ESTIMATE","실제 ACTUAL"))</f>
      </c>
      <c r="O296" s="41">
        <f>IF($A296="","",SUMIFS('입금 Payments'!$C$3:$C$1002,'입금 Payments'!$B$3:$B$1002,$A296))</f>
      </c>
      <c r="P296" s="41">
        <f>IF($C296="","",ROUND($H296*(1+IF('설정 Settings'!$C$24="YES",'설정 Settings'!$C$26,0)),2)-N($O296))</f>
      </c>
      <c r="Q296" s="42">
        <f>IF($A296="","","INV-"&amp;$A296)</f>
      </c>
      <c r="R296" s="42">
        <f>IF($H296="","",IF($H296&gt;'설정 Settings'!$C$36,"$2,000 초과: e-Transfer 나눠 받기 (F36)",""))</f>
      </c>
    </row>
    <row r="297" spans="12:18" x14ac:dyDescent="0.25">
      <c r="L297" s="41">
        <f>IF($C297="","",IF($I297="",ROUND(IFERROR($H297*VLOOKUP($F297,'설정 Settings'!$A$122:$F$130,4,0)+VLOOKUP($F297,'설정 Settings'!$A$122:$F$130,5,0),0),2),$I297))</f>
      </c>
      <c r="M297" s="41">
        <f>IF($C297="","",$H297-$L297)</f>
      </c>
      <c r="N297" s="42">
        <f>IF($C297="","",IF($I297="","추정 ESTIMATE","실제 ACTUAL"))</f>
      </c>
      <c r="O297" s="41">
        <f>IF($A297="","",SUMIFS('입금 Payments'!$C$3:$C$1002,'입금 Payments'!$B$3:$B$1002,$A297))</f>
      </c>
      <c r="P297" s="41">
        <f>IF($C297="","",ROUND($H297*(1+IF('설정 Settings'!$C$24="YES",'설정 Settings'!$C$26,0)),2)-N($O297))</f>
      </c>
      <c r="Q297" s="42">
        <f>IF($A297="","","INV-"&amp;$A297)</f>
      </c>
      <c r="R297" s="42">
        <f>IF($H297="","",IF($H297&gt;'설정 Settings'!$C$36,"$2,000 초과: e-Transfer 나눠 받기 (F36)",""))</f>
      </c>
    </row>
    <row r="298" spans="12:18" x14ac:dyDescent="0.25">
      <c r="L298" s="41">
        <f>IF($C298="","",IF($I298="",ROUND(IFERROR($H298*VLOOKUP($F298,'설정 Settings'!$A$122:$F$130,4,0)+VLOOKUP($F298,'설정 Settings'!$A$122:$F$130,5,0),0),2),$I298))</f>
      </c>
      <c r="M298" s="41">
        <f>IF($C298="","",$H298-$L298)</f>
      </c>
      <c r="N298" s="42">
        <f>IF($C298="","",IF($I298="","추정 ESTIMATE","실제 ACTUAL"))</f>
      </c>
      <c r="O298" s="41">
        <f>IF($A298="","",SUMIFS('입금 Payments'!$C$3:$C$1002,'입금 Payments'!$B$3:$B$1002,$A298))</f>
      </c>
      <c r="P298" s="41">
        <f>IF($C298="","",ROUND($H298*(1+IF('설정 Settings'!$C$24="YES",'설정 Settings'!$C$26,0)),2)-N($O298))</f>
      </c>
      <c r="Q298" s="42">
        <f>IF($A298="","","INV-"&amp;$A298)</f>
      </c>
      <c r="R298" s="42">
        <f>IF($H298="","",IF($H298&gt;'설정 Settings'!$C$36,"$2,000 초과: e-Transfer 나눠 받기 (F36)",""))</f>
      </c>
    </row>
    <row r="299" spans="12:18" x14ac:dyDescent="0.25">
      <c r="L299" s="41">
        <f>IF($C299="","",IF($I299="",ROUND(IFERROR($H299*VLOOKUP($F299,'설정 Settings'!$A$122:$F$130,4,0)+VLOOKUP($F299,'설정 Settings'!$A$122:$F$130,5,0),0),2),$I299))</f>
      </c>
      <c r="M299" s="41">
        <f>IF($C299="","",$H299-$L299)</f>
      </c>
      <c r="N299" s="42">
        <f>IF($C299="","",IF($I299="","추정 ESTIMATE","실제 ACTUAL"))</f>
      </c>
      <c r="O299" s="41">
        <f>IF($A299="","",SUMIFS('입금 Payments'!$C$3:$C$1002,'입금 Payments'!$B$3:$B$1002,$A299))</f>
      </c>
      <c r="P299" s="41">
        <f>IF($C299="","",ROUND($H299*(1+IF('설정 Settings'!$C$24="YES",'설정 Settings'!$C$26,0)),2)-N($O299))</f>
      </c>
      <c r="Q299" s="42">
        <f>IF($A299="","","INV-"&amp;$A299)</f>
      </c>
      <c r="R299" s="42">
        <f>IF($H299="","",IF($H299&gt;'설정 Settings'!$C$36,"$2,000 초과: e-Transfer 나눠 받기 (F36)",""))</f>
      </c>
    </row>
    <row r="300" spans="12:18" x14ac:dyDescent="0.25">
      <c r="L300" s="41">
        <f>IF($C300="","",IF($I300="",ROUND(IFERROR($H300*VLOOKUP($F300,'설정 Settings'!$A$122:$F$130,4,0)+VLOOKUP($F300,'설정 Settings'!$A$122:$F$130,5,0),0),2),$I300))</f>
      </c>
      <c r="M300" s="41">
        <f>IF($C300="","",$H300-$L300)</f>
      </c>
      <c r="N300" s="42">
        <f>IF($C300="","",IF($I300="","추정 ESTIMATE","실제 ACTUAL"))</f>
      </c>
      <c r="O300" s="41">
        <f>IF($A300="","",SUMIFS('입금 Payments'!$C$3:$C$1002,'입금 Payments'!$B$3:$B$1002,$A300))</f>
      </c>
      <c r="P300" s="41">
        <f>IF($C300="","",ROUND($H300*(1+IF('설정 Settings'!$C$24="YES",'설정 Settings'!$C$26,0)),2)-N($O300))</f>
      </c>
      <c r="Q300" s="42">
        <f>IF($A300="","","INV-"&amp;$A300)</f>
      </c>
      <c r="R300" s="42">
        <f>IF($H300="","",IF($H300&gt;'설정 Settings'!$C$36,"$2,000 초과: e-Transfer 나눠 받기 (F36)",""))</f>
      </c>
    </row>
    <row r="301" spans="12:18" x14ac:dyDescent="0.25">
      <c r="L301" s="41">
        <f>IF($C301="","",IF($I301="",ROUND(IFERROR($H301*VLOOKUP($F301,'설정 Settings'!$A$122:$F$130,4,0)+VLOOKUP($F301,'설정 Settings'!$A$122:$F$130,5,0),0),2),$I301))</f>
      </c>
      <c r="M301" s="41">
        <f>IF($C301="","",$H301-$L301)</f>
      </c>
      <c r="N301" s="42">
        <f>IF($C301="","",IF($I301="","추정 ESTIMATE","실제 ACTUAL"))</f>
      </c>
      <c r="O301" s="41">
        <f>IF($A301="","",SUMIFS('입금 Payments'!$C$3:$C$1002,'입금 Payments'!$B$3:$B$1002,$A301))</f>
      </c>
      <c r="P301" s="41">
        <f>IF($C301="","",ROUND($H301*(1+IF('설정 Settings'!$C$24="YES",'설정 Settings'!$C$26,0)),2)-N($O301))</f>
      </c>
      <c r="Q301" s="42">
        <f>IF($A301="","","INV-"&amp;$A301)</f>
      </c>
      <c r="R301" s="42">
        <f>IF($H301="","",IF($H301&gt;'설정 Settings'!$C$36,"$2,000 초과: e-Transfer 나눠 받기 (F36)",""))</f>
      </c>
    </row>
    <row r="302" spans="12:18" x14ac:dyDescent="0.25">
      <c r="L302" s="41">
        <f>IF($C302="","",IF($I302="",ROUND(IFERROR($H302*VLOOKUP($F302,'설정 Settings'!$A$122:$F$130,4,0)+VLOOKUP($F302,'설정 Settings'!$A$122:$F$130,5,0),0),2),$I302))</f>
      </c>
      <c r="M302" s="41">
        <f>IF($C302="","",$H302-$L302)</f>
      </c>
      <c r="N302" s="42">
        <f>IF($C302="","",IF($I302="","추정 ESTIMATE","실제 ACTUAL"))</f>
      </c>
      <c r="O302" s="41">
        <f>IF($A302="","",SUMIFS('입금 Payments'!$C$3:$C$1002,'입금 Payments'!$B$3:$B$1002,$A302))</f>
      </c>
      <c r="P302" s="41">
        <f>IF($C302="","",ROUND($H302*(1+IF('설정 Settings'!$C$24="YES",'설정 Settings'!$C$26,0)),2)-N($O302))</f>
      </c>
      <c r="Q302" s="42">
        <f>IF($A302="","","INV-"&amp;$A302)</f>
      </c>
      <c r="R302" s="42">
        <f>IF($H302="","",IF($H302&gt;'설정 Settings'!$C$36,"$2,000 초과: e-Transfer 나눠 받기 (F36)",""))</f>
      </c>
    </row>
    <row r="303" spans="12:18" x14ac:dyDescent="0.25">
      <c r="L303" s="41">
        <f>IF($C303="","",IF($I303="",ROUND(IFERROR($H303*VLOOKUP($F303,'설정 Settings'!$A$122:$F$130,4,0)+VLOOKUP($F303,'설정 Settings'!$A$122:$F$130,5,0),0),2),$I303))</f>
      </c>
      <c r="M303" s="41">
        <f>IF($C303="","",$H303-$L303)</f>
      </c>
      <c r="N303" s="42">
        <f>IF($C303="","",IF($I303="","추정 ESTIMATE","실제 ACTUAL"))</f>
      </c>
      <c r="O303" s="41">
        <f>IF($A303="","",SUMIFS('입금 Payments'!$C$3:$C$1002,'입금 Payments'!$B$3:$B$1002,$A303))</f>
      </c>
      <c r="P303" s="41">
        <f>IF($C303="","",ROUND($H303*(1+IF('설정 Settings'!$C$24="YES",'설정 Settings'!$C$26,0)),2)-N($O303))</f>
      </c>
      <c r="Q303" s="42">
        <f>IF($A303="","","INV-"&amp;$A303)</f>
      </c>
      <c r="R303" s="42">
        <f>IF($H303="","",IF($H303&gt;'설정 Settings'!$C$36,"$2,000 초과: e-Transfer 나눠 받기 (F36)",""))</f>
      </c>
    </row>
    <row r="304" spans="12:18" x14ac:dyDescent="0.25">
      <c r="L304" s="41">
        <f>IF($C304="","",IF($I304="",ROUND(IFERROR($H304*VLOOKUP($F304,'설정 Settings'!$A$122:$F$130,4,0)+VLOOKUP($F304,'설정 Settings'!$A$122:$F$130,5,0),0),2),$I304))</f>
      </c>
      <c r="M304" s="41">
        <f>IF($C304="","",$H304-$L304)</f>
      </c>
      <c r="N304" s="42">
        <f>IF($C304="","",IF($I304="","추정 ESTIMATE","실제 ACTUAL"))</f>
      </c>
      <c r="O304" s="41">
        <f>IF($A304="","",SUMIFS('입금 Payments'!$C$3:$C$1002,'입금 Payments'!$B$3:$B$1002,$A304))</f>
      </c>
      <c r="P304" s="41">
        <f>IF($C304="","",ROUND($H304*(1+IF('설정 Settings'!$C$24="YES",'설정 Settings'!$C$26,0)),2)-N($O304))</f>
      </c>
      <c r="Q304" s="42">
        <f>IF($A304="","","INV-"&amp;$A304)</f>
      </c>
      <c r="R304" s="42">
        <f>IF($H304="","",IF($H304&gt;'설정 Settings'!$C$36,"$2,000 초과: e-Transfer 나눠 받기 (F36)",""))</f>
      </c>
    </row>
    <row r="305" spans="12:18" x14ac:dyDescent="0.25">
      <c r="L305" s="41">
        <f>IF($C305="","",IF($I305="",ROUND(IFERROR($H305*VLOOKUP($F305,'설정 Settings'!$A$122:$F$130,4,0)+VLOOKUP($F305,'설정 Settings'!$A$122:$F$130,5,0),0),2),$I305))</f>
      </c>
      <c r="M305" s="41">
        <f>IF($C305="","",$H305-$L305)</f>
      </c>
      <c r="N305" s="42">
        <f>IF($C305="","",IF($I305="","추정 ESTIMATE","실제 ACTUAL"))</f>
      </c>
      <c r="O305" s="41">
        <f>IF($A305="","",SUMIFS('입금 Payments'!$C$3:$C$1002,'입금 Payments'!$B$3:$B$1002,$A305))</f>
      </c>
      <c r="P305" s="41">
        <f>IF($C305="","",ROUND($H305*(1+IF('설정 Settings'!$C$24="YES",'설정 Settings'!$C$26,0)),2)-N($O305))</f>
      </c>
      <c r="Q305" s="42">
        <f>IF($A305="","","INV-"&amp;$A305)</f>
      </c>
      <c r="R305" s="42">
        <f>IF($H305="","",IF($H305&gt;'설정 Settings'!$C$36,"$2,000 초과: e-Transfer 나눠 받기 (F36)",""))</f>
      </c>
    </row>
    <row r="306" spans="12:18" x14ac:dyDescent="0.25">
      <c r="L306" s="41">
        <f>IF($C306="","",IF($I306="",ROUND(IFERROR($H306*VLOOKUP($F306,'설정 Settings'!$A$122:$F$130,4,0)+VLOOKUP($F306,'설정 Settings'!$A$122:$F$130,5,0),0),2),$I306))</f>
      </c>
      <c r="M306" s="41">
        <f>IF($C306="","",$H306-$L306)</f>
      </c>
      <c r="N306" s="42">
        <f>IF($C306="","",IF($I306="","추정 ESTIMATE","실제 ACTUAL"))</f>
      </c>
      <c r="O306" s="41">
        <f>IF($A306="","",SUMIFS('입금 Payments'!$C$3:$C$1002,'입금 Payments'!$B$3:$B$1002,$A306))</f>
      </c>
      <c r="P306" s="41">
        <f>IF($C306="","",ROUND($H306*(1+IF('설정 Settings'!$C$24="YES",'설정 Settings'!$C$26,0)),2)-N($O306))</f>
      </c>
      <c r="Q306" s="42">
        <f>IF($A306="","","INV-"&amp;$A306)</f>
      </c>
      <c r="R306" s="42">
        <f>IF($H306="","",IF($H306&gt;'설정 Settings'!$C$36,"$2,000 초과: e-Transfer 나눠 받기 (F36)",""))</f>
      </c>
    </row>
    <row r="307" spans="12:18" x14ac:dyDescent="0.25">
      <c r="L307" s="41">
        <f>IF($C307="","",IF($I307="",ROUND(IFERROR($H307*VLOOKUP($F307,'설정 Settings'!$A$122:$F$130,4,0)+VLOOKUP($F307,'설정 Settings'!$A$122:$F$130,5,0),0),2),$I307))</f>
      </c>
      <c r="M307" s="41">
        <f>IF($C307="","",$H307-$L307)</f>
      </c>
      <c r="N307" s="42">
        <f>IF($C307="","",IF($I307="","추정 ESTIMATE","실제 ACTUAL"))</f>
      </c>
      <c r="O307" s="41">
        <f>IF($A307="","",SUMIFS('입금 Payments'!$C$3:$C$1002,'입금 Payments'!$B$3:$B$1002,$A307))</f>
      </c>
      <c r="P307" s="41">
        <f>IF($C307="","",ROUND($H307*(1+IF('설정 Settings'!$C$24="YES",'설정 Settings'!$C$26,0)),2)-N($O307))</f>
      </c>
      <c r="Q307" s="42">
        <f>IF($A307="","","INV-"&amp;$A307)</f>
      </c>
      <c r="R307" s="42">
        <f>IF($H307="","",IF($H307&gt;'설정 Settings'!$C$36,"$2,000 초과: e-Transfer 나눠 받기 (F36)",""))</f>
      </c>
    </row>
    <row r="308" spans="12:18" x14ac:dyDescent="0.25">
      <c r="L308" s="41">
        <f>IF($C308="","",IF($I308="",ROUND(IFERROR($H308*VLOOKUP($F308,'설정 Settings'!$A$122:$F$130,4,0)+VLOOKUP($F308,'설정 Settings'!$A$122:$F$130,5,0),0),2),$I308))</f>
      </c>
      <c r="M308" s="41">
        <f>IF($C308="","",$H308-$L308)</f>
      </c>
      <c r="N308" s="42">
        <f>IF($C308="","",IF($I308="","추정 ESTIMATE","실제 ACTUAL"))</f>
      </c>
      <c r="O308" s="41">
        <f>IF($A308="","",SUMIFS('입금 Payments'!$C$3:$C$1002,'입금 Payments'!$B$3:$B$1002,$A308))</f>
      </c>
      <c r="P308" s="41">
        <f>IF($C308="","",ROUND($H308*(1+IF('설정 Settings'!$C$24="YES",'설정 Settings'!$C$26,0)),2)-N($O308))</f>
      </c>
      <c r="Q308" s="42">
        <f>IF($A308="","","INV-"&amp;$A308)</f>
      </c>
      <c r="R308" s="42">
        <f>IF($H308="","",IF($H308&gt;'설정 Settings'!$C$36,"$2,000 초과: e-Transfer 나눠 받기 (F36)",""))</f>
      </c>
    </row>
    <row r="309" spans="12:18" x14ac:dyDescent="0.25">
      <c r="L309" s="41">
        <f>IF($C309="","",IF($I309="",ROUND(IFERROR($H309*VLOOKUP($F309,'설정 Settings'!$A$122:$F$130,4,0)+VLOOKUP($F309,'설정 Settings'!$A$122:$F$130,5,0),0),2),$I309))</f>
      </c>
      <c r="M309" s="41">
        <f>IF($C309="","",$H309-$L309)</f>
      </c>
      <c r="N309" s="42">
        <f>IF($C309="","",IF($I309="","추정 ESTIMATE","실제 ACTUAL"))</f>
      </c>
      <c r="O309" s="41">
        <f>IF($A309="","",SUMIFS('입금 Payments'!$C$3:$C$1002,'입금 Payments'!$B$3:$B$1002,$A309))</f>
      </c>
      <c r="P309" s="41">
        <f>IF($C309="","",ROUND($H309*(1+IF('설정 Settings'!$C$24="YES",'설정 Settings'!$C$26,0)),2)-N($O309))</f>
      </c>
      <c r="Q309" s="42">
        <f>IF($A309="","","INV-"&amp;$A309)</f>
      </c>
      <c r="R309" s="42">
        <f>IF($H309="","",IF($H309&gt;'설정 Settings'!$C$36,"$2,000 초과: e-Transfer 나눠 받기 (F36)",""))</f>
      </c>
    </row>
    <row r="310" spans="12:18" x14ac:dyDescent="0.25">
      <c r="L310" s="41">
        <f>IF($C310="","",IF($I310="",ROUND(IFERROR($H310*VLOOKUP($F310,'설정 Settings'!$A$122:$F$130,4,0)+VLOOKUP($F310,'설정 Settings'!$A$122:$F$130,5,0),0),2),$I310))</f>
      </c>
      <c r="M310" s="41">
        <f>IF($C310="","",$H310-$L310)</f>
      </c>
      <c r="N310" s="42">
        <f>IF($C310="","",IF($I310="","추정 ESTIMATE","실제 ACTUAL"))</f>
      </c>
      <c r="O310" s="41">
        <f>IF($A310="","",SUMIFS('입금 Payments'!$C$3:$C$1002,'입금 Payments'!$B$3:$B$1002,$A310))</f>
      </c>
      <c r="P310" s="41">
        <f>IF($C310="","",ROUND($H310*(1+IF('설정 Settings'!$C$24="YES",'설정 Settings'!$C$26,0)),2)-N($O310))</f>
      </c>
      <c r="Q310" s="42">
        <f>IF($A310="","","INV-"&amp;$A310)</f>
      </c>
      <c r="R310" s="42">
        <f>IF($H310="","",IF($H310&gt;'설정 Settings'!$C$36,"$2,000 초과: e-Transfer 나눠 받기 (F36)",""))</f>
      </c>
    </row>
    <row r="311" spans="12:18" x14ac:dyDescent="0.25">
      <c r="L311" s="41">
        <f>IF($C311="","",IF($I311="",ROUND(IFERROR($H311*VLOOKUP($F311,'설정 Settings'!$A$122:$F$130,4,0)+VLOOKUP($F311,'설정 Settings'!$A$122:$F$130,5,0),0),2),$I311))</f>
      </c>
      <c r="M311" s="41">
        <f>IF($C311="","",$H311-$L311)</f>
      </c>
      <c r="N311" s="42">
        <f>IF($C311="","",IF($I311="","추정 ESTIMATE","실제 ACTUAL"))</f>
      </c>
      <c r="O311" s="41">
        <f>IF($A311="","",SUMIFS('입금 Payments'!$C$3:$C$1002,'입금 Payments'!$B$3:$B$1002,$A311))</f>
      </c>
      <c r="P311" s="41">
        <f>IF($C311="","",ROUND($H311*(1+IF('설정 Settings'!$C$24="YES",'설정 Settings'!$C$26,0)),2)-N($O311))</f>
      </c>
      <c r="Q311" s="42">
        <f>IF($A311="","","INV-"&amp;$A311)</f>
      </c>
      <c r="R311" s="42">
        <f>IF($H311="","",IF($H311&gt;'설정 Settings'!$C$36,"$2,000 초과: e-Transfer 나눠 받기 (F36)",""))</f>
      </c>
    </row>
    <row r="312" spans="12:18" x14ac:dyDescent="0.25">
      <c r="L312" s="41">
        <f>IF($C312="","",IF($I312="",ROUND(IFERROR($H312*VLOOKUP($F312,'설정 Settings'!$A$122:$F$130,4,0)+VLOOKUP($F312,'설정 Settings'!$A$122:$F$130,5,0),0),2),$I312))</f>
      </c>
      <c r="M312" s="41">
        <f>IF($C312="","",$H312-$L312)</f>
      </c>
      <c r="N312" s="42">
        <f>IF($C312="","",IF($I312="","추정 ESTIMATE","실제 ACTUAL"))</f>
      </c>
      <c r="O312" s="41">
        <f>IF($A312="","",SUMIFS('입금 Payments'!$C$3:$C$1002,'입금 Payments'!$B$3:$B$1002,$A312))</f>
      </c>
      <c r="P312" s="41">
        <f>IF($C312="","",ROUND($H312*(1+IF('설정 Settings'!$C$24="YES",'설정 Settings'!$C$26,0)),2)-N($O312))</f>
      </c>
      <c r="Q312" s="42">
        <f>IF($A312="","","INV-"&amp;$A312)</f>
      </c>
      <c r="R312" s="42">
        <f>IF($H312="","",IF($H312&gt;'설정 Settings'!$C$36,"$2,000 초과: e-Transfer 나눠 받기 (F36)",""))</f>
      </c>
    </row>
    <row r="313" spans="12:18" x14ac:dyDescent="0.25">
      <c r="L313" s="41">
        <f>IF($C313="","",IF($I313="",ROUND(IFERROR($H313*VLOOKUP($F313,'설정 Settings'!$A$122:$F$130,4,0)+VLOOKUP($F313,'설정 Settings'!$A$122:$F$130,5,0),0),2),$I313))</f>
      </c>
      <c r="M313" s="41">
        <f>IF($C313="","",$H313-$L313)</f>
      </c>
      <c r="N313" s="42">
        <f>IF($C313="","",IF($I313="","추정 ESTIMATE","실제 ACTUAL"))</f>
      </c>
      <c r="O313" s="41">
        <f>IF($A313="","",SUMIFS('입금 Payments'!$C$3:$C$1002,'입금 Payments'!$B$3:$B$1002,$A313))</f>
      </c>
      <c r="P313" s="41">
        <f>IF($C313="","",ROUND($H313*(1+IF('설정 Settings'!$C$24="YES",'설정 Settings'!$C$26,0)),2)-N($O313))</f>
      </c>
      <c r="Q313" s="42">
        <f>IF($A313="","","INV-"&amp;$A313)</f>
      </c>
      <c r="R313" s="42">
        <f>IF($H313="","",IF($H313&gt;'설정 Settings'!$C$36,"$2,000 초과: e-Transfer 나눠 받기 (F36)",""))</f>
      </c>
    </row>
    <row r="314" spans="12:18" x14ac:dyDescent="0.25">
      <c r="L314" s="41">
        <f>IF($C314="","",IF($I314="",ROUND(IFERROR($H314*VLOOKUP($F314,'설정 Settings'!$A$122:$F$130,4,0)+VLOOKUP($F314,'설정 Settings'!$A$122:$F$130,5,0),0),2),$I314))</f>
      </c>
      <c r="M314" s="41">
        <f>IF($C314="","",$H314-$L314)</f>
      </c>
      <c r="N314" s="42">
        <f>IF($C314="","",IF($I314="","추정 ESTIMATE","실제 ACTUAL"))</f>
      </c>
      <c r="O314" s="41">
        <f>IF($A314="","",SUMIFS('입금 Payments'!$C$3:$C$1002,'입금 Payments'!$B$3:$B$1002,$A314))</f>
      </c>
      <c r="P314" s="41">
        <f>IF($C314="","",ROUND($H314*(1+IF('설정 Settings'!$C$24="YES",'설정 Settings'!$C$26,0)),2)-N($O314))</f>
      </c>
      <c r="Q314" s="42">
        <f>IF($A314="","","INV-"&amp;$A314)</f>
      </c>
      <c r="R314" s="42">
        <f>IF($H314="","",IF($H314&gt;'설정 Settings'!$C$36,"$2,000 초과: e-Transfer 나눠 받기 (F36)",""))</f>
      </c>
    </row>
    <row r="315" spans="12:18" x14ac:dyDescent="0.25">
      <c r="L315" s="41">
        <f>IF($C315="","",IF($I315="",ROUND(IFERROR($H315*VLOOKUP($F315,'설정 Settings'!$A$122:$F$130,4,0)+VLOOKUP($F315,'설정 Settings'!$A$122:$F$130,5,0),0),2),$I315))</f>
      </c>
      <c r="M315" s="41">
        <f>IF($C315="","",$H315-$L315)</f>
      </c>
      <c r="N315" s="42">
        <f>IF($C315="","",IF($I315="","추정 ESTIMATE","실제 ACTUAL"))</f>
      </c>
      <c r="O315" s="41">
        <f>IF($A315="","",SUMIFS('입금 Payments'!$C$3:$C$1002,'입금 Payments'!$B$3:$B$1002,$A315))</f>
      </c>
      <c r="P315" s="41">
        <f>IF($C315="","",ROUND($H315*(1+IF('설정 Settings'!$C$24="YES",'설정 Settings'!$C$26,0)),2)-N($O315))</f>
      </c>
      <c r="Q315" s="42">
        <f>IF($A315="","","INV-"&amp;$A315)</f>
      </c>
      <c r="R315" s="42">
        <f>IF($H315="","",IF($H315&gt;'설정 Settings'!$C$36,"$2,000 초과: e-Transfer 나눠 받기 (F36)",""))</f>
      </c>
    </row>
    <row r="316" spans="12:18" x14ac:dyDescent="0.25">
      <c r="L316" s="41">
        <f>IF($C316="","",IF($I316="",ROUND(IFERROR($H316*VLOOKUP($F316,'설정 Settings'!$A$122:$F$130,4,0)+VLOOKUP($F316,'설정 Settings'!$A$122:$F$130,5,0),0),2),$I316))</f>
      </c>
      <c r="M316" s="41">
        <f>IF($C316="","",$H316-$L316)</f>
      </c>
      <c r="N316" s="42">
        <f>IF($C316="","",IF($I316="","추정 ESTIMATE","실제 ACTUAL"))</f>
      </c>
      <c r="O316" s="41">
        <f>IF($A316="","",SUMIFS('입금 Payments'!$C$3:$C$1002,'입금 Payments'!$B$3:$B$1002,$A316))</f>
      </c>
      <c r="P316" s="41">
        <f>IF($C316="","",ROUND($H316*(1+IF('설정 Settings'!$C$24="YES",'설정 Settings'!$C$26,0)),2)-N($O316))</f>
      </c>
      <c r="Q316" s="42">
        <f>IF($A316="","","INV-"&amp;$A316)</f>
      </c>
      <c r="R316" s="42">
        <f>IF($H316="","",IF($H316&gt;'설정 Settings'!$C$36,"$2,000 초과: e-Transfer 나눠 받기 (F36)",""))</f>
      </c>
    </row>
    <row r="317" spans="12:18" x14ac:dyDescent="0.25">
      <c r="L317" s="41">
        <f>IF($C317="","",IF($I317="",ROUND(IFERROR($H317*VLOOKUP($F317,'설정 Settings'!$A$122:$F$130,4,0)+VLOOKUP($F317,'설정 Settings'!$A$122:$F$130,5,0),0),2),$I317))</f>
      </c>
      <c r="M317" s="41">
        <f>IF($C317="","",$H317-$L317)</f>
      </c>
      <c r="N317" s="42">
        <f>IF($C317="","",IF($I317="","추정 ESTIMATE","실제 ACTUAL"))</f>
      </c>
      <c r="O317" s="41">
        <f>IF($A317="","",SUMIFS('입금 Payments'!$C$3:$C$1002,'입금 Payments'!$B$3:$B$1002,$A317))</f>
      </c>
      <c r="P317" s="41">
        <f>IF($C317="","",ROUND($H317*(1+IF('설정 Settings'!$C$24="YES",'설정 Settings'!$C$26,0)),2)-N($O317))</f>
      </c>
      <c r="Q317" s="42">
        <f>IF($A317="","","INV-"&amp;$A317)</f>
      </c>
      <c r="R317" s="42">
        <f>IF($H317="","",IF($H317&gt;'설정 Settings'!$C$36,"$2,000 초과: e-Transfer 나눠 받기 (F36)",""))</f>
      </c>
    </row>
    <row r="318" spans="12:18" x14ac:dyDescent="0.25">
      <c r="L318" s="41">
        <f>IF($C318="","",IF($I318="",ROUND(IFERROR($H318*VLOOKUP($F318,'설정 Settings'!$A$122:$F$130,4,0)+VLOOKUP($F318,'설정 Settings'!$A$122:$F$130,5,0),0),2),$I318))</f>
      </c>
      <c r="M318" s="41">
        <f>IF($C318="","",$H318-$L318)</f>
      </c>
      <c r="N318" s="42">
        <f>IF($C318="","",IF($I318="","추정 ESTIMATE","실제 ACTUAL"))</f>
      </c>
      <c r="O318" s="41">
        <f>IF($A318="","",SUMIFS('입금 Payments'!$C$3:$C$1002,'입금 Payments'!$B$3:$B$1002,$A318))</f>
      </c>
      <c r="P318" s="41">
        <f>IF($C318="","",ROUND($H318*(1+IF('설정 Settings'!$C$24="YES",'설정 Settings'!$C$26,0)),2)-N($O318))</f>
      </c>
      <c r="Q318" s="42">
        <f>IF($A318="","","INV-"&amp;$A318)</f>
      </c>
      <c r="R318" s="42">
        <f>IF($H318="","",IF($H318&gt;'설정 Settings'!$C$36,"$2,000 초과: e-Transfer 나눠 받기 (F36)",""))</f>
      </c>
    </row>
    <row r="319" spans="12:18" x14ac:dyDescent="0.25">
      <c r="L319" s="41">
        <f>IF($C319="","",IF($I319="",ROUND(IFERROR($H319*VLOOKUP($F319,'설정 Settings'!$A$122:$F$130,4,0)+VLOOKUP($F319,'설정 Settings'!$A$122:$F$130,5,0),0),2),$I319))</f>
      </c>
      <c r="M319" s="41">
        <f>IF($C319="","",$H319-$L319)</f>
      </c>
      <c r="N319" s="42">
        <f>IF($C319="","",IF($I319="","추정 ESTIMATE","실제 ACTUAL"))</f>
      </c>
      <c r="O319" s="41">
        <f>IF($A319="","",SUMIFS('입금 Payments'!$C$3:$C$1002,'입금 Payments'!$B$3:$B$1002,$A319))</f>
      </c>
      <c r="P319" s="41">
        <f>IF($C319="","",ROUND($H319*(1+IF('설정 Settings'!$C$24="YES",'설정 Settings'!$C$26,0)),2)-N($O319))</f>
      </c>
      <c r="Q319" s="42">
        <f>IF($A319="","","INV-"&amp;$A319)</f>
      </c>
      <c r="R319" s="42">
        <f>IF($H319="","",IF($H319&gt;'설정 Settings'!$C$36,"$2,000 초과: e-Transfer 나눠 받기 (F36)",""))</f>
      </c>
    </row>
    <row r="320" spans="12:18" x14ac:dyDescent="0.25">
      <c r="L320" s="41">
        <f>IF($C320="","",IF($I320="",ROUND(IFERROR($H320*VLOOKUP($F320,'설정 Settings'!$A$122:$F$130,4,0)+VLOOKUP($F320,'설정 Settings'!$A$122:$F$130,5,0),0),2),$I320))</f>
      </c>
      <c r="M320" s="41">
        <f>IF($C320="","",$H320-$L320)</f>
      </c>
      <c r="N320" s="42">
        <f>IF($C320="","",IF($I320="","추정 ESTIMATE","실제 ACTUAL"))</f>
      </c>
      <c r="O320" s="41">
        <f>IF($A320="","",SUMIFS('입금 Payments'!$C$3:$C$1002,'입금 Payments'!$B$3:$B$1002,$A320))</f>
      </c>
      <c r="P320" s="41">
        <f>IF($C320="","",ROUND($H320*(1+IF('설정 Settings'!$C$24="YES",'설정 Settings'!$C$26,0)),2)-N($O320))</f>
      </c>
      <c r="Q320" s="42">
        <f>IF($A320="","","INV-"&amp;$A320)</f>
      </c>
      <c r="R320" s="42">
        <f>IF($H320="","",IF($H320&gt;'설정 Settings'!$C$36,"$2,000 초과: e-Transfer 나눠 받기 (F36)",""))</f>
      </c>
    </row>
    <row r="321" spans="12:18" x14ac:dyDescent="0.25">
      <c r="L321" s="41">
        <f>IF($C321="","",IF($I321="",ROUND(IFERROR($H321*VLOOKUP($F321,'설정 Settings'!$A$122:$F$130,4,0)+VLOOKUP($F321,'설정 Settings'!$A$122:$F$130,5,0),0),2),$I321))</f>
      </c>
      <c r="M321" s="41">
        <f>IF($C321="","",$H321-$L321)</f>
      </c>
      <c r="N321" s="42">
        <f>IF($C321="","",IF($I321="","추정 ESTIMATE","실제 ACTUAL"))</f>
      </c>
      <c r="O321" s="41">
        <f>IF($A321="","",SUMIFS('입금 Payments'!$C$3:$C$1002,'입금 Payments'!$B$3:$B$1002,$A321))</f>
      </c>
      <c r="P321" s="41">
        <f>IF($C321="","",ROUND($H321*(1+IF('설정 Settings'!$C$24="YES",'설정 Settings'!$C$26,0)),2)-N($O321))</f>
      </c>
      <c r="Q321" s="42">
        <f>IF($A321="","","INV-"&amp;$A321)</f>
      </c>
      <c r="R321" s="42">
        <f>IF($H321="","",IF($H321&gt;'설정 Settings'!$C$36,"$2,000 초과: e-Transfer 나눠 받기 (F36)",""))</f>
      </c>
    </row>
    <row r="322" spans="12:18" x14ac:dyDescent="0.25">
      <c r="L322" s="41">
        <f>IF($C322="","",IF($I322="",ROUND(IFERROR($H322*VLOOKUP($F322,'설정 Settings'!$A$122:$F$130,4,0)+VLOOKUP($F322,'설정 Settings'!$A$122:$F$130,5,0),0),2),$I322))</f>
      </c>
      <c r="M322" s="41">
        <f>IF($C322="","",$H322-$L322)</f>
      </c>
      <c r="N322" s="42">
        <f>IF($C322="","",IF($I322="","추정 ESTIMATE","실제 ACTUAL"))</f>
      </c>
      <c r="O322" s="41">
        <f>IF($A322="","",SUMIFS('입금 Payments'!$C$3:$C$1002,'입금 Payments'!$B$3:$B$1002,$A322))</f>
      </c>
      <c r="P322" s="41">
        <f>IF($C322="","",ROUND($H322*(1+IF('설정 Settings'!$C$24="YES",'설정 Settings'!$C$26,0)),2)-N($O322))</f>
      </c>
      <c r="Q322" s="42">
        <f>IF($A322="","","INV-"&amp;$A322)</f>
      </c>
      <c r="R322" s="42">
        <f>IF($H322="","",IF($H322&gt;'설정 Settings'!$C$36,"$2,000 초과: e-Transfer 나눠 받기 (F36)",""))</f>
      </c>
    </row>
    <row r="323" spans="12:18" x14ac:dyDescent="0.25">
      <c r="L323" s="41">
        <f>IF($C323="","",IF($I323="",ROUND(IFERROR($H323*VLOOKUP($F323,'설정 Settings'!$A$122:$F$130,4,0)+VLOOKUP($F323,'설정 Settings'!$A$122:$F$130,5,0),0),2),$I323))</f>
      </c>
      <c r="M323" s="41">
        <f>IF($C323="","",$H323-$L323)</f>
      </c>
      <c r="N323" s="42">
        <f>IF($C323="","",IF($I323="","추정 ESTIMATE","실제 ACTUAL"))</f>
      </c>
      <c r="O323" s="41">
        <f>IF($A323="","",SUMIFS('입금 Payments'!$C$3:$C$1002,'입금 Payments'!$B$3:$B$1002,$A323))</f>
      </c>
      <c r="P323" s="41">
        <f>IF($C323="","",ROUND($H323*(1+IF('설정 Settings'!$C$24="YES",'설정 Settings'!$C$26,0)),2)-N($O323))</f>
      </c>
      <c r="Q323" s="42">
        <f>IF($A323="","","INV-"&amp;$A323)</f>
      </c>
      <c r="R323" s="42">
        <f>IF($H323="","",IF($H323&gt;'설정 Settings'!$C$36,"$2,000 초과: e-Transfer 나눠 받기 (F36)",""))</f>
      </c>
    </row>
    <row r="324" spans="12:18" x14ac:dyDescent="0.25">
      <c r="L324" s="41">
        <f>IF($C324="","",IF($I324="",ROUND(IFERROR($H324*VLOOKUP($F324,'설정 Settings'!$A$122:$F$130,4,0)+VLOOKUP($F324,'설정 Settings'!$A$122:$F$130,5,0),0),2),$I324))</f>
      </c>
      <c r="M324" s="41">
        <f>IF($C324="","",$H324-$L324)</f>
      </c>
      <c r="N324" s="42">
        <f>IF($C324="","",IF($I324="","추정 ESTIMATE","실제 ACTUAL"))</f>
      </c>
      <c r="O324" s="41">
        <f>IF($A324="","",SUMIFS('입금 Payments'!$C$3:$C$1002,'입금 Payments'!$B$3:$B$1002,$A324))</f>
      </c>
      <c r="P324" s="41">
        <f>IF($C324="","",ROUND($H324*(1+IF('설정 Settings'!$C$24="YES",'설정 Settings'!$C$26,0)),2)-N($O324))</f>
      </c>
      <c r="Q324" s="42">
        <f>IF($A324="","","INV-"&amp;$A324)</f>
      </c>
      <c r="R324" s="42">
        <f>IF($H324="","",IF($H324&gt;'설정 Settings'!$C$36,"$2,000 초과: e-Transfer 나눠 받기 (F36)",""))</f>
      </c>
    </row>
    <row r="325" spans="12:18" x14ac:dyDescent="0.25">
      <c r="L325" s="41">
        <f>IF($C325="","",IF($I325="",ROUND(IFERROR($H325*VLOOKUP($F325,'설정 Settings'!$A$122:$F$130,4,0)+VLOOKUP($F325,'설정 Settings'!$A$122:$F$130,5,0),0),2),$I325))</f>
      </c>
      <c r="M325" s="41">
        <f>IF($C325="","",$H325-$L325)</f>
      </c>
      <c r="N325" s="42">
        <f>IF($C325="","",IF($I325="","추정 ESTIMATE","실제 ACTUAL"))</f>
      </c>
      <c r="O325" s="41">
        <f>IF($A325="","",SUMIFS('입금 Payments'!$C$3:$C$1002,'입금 Payments'!$B$3:$B$1002,$A325))</f>
      </c>
      <c r="P325" s="41">
        <f>IF($C325="","",ROUND($H325*(1+IF('설정 Settings'!$C$24="YES",'설정 Settings'!$C$26,0)),2)-N($O325))</f>
      </c>
      <c r="Q325" s="42">
        <f>IF($A325="","","INV-"&amp;$A325)</f>
      </c>
      <c r="R325" s="42">
        <f>IF($H325="","",IF($H325&gt;'설정 Settings'!$C$36,"$2,000 초과: e-Transfer 나눠 받기 (F36)",""))</f>
      </c>
    </row>
    <row r="326" spans="12:18" x14ac:dyDescent="0.25">
      <c r="L326" s="41">
        <f>IF($C326="","",IF($I326="",ROUND(IFERROR($H326*VLOOKUP($F326,'설정 Settings'!$A$122:$F$130,4,0)+VLOOKUP($F326,'설정 Settings'!$A$122:$F$130,5,0),0),2),$I326))</f>
      </c>
      <c r="M326" s="41">
        <f>IF($C326="","",$H326-$L326)</f>
      </c>
      <c r="N326" s="42">
        <f>IF($C326="","",IF($I326="","추정 ESTIMATE","실제 ACTUAL"))</f>
      </c>
      <c r="O326" s="41">
        <f>IF($A326="","",SUMIFS('입금 Payments'!$C$3:$C$1002,'입금 Payments'!$B$3:$B$1002,$A326))</f>
      </c>
      <c r="P326" s="41">
        <f>IF($C326="","",ROUND($H326*(1+IF('설정 Settings'!$C$24="YES",'설정 Settings'!$C$26,0)),2)-N($O326))</f>
      </c>
      <c r="Q326" s="42">
        <f>IF($A326="","","INV-"&amp;$A326)</f>
      </c>
      <c r="R326" s="42">
        <f>IF($H326="","",IF($H326&gt;'설정 Settings'!$C$36,"$2,000 초과: e-Transfer 나눠 받기 (F36)",""))</f>
      </c>
    </row>
    <row r="327" spans="12:18" x14ac:dyDescent="0.25">
      <c r="L327" s="41">
        <f>IF($C327="","",IF($I327="",ROUND(IFERROR($H327*VLOOKUP($F327,'설정 Settings'!$A$122:$F$130,4,0)+VLOOKUP($F327,'설정 Settings'!$A$122:$F$130,5,0),0),2),$I327))</f>
      </c>
      <c r="M327" s="41">
        <f>IF($C327="","",$H327-$L327)</f>
      </c>
      <c r="N327" s="42">
        <f>IF($C327="","",IF($I327="","추정 ESTIMATE","실제 ACTUAL"))</f>
      </c>
      <c r="O327" s="41">
        <f>IF($A327="","",SUMIFS('입금 Payments'!$C$3:$C$1002,'입금 Payments'!$B$3:$B$1002,$A327))</f>
      </c>
      <c r="P327" s="41">
        <f>IF($C327="","",ROUND($H327*(1+IF('설정 Settings'!$C$24="YES",'설정 Settings'!$C$26,0)),2)-N($O327))</f>
      </c>
      <c r="Q327" s="42">
        <f>IF($A327="","","INV-"&amp;$A327)</f>
      </c>
      <c r="R327" s="42">
        <f>IF($H327="","",IF($H327&gt;'설정 Settings'!$C$36,"$2,000 초과: e-Transfer 나눠 받기 (F36)",""))</f>
      </c>
    </row>
    <row r="328" spans="12:18" x14ac:dyDescent="0.25">
      <c r="L328" s="41">
        <f>IF($C328="","",IF($I328="",ROUND(IFERROR($H328*VLOOKUP($F328,'설정 Settings'!$A$122:$F$130,4,0)+VLOOKUP($F328,'설정 Settings'!$A$122:$F$130,5,0),0),2),$I328))</f>
      </c>
      <c r="M328" s="41">
        <f>IF($C328="","",$H328-$L328)</f>
      </c>
      <c r="N328" s="42">
        <f>IF($C328="","",IF($I328="","추정 ESTIMATE","실제 ACTUAL"))</f>
      </c>
      <c r="O328" s="41">
        <f>IF($A328="","",SUMIFS('입금 Payments'!$C$3:$C$1002,'입금 Payments'!$B$3:$B$1002,$A328))</f>
      </c>
      <c r="P328" s="41">
        <f>IF($C328="","",ROUND($H328*(1+IF('설정 Settings'!$C$24="YES",'설정 Settings'!$C$26,0)),2)-N($O328))</f>
      </c>
      <c r="Q328" s="42">
        <f>IF($A328="","","INV-"&amp;$A328)</f>
      </c>
      <c r="R328" s="42">
        <f>IF($H328="","",IF($H328&gt;'설정 Settings'!$C$36,"$2,000 초과: e-Transfer 나눠 받기 (F36)",""))</f>
      </c>
    </row>
    <row r="329" spans="12:18" x14ac:dyDescent="0.25">
      <c r="L329" s="41">
        <f>IF($C329="","",IF($I329="",ROUND(IFERROR($H329*VLOOKUP($F329,'설정 Settings'!$A$122:$F$130,4,0)+VLOOKUP($F329,'설정 Settings'!$A$122:$F$130,5,0),0),2),$I329))</f>
      </c>
      <c r="M329" s="41">
        <f>IF($C329="","",$H329-$L329)</f>
      </c>
      <c r="N329" s="42">
        <f>IF($C329="","",IF($I329="","추정 ESTIMATE","실제 ACTUAL"))</f>
      </c>
      <c r="O329" s="41">
        <f>IF($A329="","",SUMIFS('입금 Payments'!$C$3:$C$1002,'입금 Payments'!$B$3:$B$1002,$A329))</f>
      </c>
      <c r="P329" s="41">
        <f>IF($C329="","",ROUND($H329*(1+IF('설정 Settings'!$C$24="YES",'설정 Settings'!$C$26,0)),2)-N($O329))</f>
      </c>
      <c r="Q329" s="42">
        <f>IF($A329="","","INV-"&amp;$A329)</f>
      </c>
      <c r="R329" s="42">
        <f>IF($H329="","",IF($H329&gt;'설정 Settings'!$C$36,"$2,000 초과: e-Transfer 나눠 받기 (F36)",""))</f>
      </c>
    </row>
    <row r="330" spans="12:18" x14ac:dyDescent="0.25">
      <c r="L330" s="41">
        <f>IF($C330="","",IF($I330="",ROUND(IFERROR($H330*VLOOKUP($F330,'설정 Settings'!$A$122:$F$130,4,0)+VLOOKUP($F330,'설정 Settings'!$A$122:$F$130,5,0),0),2),$I330))</f>
      </c>
      <c r="M330" s="41">
        <f>IF($C330="","",$H330-$L330)</f>
      </c>
      <c r="N330" s="42">
        <f>IF($C330="","",IF($I330="","추정 ESTIMATE","실제 ACTUAL"))</f>
      </c>
      <c r="O330" s="41">
        <f>IF($A330="","",SUMIFS('입금 Payments'!$C$3:$C$1002,'입금 Payments'!$B$3:$B$1002,$A330))</f>
      </c>
      <c r="P330" s="41">
        <f>IF($C330="","",ROUND($H330*(1+IF('설정 Settings'!$C$24="YES",'설정 Settings'!$C$26,0)),2)-N($O330))</f>
      </c>
      <c r="Q330" s="42">
        <f>IF($A330="","","INV-"&amp;$A330)</f>
      </c>
      <c r="R330" s="42">
        <f>IF($H330="","",IF($H330&gt;'설정 Settings'!$C$36,"$2,000 초과: e-Transfer 나눠 받기 (F36)",""))</f>
      </c>
    </row>
    <row r="331" spans="12:18" x14ac:dyDescent="0.25">
      <c r="L331" s="41">
        <f>IF($C331="","",IF($I331="",ROUND(IFERROR($H331*VLOOKUP($F331,'설정 Settings'!$A$122:$F$130,4,0)+VLOOKUP($F331,'설정 Settings'!$A$122:$F$130,5,0),0),2),$I331))</f>
      </c>
      <c r="M331" s="41">
        <f>IF($C331="","",$H331-$L331)</f>
      </c>
      <c r="N331" s="42">
        <f>IF($C331="","",IF($I331="","추정 ESTIMATE","실제 ACTUAL"))</f>
      </c>
      <c r="O331" s="41">
        <f>IF($A331="","",SUMIFS('입금 Payments'!$C$3:$C$1002,'입금 Payments'!$B$3:$B$1002,$A331))</f>
      </c>
      <c r="P331" s="41">
        <f>IF($C331="","",ROUND($H331*(1+IF('설정 Settings'!$C$24="YES",'설정 Settings'!$C$26,0)),2)-N($O331))</f>
      </c>
      <c r="Q331" s="42">
        <f>IF($A331="","","INV-"&amp;$A331)</f>
      </c>
      <c r="R331" s="42">
        <f>IF($H331="","",IF($H331&gt;'설정 Settings'!$C$36,"$2,000 초과: e-Transfer 나눠 받기 (F36)",""))</f>
      </c>
    </row>
    <row r="332" spans="12:18" x14ac:dyDescent="0.25">
      <c r="L332" s="41">
        <f>IF($C332="","",IF($I332="",ROUND(IFERROR($H332*VLOOKUP($F332,'설정 Settings'!$A$122:$F$130,4,0)+VLOOKUP($F332,'설정 Settings'!$A$122:$F$130,5,0),0),2),$I332))</f>
      </c>
      <c r="M332" s="41">
        <f>IF($C332="","",$H332-$L332)</f>
      </c>
      <c r="N332" s="42">
        <f>IF($C332="","",IF($I332="","추정 ESTIMATE","실제 ACTUAL"))</f>
      </c>
      <c r="O332" s="41">
        <f>IF($A332="","",SUMIFS('입금 Payments'!$C$3:$C$1002,'입금 Payments'!$B$3:$B$1002,$A332))</f>
      </c>
      <c r="P332" s="41">
        <f>IF($C332="","",ROUND($H332*(1+IF('설정 Settings'!$C$24="YES",'설정 Settings'!$C$26,0)),2)-N($O332))</f>
      </c>
      <c r="Q332" s="42">
        <f>IF($A332="","","INV-"&amp;$A332)</f>
      </c>
      <c r="R332" s="42">
        <f>IF($H332="","",IF($H332&gt;'설정 Settings'!$C$36,"$2,000 초과: e-Transfer 나눠 받기 (F36)",""))</f>
      </c>
    </row>
    <row r="333" spans="12:18" x14ac:dyDescent="0.25">
      <c r="L333" s="41">
        <f>IF($C333="","",IF($I333="",ROUND(IFERROR($H333*VLOOKUP($F333,'설정 Settings'!$A$122:$F$130,4,0)+VLOOKUP($F333,'설정 Settings'!$A$122:$F$130,5,0),0),2),$I333))</f>
      </c>
      <c r="M333" s="41">
        <f>IF($C333="","",$H333-$L333)</f>
      </c>
      <c r="N333" s="42">
        <f>IF($C333="","",IF($I333="","추정 ESTIMATE","실제 ACTUAL"))</f>
      </c>
      <c r="O333" s="41">
        <f>IF($A333="","",SUMIFS('입금 Payments'!$C$3:$C$1002,'입금 Payments'!$B$3:$B$1002,$A333))</f>
      </c>
      <c r="P333" s="41">
        <f>IF($C333="","",ROUND($H333*(1+IF('설정 Settings'!$C$24="YES",'설정 Settings'!$C$26,0)),2)-N($O333))</f>
      </c>
      <c r="Q333" s="42">
        <f>IF($A333="","","INV-"&amp;$A333)</f>
      </c>
      <c r="R333" s="42">
        <f>IF($H333="","",IF($H333&gt;'설정 Settings'!$C$36,"$2,000 초과: e-Transfer 나눠 받기 (F36)",""))</f>
      </c>
    </row>
    <row r="334" spans="12:18" x14ac:dyDescent="0.25">
      <c r="L334" s="41">
        <f>IF($C334="","",IF($I334="",ROUND(IFERROR($H334*VLOOKUP($F334,'설정 Settings'!$A$122:$F$130,4,0)+VLOOKUP($F334,'설정 Settings'!$A$122:$F$130,5,0),0),2),$I334))</f>
      </c>
      <c r="M334" s="41">
        <f>IF($C334="","",$H334-$L334)</f>
      </c>
      <c r="N334" s="42">
        <f>IF($C334="","",IF($I334="","추정 ESTIMATE","실제 ACTUAL"))</f>
      </c>
      <c r="O334" s="41">
        <f>IF($A334="","",SUMIFS('입금 Payments'!$C$3:$C$1002,'입금 Payments'!$B$3:$B$1002,$A334))</f>
      </c>
      <c r="P334" s="41">
        <f>IF($C334="","",ROUND($H334*(1+IF('설정 Settings'!$C$24="YES",'설정 Settings'!$C$26,0)),2)-N($O334))</f>
      </c>
      <c r="Q334" s="42">
        <f>IF($A334="","","INV-"&amp;$A334)</f>
      </c>
      <c r="R334" s="42">
        <f>IF($H334="","",IF($H334&gt;'설정 Settings'!$C$36,"$2,000 초과: e-Transfer 나눠 받기 (F36)",""))</f>
      </c>
    </row>
    <row r="335" spans="12:18" x14ac:dyDescent="0.25">
      <c r="L335" s="41">
        <f>IF($C335="","",IF($I335="",ROUND(IFERROR($H335*VLOOKUP($F335,'설정 Settings'!$A$122:$F$130,4,0)+VLOOKUP($F335,'설정 Settings'!$A$122:$F$130,5,0),0),2),$I335))</f>
      </c>
      <c r="M335" s="41">
        <f>IF($C335="","",$H335-$L335)</f>
      </c>
      <c r="N335" s="42">
        <f>IF($C335="","",IF($I335="","추정 ESTIMATE","실제 ACTUAL"))</f>
      </c>
      <c r="O335" s="41">
        <f>IF($A335="","",SUMIFS('입금 Payments'!$C$3:$C$1002,'입금 Payments'!$B$3:$B$1002,$A335))</f>
      </c>
      <c r="P335" s="41">
        <f>IF($C335="","",ROUND($H335*(1+IF('설정 Settings'!$C$24="YES",'설정 Settings'!$C$26,0)),2)-N($O335))</f>
      </c>
      <c r="Q335" s="42">
        <f>IF($A335="","","INV-"&amp;$A335)</f>
      </c>
      <c r="R335" s="42">
        <f>IF($H335="","",IF($H335&gt;'설정 Settings'!$C$36,"$2,000 초과: e-Transfer 나눠 받기 (F36)",""))</f>
      </c>
    </row>
    <row r="336" spans="12:18" x14ac:dyDescent="0.25">
      <c r="L336" s="41">
        <f>IF($C336="","",IF($I336="",ROUND(IFERROR($H336*VLOOKUP($F336,'설정 Settings'!$A$122:$F$130,4,0)+VLOOKUP($F336,'설정 Settings'!$A$122:$F$130,5,0),0),2),$I336))</f>
      </c>
      <c r="M336" s="41">
        <f>IF($C336="","",$H336-$L336)</f>
      </c>
      <c r="N336" s="42">
        <f>IF($C336="","",IF($I336="","추정 ESTIMATE","실제 ACTUAL"))</f>
      </c>
      <c r="O336" s="41">
        <f>IF($A336="","",SUMIFS('입금 Payments'!$C$3:$C$1002,'입금 Payments'!$B$3:$B$1002,$A336))</f>
      </c>
      <c r="P336" s="41">
        <f>IF($C336="","",ROUND($H336*(1+IF('설정 Settings'!$C$24="YES",'설정 Settings'!$C$26,0)),2)-N($O336))</f>
      </c>
      <c r="Q336" s="42">
        <f>IF($A336="","","INV-"&amp;$A336)</f>
      </c>
      <c r="R336" s="42">
        <f>IF($H336="","",IF($H336&gt;'설정 Settings'!$C$36,"$2,000 초과: e-Transfer 나눠 받기 (F36)",""))</f>
      </c>
    </row>
    <row r="337" spans="12:18" x14ac:dyDescent="0.25">
      <c r="L337" s="41">
        <f>IF($C337="","",IF($I337="",ROUND(IFERROR($H337*VLOOKUP($F337,'설정 Settings'!$A$122:$F$130,4,0)+VLOOKUP($F337,'설정 Settings'!$A$122:$F$130,5,0),0),2),$I337))</f>
      </c>
      <c r="M337" s="41">
        <f>IF($C337="","",$H337-$L337)</f>
      </c>
      <c r="N337" s="42">
        <f>IF($C337="","",IF($I337="","추정 ESTIMATE","실제 ACTUAL"))</f>
      </c>
      <c r="O337" s="41">
        <f>IF($A337="","",SUMIFS('입금 Payments'!$C$3:$C$1002,'입금 Payments'!$B$3:$B$1002,$A337))</f>
      </c>
      <c r="P337" s="41">
        <f>IF($C337="","",ROUND($H337*(1+IF('설정 Settings'!$C$24="YES",'설정 Settings'!$C$26,0)),2)-N($O337))</f>
      </c>
      <c r="Q337" s="42">
        <f>IF($A337="","","INV-"&amp;$A337)</f>
      </c>
      <c r="R337" s="42">
        <f>IF($H337="","",IF($H337&gt;'설정 Settings'!$C$36,"$2,000 초과: e-Transfer 나눠 받기 (F36)",""))</f>
      </c>
    </row>
    <row r="338" spans="12:18" x14ac:dyDescent="0.25">
      <c r="L338" s="41">
        <f>IF($C338="","",IF($I338="",ROUND(IFERROR($H338*VLOOKUP($F338,'설정 Settings'!$A$122:$F$130,4,0)+VLOOKUP($F338,'설정 Settings'!$A$122:$F$130,5,0),0),2),$I338))</f>
      </c>
      <c r="M338" s="41">
        <f>IF($C338="","",$H338-$L338)</f>
      </c>
      <c r="N338" s="42">
        <f>IF($C338="","",IF($I338="","추정 ESTIMATE","실제 ACTUAL"))</f>
      </c>
      <c r="O338" s="41">
        <f>IF($A338="","",SUMIFS('입금 Payments'!$C$3:$C$1002,'입금 Payments'!$B$3:$B$1002,$A338))</f>
      </c>
      <c r="P338" s="41">
        <f>IF($C338="","",ROUND($H338*(1+IF('설정 Settings'!$C$24="YES",'설정 Settings'!$C$26,0)),2)-N($O338))</f>
      </c>
      <c r="Q338" s="42">
        <f>IF($A338="","","INV-"&amp;$A338)</f>
      </c>
      <c r="R338" s="42">
        <f>IF($H338="","",IF($H338&gt;'설정 Settings'!$C$36,"$2,000 초과: e-Transfer 나눠 받기 (F36)",""))</f>
      </c>
    </row>
    <row r="339" spans="12:18" x14ac:dyDescent="0.25">
      <c r="L339" s="41">
        <f>IF($C339="","",IF($I339="",ROUND(IFERROR($H339*VLOOKUP($F339,'설정 Settings'!$A$122:$F$130,4,0)+VLOOKUP($F339,'설정 Settings'!$A$122:$F$130,5,0),0),2),$I339))</f>
      </c>
      <c r="M339" s="41">
        <f>IF($C339="","",$H339-$L339)</f>
      </c>
      <c r="N339" s="42">
        <f>IF($C339="","",IF($I339="","추정 ESTIMATE","실제 ACTUAL"))</f>
      </c>
      <c r="O339" s="41">
        <f>IF($A339="","",SUMIFS('입금 Payments'!$C$3:$C$1002,'입금 Payments'!$B$3:$B$1002,$A339))</f>
      </c>
      <c r="P339" s="41">
        <f>IF($C339="","",ROUND($H339*(1+IF('설정 Settings'!$C$24="YES",'설정 Settings'!$C$26,0)),2)-N($O339))</f>
      </c>
      <c r="Q339" s="42">
        <f>IF($A339="","","INV-"&amp;$A339)</f>
      </c>
      <c r="R339" s="42">
        <f>IF($H339="","",IF($H339&gt;'설정 Settings'!$C$36,"$2,000 초과: e-Transfer 나눠 받기 (F36)",""))</f>
      </c>
    </row>
    <row r="340" spans="12:18" x14ac:dyDescent="0.25">
      <c r="L340" s="41">
        <f>IF($C340="","",IF($I340="",ROUND(IFERROR($H340*VLOOKUP($F340,'설정 Settings'!$A$122:$F$130,4,0)+VLOOKUP($F340,'설정 Settings'!$A$122:$F$130,5,0),0),2),$I340))</f>
      </c>
      <c r="M340" s="41">
        <f>IF($C340="","",$H340-$L340)</f>
      </c>
      <c r="N340" s="42">
        <f>IF($C340="","",IF($I340="","추정 ESTIMATE","실제 ACTUAL"))</f>
      </c>
      <c r="O340" s="41">
        <f>IF($A340="","",SUMIFS('입금 Payments'!$C$3:$C$1002,'입금 Payments'!$B$3:$B$1002,$A340))</f>
      </c>
      <c r="P340" s="41">
        <f>IF($C340="","",ROUND($H340*(1+IF('설정 Settings'!$C$24="YES",'설정 Settings'!$C$26,0)),2)-N($O340))</f>
      </c>
      <c r="Q340" s="42">
        <f>IF($A340="","","INV-"&amp;$A340)</f>
      </c>
      <c r="R340" s="42">
        <f>IF($H340="","",IF($H340&gt;'설정 Settings'!$C$36,"$2,000 초과: e-Transfer 나눠 받기 (F36)",""))</f>
      </c>
    </row>
    <row r="341" spans="12:18" x14ac:dyDescent="0.25">
      <c r="L341" s="41">
        <f>IF($C341="","",IF($I341="",ROUND(IFERROR($H341*VLOOKUP($F341,'설정 Settings'!$A$122:$F$130,4,0)+VLOOKUP($F341,'설정 Settings'!$A$122:$F$130,5,0),0),2),$I341))</f>
      </c>
      <c r="M341" s="41">
        <f>IF($C341="","",$H341-$L341)</f>
      </c>
      <c r="N341" s="42">
        <f>IF($C341="","",IF($I341="","추정 ESTIMATE","실제 ACTUAL"))</f>
      </c>
      <c r="O341" s="41">
        <f>IF($A341="","",SUMIFS('입금 Payments'!$C$3:$C$1002,'입금 Payments'!$B$3:$B$1002,$A341))</f>
      </c>
      <c r="P341" s="41">
        <f>IF($C341="","",ROUND($H341*(1+IF('설정 Settings'!$C$24="YES",'설정 Settings'!$C$26,0)),2)-N($O341))</f>
      </c>
      <c r="Q341" s="42">
        <f>IF($A341="","","INV-"&amp;$A341)</f>
      </c>
      <c r="R341" s="42">
        <f>IF($H341="","",IF($H341&gt;'설정 Settings'!$C$36,"$2,000 초과: e-Transfer 나눠 받기 (F36)",""))</f>
      </c>
    </row>
    <row r="342" spans="12:18" x14ac:dyDescent="0.25">
      <c r="L342" s="41">
        <f>IF($C342="","",IF($I342="",ROUND(IFERROR($H342*VLOOKUP($F342,'설정 Settings'!$A$122:$F$130,4,0)+VLOOKUP($F342,'설정 Settings'!$A$122:$F$130,5,0),0),2),$I342))</f>
      </c>
      <c r="M342" s="41">
        <f>IF($C342="","",$H342-$L342)</f>
      </c>
      <c r="N342" s="42">
        <f>IF($C342="","",IF($I342="","추정 ESTIMATE","실제 ACTUAL"))</f>
      </c>
      <c r="O342" s="41">
        <f>IF($A342="","",SUMIFS('입금 Payments'!$C$3:$C$1002,'입금 Payments'!$B$3:$B$1002,$A342))</f>
      </c>
      <c r="P342" s="41">
        <f>IF($C342="","",ROUND($H342*(1+IF('설정 Settings'!$C$24="YES",'설정 Settings'!$C$26,0)),2)-N($O342))</f>
      </c>
      <c r="Q342" s="42">
        <f>IF($A342="","","INV-"&amp;$A342)</f>
      </c>
      <c r="R342" s="42">
        <f>IF($H342="","",IF($H342&gt;'설정 Settings'!$C$36,"$2,000 초과: e-Transfer 나눠 받기 (F36)",""))</f>
      </c>
    </row>
    <row r="343" spans="12:18" x14ac:dyDescent="0.25">
      <c r="L343" s="41">
        <f>IF($C343="","",IF($I343="",ROUND(IFERROR($H343*VLOOKUP($F343,'설정 Settings'!$A$122:$F$130,4,0)+VLOOKUP($F343,'설정 Settings'!$A$122:$F$130,5,0),0),2),$I343))</f>
      </c>
      <c r="M343" s="41">
        <f>IF($C343="","",$H343-$L343)</f>
      </c>
      <c r="N343" s="42">
        <f>IF($C343="","",IF($I343="","추정 ESTIMATE","실제 ACTUAL"))</f>
      </c>
      <c r="O343" s="41">
        <f>IF($A343="","",SUMIFS('입금 Payments'!$C$3:$C$1002,'입금 Payments'!$B$3:$B$1002,$A343))</f>
      </c>
      <c r="P343" s="41">
        <f>IF($C343="","",ROUND($H343*(1+IF('설정 Settings'!$C$24="YES",'설정 Settings'!$C$26,0)),2)-N($O343))</f>
      </c>
      <c r="Q343" s="42">
        <f>IF($A343="","","INV-"&amp;$A343)</f>
      </c>
      <c r="R343" s="42">
        <f>IF($H343="","",IF($H343&gt;'설정 Settings'!$C$36,"$2,000 초과: e-Transfer 나눠 받기 (F36)",""))</f>
      </c>
    </row>
    <row r="344" spans="12:18" x14ac:dyDescent="0.25">
      <c r="L344" s="41">
        <f>IF($C344="","",IF($I344="",ROUND(IFERROR($H344*VLOOKUP($F344,'설정 Settings'!$A$122:$F$130,4,0)+VLOOKUP($F344,'설정 Settings'!$A$122:$F$130,5,0),0),2),$I344))</f>
      </c>
      <c r="M344" s="41">
        <f>IF($C344="","",$H344-$L344)</f>
      </c>
      <c r="N344" s="42">
        <f>IF($C344="","",IF($I344="","추정 ESTIMATE","실제 ACTUAL"))</f>
      </c>
      <c r="O344" s="41">
        <f>IF($A344="","",SUMIFS('입금 Payments'!$C$3:$C$1002,'입금 Payments'!$B$3:$B$1002,$A344))</f>
      </c>
      <c r="P344" s="41">
        <f>IF($C344="","",ROUND($H344*(1+IF('설정 Settings'!$C$24="YES",'설정 Settings'!$C$26,0)),2)-N($O344))</f>
      </c>
      <c r="Q344" s="42">
        <f>IF($A344="","","INV-"&amp;$A344)</f>
      </c>
      <c r="R344" s="42">
        <f>IF($H344="","",IF($H344&gt;'설정 Settings'!$C$36,"$2,000 초과: e-Transfer 나눠 받기 (F36)",""))</f>
      </c>
    </row>
    <row r="345" spans="12:18" x14ac:dyDescent="0.25">
      <c r="L345" s="41">
        <f>IF($C345="","",IF($I345="",ROUND(IFERROR($H345*VLOOKUP($F345,'설정 Settings'!$A$122:$F$130,4,0)+VLOOKUP($F345,'설정 Settings'!$A$122:$F$130,5,0),0),2),$I345))</f>
      </c>
      <c r="M345" s="41">
        <f>IF($C345="","",$H345-$L345)</f>
      </c>
      <c r="N345" s="42">
        <f>IF($C345="","",IF($I345="","추정 ESTIMATE","실제 ACTUAL"))</f>
      </c>
      <c r="O345" s="41">
        <f>IF($A345="","",SUMIFS('입금 Payments'!$C$3:$C$1002,'입금 Payments'!$B$3:$B$1002,$A345))</f>
      </c>
      <c r="P345" s="41">
        <f>IF($C345="","",ROUND($H345*(1+IF('설정 Settings'!$C$24="YES",'설정 Settings'!$C$26,0)),2)-N($O345))</f>
      </c>
      <c r="Q345" s="42">
        <f>IF($A345="","","INV-"&amp;$A345)</f>
      </c>
      <c r="R345" s="42">
        <f>IF($H345="","",IF($H345&gt;'설정 Settings'!$C$36,"$2,000 초과: e-Transfer 나눠 받기 (F36)",""))</f>
      </c>
    </row>
    <row r="346" spans="12:18" x14ac:dyDescent="0.25">
      <c r="L346" s="41">
        <f>IF($C346="","",IF($I346="",ROUND(IFERROR($H346*VLOOKUP($F346,'설정 Settings'!$A$122:$F$130,4,0)+VLOOKUP($F346,'설정 Settings'!$A$122:$F$130,5,0),0),2),$I346))</f>
      </c>
      <c r="M346" s="41">
        <f>IF($C346="","",$H346-$L346)</f>
      </c>
      <c r="N346" s="42">
        <f>IF($C346="","",IF($I346="","추정 ESTIMATE","실제 ACTUAL"))</f>
      </c>
      <c r="O346" s="41">
        <f>IF($A346="","",SUMIFS('입금 Payments'!$C$3:$C$1002,'입금 Payments'!$B$3:$B$1002,$A346))</f>
      </c>
      <c r="P346" s="41">
        <f>IF($C346="","",ROUND($H346*(1+IF('설정 Settings'!$C$24="YES",'설정 Settings'!$C$26,0)),2)-N($O346))</f>
      </c>
      <c r="Q346" s="42">
        <f>IF($A346="","","INV-"&amp;$A346)</f>
      </c>
      <c r="R346" s="42">
        <f>IF($H346="","",IF($H346&gt;'설정 Settings'!$C$36,"$2,000 초과: e-Transfer 나눠 받기 (F36)",""))</f>
      </c>
    </row>
    <row r="347" spans="12:18" x14ac:dyDescent="0.25">
      <c r="L347" s="41">
        <f>IF($C347="","",IF($I347="",ROUND(IFERROR($H347*VLOOKUP($F347,'설정 Settings'!$A$122:$F$130,4,0)+VLOOKUP($F347,'설정 Settings'!$A$122:$F$130,5,0),0),2),$I347))</f>
      </c>
      <c r="M347" s="41">
        <f>IF($C347="","",$H347-$L347)</f>
      </c>
      <c r="N347" s="42">
        <f>IF($C347="","",IF($I347="","추정 ESTIMATE","실제 ACTUAL"))</f>
      </c>
      <c r="O347" s="41">
        <f>IF($A347="","",SUMIFS('입금 Payments'!$C$3:$C$1002,'입금 Payments'!$B$3:$B$1002,$A347))</f>
      </c>
      <c r="P347" s="41">
        <f>IF($C347="","",ROUND($H347*(1+IF('설정 Settings'!$C$24="YES",'설정 Settings'!$C$26,0)),2)-N($O347))</f>
      </c>
      <c r="Q347" s="42">
        <f>IF($A347="","","INV-"&amp;$A347)</f>
      </c>
      <c r="R347" s="42">
        <f>IF($H347="","",IF($H347&gt;'설정 Settings'!$C$36,"$2,000 초과: e-Transfer 나눠 받기 (F36)",""))</f>
      </c>
    </row>
    <row r="348" spans="12:18" x14ac:dyDescent="0.25">
      <c r="L348" s="41">
        <f>IF($C348="","",IF($I348="",ROUND(IFERROR($H348*VLOOKUP($F348,'설정 Settings'!$A$122:$F$130,4,0)+VLOOKUP($F348,'설정 Settings'!$A$122:$F$130,5,0),0),2),$I348))</f>
      </c>
      <c r="M348" s="41">
        <f>IF($C348="","",$H348-$L348)</f>
      </c>
      <c r="N348" s="42">
        <f>IF($C348="","",IF($I348="","추정 ESTIMATE","실제 ACTUAL"))</f>
      </c>
      <c r="O348" s="41">
        <f>IF($A348="","",SUMIFS('입금 Payments'!$C$3:$C$1002,'입금 Payments'!$B$3:$B$1002,$A348))</f>
      </c>
      <c r="P348" s="41">
        <f>IF($C348="","",ROUND($H348*(1+IF('설정 Settings'!$C$24="YES",'설정 Settings'!$C$26,0)),2)-N($O348))</f>
      </c>
      <c r="Q348" s="42">
        <f>IF($A348="","","INV-"&amp;$A348)</f>
      </c>
      <c r="R348" s="42">
        <f>IF($H348="","",IF($H348&gt;'설정 Settings'!$C$36,"$2,000 초과: e-Transfer 나눠 받기 (F36)",""))</f>
      </c>
    </row>
    <row r="349" spans="12:18" x14ac:dyDescent="0.25">
      <c r="L349" s="41">
        <f>IF($C349="","",IF($I349="",ROUND(IFERROR($H349*VLOOKUP($F349,'설정 Settings'!$A$122:$F$130,4,0)+VLOOKUP($F349,'설정 Settings'!$A$122:$F$130,5,0),0),2),$I349))</f>
      </c>
      <c r="M349" s="41">
        <f>IF($C349="","",$H349-$L349)</f>
      </c>
      <c r="N349" s="42">
        <f>IF($C349="","",IF($I349="","추정 ESTIMATE","실제 ACTUAL"))</f>
      </c>
      <c r="O349" s="41">
        <f>IF($A349="","",SUMIFS('입금 Payments'!$C$3:$C$1002,'입금 Payments'!$B$3:$B$1002,$A349))</f>
      </c>
      <c r="P349" s="41">
        <f>IF($C349="","",ROUND($H349*(1+IF('설정 Settings'!$C$24="YES",'설정 Settings'!$C$26,0)),2)-N($O349))</f>
      </c>
      <c r="Q349" s="42">
        <f>IF($A349="","","INV-"&amp;$A349)</f>
      </c>
      <c r="R349" s="42">
        <f>IF($H349="","",IF($H349&gt;'설정 Settings'!$C$36,"$2,000 초과: e-Transfer 나눠 받기 (F36)",""))</f>
      </c>
    </row>
    <row r="350" spans="12:18" x14ac:dyDescent="0.25">
      <c r="L350" s="41">
        <f>IF($C350="","",IF($I350="",ROUND(IFERROR($H350*VLOOKUP($F350,'설정 Settings'!$A$122:$F$130,4,0)+VLOOKUP($F350,'설정 Settings'!$A$122:$F$130,5,0),0),2),$I350))</f>
      </c>
      <c r="M350" s="41">
        <f>IF($C350="","",$H350-$L350)</f>
      </c>
      <c r="N350" s="42">
        <f>IF($C350="","",IF($I350="","추정 ESTIMATE","실제 ACTUAL"))</f>
      </c>
      <c r="O350" s="41">
        <f>IF($A350="","",SUMIFS('입금 Payments'!$C$3:$C$1002,'입금 Payments'!$B$3:$B$1002,$A350))</f>
      </c>
      <c r="P350" s="41">
        <f>IF($C350="","",ROUND($H350*(1+IF('설정 Settings'!$C$24="YES",'설정 Settings'!$C$26,0)),2)-N($O350))</f>
      </c>
      <c r="Q350" s="42">
        <f>IF($A350="","","INV-"&amp;$A350)</f>
      </c>
      <c r="R350" s="42">
        <f>IF($H350="","",IF($H350&gt;'설정 Settings'!$C$36,"$2,000 초과: e-Transfer 나눠 받기 (F36)",""))</f>
      </c>
    </row>
    <row r="351" spans="12:18" x14ac:dyDescent="0.25">
      <c r="L351" s="41">
        <f>IF($C351="","",IF($I351="",ROUND(IFERROR($H351*VLOOKUP($F351,'설정 Settings'!$A$122:$F$130,4,0)+VLOOKUP($F351,'설정 Settings'!$A$122:$F$130,5,0),0),2),$I351))</f>
      </c>
      <c r="M351" s="41">
        <f>IF($C351="","",$H351-$L351)</f>
      </c>
      <c r="N351" s="42">
        <f>IF($C351="","",IF($I351="","추정 ESTIMATE","실제 ACTUAL"))</f>
      </c>
      <c r="O351" s="41">
        <f>IF($A351="","",SUMIFS('입금 Payments'!$C$3:$C$1002,'입금 Payments'!$B$3:$B$1002,$A351))</f>
      </c>
      <c r="P351" s="41">
        <f>IF($C351="","",ROUND($H351*(1+IF('설정 Settings'!$C$24="YES",'설정 Settings'!$C$26,0)),2)-N($O351))</f>
      </c>
      <c r="Q351" s="42">
        <f>IF($A351="","","INV-"&amp;$A351)</f>
      </c>
      <c r="R351" s="42">
        <f>IF($H351="","",IF($H351&gt;'설정 Settings'!$C$36,"$2,000 초과: e-Transfer 나눠 받기 (F36)",""))</f>
      </c>
    </row>
    <row r="352" spans="12:18" x14ac:dyDescent="0.25">
      <c r="L352" s="41">
        <f>IF($C352="","",IF($I352="",ROUND(IFERROR($H352*VLOOKUP($F352,'설정 Settings'!$A$122:$F$130,4,0)+VLOOKUP($F352,'설정 Settings'!$A$122:$F$130,5,0),0),2),$I352))</f>
      </c>
      <c r="M352" s="41">
        <f>IF($C352="","",$H352-$L352)</f>
      </c>
      <c r="N352" s="42">
        <f>IF($C352="","",IF($I352="","추정 ESTIMATE","실제 ACTUAL"))</f>
      </c>
      <c r="O352" s="41">
        <f>IF($A352="","",SUMIFS('입금 Payments'!$C$3:$C$1002,'입금 Payments'!$B$3:$B$1002,$A352))</f>
      </c>
      <c r="P352" s="41">
        <f>IF($C352="","",ROUND($H352*(1+IF('설정 Settings'!$C$24="YES",'설정 Settings'!$C$26,0)),2)-N($O352))</f>
      </c>
      <c r="Q352" s="42">
        <f>IF($A352="","","INV-"&amp;$A352)</f>
      </c>
      <c r="R352" s="42">
        <f>IF($H352="","",IF($H352&gt;'설정 Settings'!$C$36,"$2,000 초과: e-Transfer 나눠 받기 (F36)",""))</f>
      </c>
    </row>
    <row r="353" spans="12:18" x14ac:dyDescent="0.25">
      <c r="L353" s="41">
        <f>IF($C353="","",IF($I353="",ROUND(IFERROR($H353*VLOOKUP($F353,'설정 Settings'!$A$122:$F$130,4,0)+VLOOKUP($F353,'설정 Settings'!$A$122:$F$130,5,0),0),2),$I353))</f>
      </c>
      <c r="M353" s="41">
        <f>IF($C353="","",$H353-$L353)</f>
      </c>
      <c r="N353" s="42">
        <f>IF($C353="","",IF($I353="","추정 ESTIMATE","실제 ACTUAL"))</f>
      </c>
      <c r="O353" s="41">
        <f>IF($A353="","",SUMIFS('입금 Payments'!$C$3:$C$1002,'입금 Payments'!$B$3:$B$1002,$A353))</f>
      </c>
      <c r="P353" s="41">
        <f>IF($C353="","",ROUND($H353*(1+IF('설정 Settings'!$C$24="YES",'설정 Settings'!$C$26,0)),2)-N($O353))</f>
      </c>
      <c r="Q353" s="42">
        <f>IF($A353="","","INV-"&amp;$A353)</f>
      </c>
      <c r="R353" s="42">
        <f>IF($H353="","",IF($H353&gt;'설정 Settings'!$C$36,"$2,000 초과: e-Transfer 나눠 받기 (F36)",""))</f>
      </c>
    </row>
    <row r="354" spans="12:18" x14ac:dyDescent="0.25">
      <c r="L354" s="41">
        <f>IF($C354="","",IF($I354="",ROUND(IFERROR($H354*VLOOKUP($F354,'설정 Settings'!$A$122:$F$130,4,0)+VLOOKUP($F354,'설정 Settings'!$A$122:$F$130,5,0),0),2),$I354))</f>
      </c>
      <c r="M354" s="41">
        <f>IF($C354="","",$H354-$L354)</f>
      </c>
      <c r="N354" s="42">
        <f>IF($C354="","",IF($I354="","추정 ESTIMATE","실제 ACTUAL"))</f>
      </c>
      <c r="O354" s="41">
        <f>IF($A354="","",SUMIFS('입금 Payments'!$C$3:$C$1002,'입금 Payments'!$B$3:$B$1002,$A354))</f>
      </c>
      <c r="P354" s="41">
        <f>IF($C354="","",ROUND($H354*(1+IF('설정 Settings'!$C$24="YES",'설정 Settings'!$C$26,0)),2)-N($O354))</f>
      </c>
      <c r="Q354" s="42">
        <f>IF($A354="","","INV-"&amp;$A354)</f>
      </c>
      <c r="R354" s="42">
        <f>IF($H354="","",IF($H354&gt;'설정 Settings'!$C$36,"$2,000 초과: e-Transfer 나눠 받기 (F36)",""))</f>
      </c>
    </row>
    <row r="355" spans="12:18" x14ac:dyDescent="0.25">
      <c r="L355" s="41">
        <f>IF($C355="","",IF($I355="",ROUND(IFERROR($H355*VLOOKUP($F355,'설정 Settings'!$A$122:$F$130,4,0)+VLOOKUP($F355,'설정 Settings'!$A$122:$F$130,5,0),0),2),$I355))</f>
      </c>
      <c r="M355" s="41">
        <f>IF($C355="","",$H355-$L355)</f>
      </c>
      <c r="N355" s="42">
        <f>IF($C355="","",IF($I355="","추정 ESTIMATE","실제 ACTUAL"))</f>
      </c>
      <c r="O355" s="41">
        <f>IF($A355="","",SUMIFS('입금 Payments'!$C$3:$C$1002,'입금 Payments'!$B$3:$B$1002,$A355))</f>
      </c>
      <c r="P355" s="41">
        <f>IF($C355="","",ROUND($H355*(1+IF('설정 Settings'!$C$24="YES",'설정 Settings'!$C$26,0)),2)-N($O355))</f>
      </c>
      <c r="Q355" s="42">
        <f>IF($A355="","","INV-"&amp;$A355)</f>
      </c>
      <c r="R355" s="42">
        <f>IF($H355="","",IF($H355&gt;'설정 Settings'!$C$36,"$2,000 초과: e-Transfer 나눠 받기 (F36)",""))</f>
      </c>
    </row>
    <row r="356" spans="12:18" x14ac:dyDescent="0.25">
      <c r="L356" s="41">
        <f>IF($C356="","",IF($I356="",ROUND(IFERROR($H356*VLOOKUP($F356,'설정 Settings'!$A$122:$F$130,4,0)+VLOOKUP($F356,'설정 Settings'!$A$122:$F$130,5,0),0),2),$I356))</f>
      </c>
      <c r="M356" s="41">
        <f>IF($C356="","",$H356-$L356)</f>
      </c>
      <c r="N356" s="42">
        <f>IF($C356="","",IF($I356="","추정 ESTIMATE","실제 ACTUAL"))</f>
      </c>
      <c r="O356" s="41">
        <f>IF($A356="","",SUMIFS('입금 Payments'!$C$3:$C$1002,'입금 Payments'!$B$3:$B$1002,$A356))</f>
      </c>
      <c r="P356" s="41">
        <f>IF($C356="","",ROUND($H356*(1+IF('설정 Settings'!$C$24="YES",'설정 Settings'!$C$26,0)),2)-N($O356))</f>
      </c>
      <c r="Q356" s="42">
        <f>IF($A356="","","INV-"&amp;$A356)</f>
      </c>
      <c r="R356" s="42">
        <f>IF($H356="","",IF($H356&gt;'설정 Settings'!$C$36,"$2,000 초과: e-Transfer 나눠 받기 (F36)",""))</f>
      </c>
    </row>
    <row r="357" spans="12:18" x14ac:dyDescent="0.25">
      <c r="L357" s="41">
        <f>IF($C357="","",IF($I357="",ROUND(IFERROR($H357*VLOOKUP($F357,'설정 Settings'!$A$122:$F$130,4,0)+VLOOKUP($F357,'설정 Settings'!$A$122:$F$130,5,0),0),2),$I357))</f>
      </c>
      <c r="M357" s="41">
        <f>IF($C357="","",$H357-$L357)</f>
      </c>
      <c r="N357" s="42">
        <f>IF($C357="","",IF($I357="","추정 ESTIMATE","실제 ACTUAL"))</f>
      </c>
      <c r="O357" s="41">
        <f>IF($A357="","",SUMIFS('입금 Payments'!$C$3:$C$1002,'입금 Payments'!$B$3:$B$1002,$A357))</f>
      </c>
      <c r="P357" s="41">
        <f>IF($C357="","",ROUND($H357*(1+IF('설정 Settings'!$C$24="YES",'설정 Settings'!$C$26,0)),2)-N($O357))</f>
      </c>
      <c r="Q357" s="42">
        <f>IF($A357="","","INV-"&amp;$A357)</f>
      </c>
      <c r="R357" s="42">
        <f>IF($H357="","",IF($H357&gt;'설정 Settings'!$C$36,"$2,000 초과: e-Transfer 나눠 받기 (F36)",""))</f>
      </c>
    </row>
    <row r="358" spans="12:18" x14ac:dyDescent="0.25">
      <c r="L358" s="41">
        <f>IF($C358="","",IF($I358="",ROUND(IFERROR($H358*VLOOKUP($F358,'설정 Settings'!$A$122:$F$130,4,0)+VLOOKUP($F358,'설정 Settings'!$A$122:$F$130,5,0),0),2),$I358))</f>
      </c>
      <c r="M358" s="41">
        <f>IF($C358="","",$H358-$L358)</f>
      </c>
      <c r="N358" s="42">
        <f>IF($C358="","",IF($I358="","추정 ESTIMATE","실제 ACTUAL"))</f>
      </c>
      <c r="O358" s="41">
        <f>IF($A358="","",SUMIFS('입금 Payments'!$C$3:$C$1002,'입금 Payments'!$B$3:$B$1002,$A358))</f>
      </c>
      <c r="P358" s="41">
        <f>IF($C358="","",ROUND($H358*(1+IF('설정 Settings'!$C$24="YES",'설정 Settings'!$C$26,0)),2)-N($O358))</f>
      </c>
      <c r="Q358" s="42">
        <f>IF($A358="","","INV-"&amp;$A358)</f>
      </c>
      <c r="R358" s="42">
        <f>IF($H358="","",IF($H358&gt;'설정 Settings'!$C$36,"$2,000 초과: e-Transfer 나눠 받기 (F36)",""))</f>
      </c>
    </row>
    <row r="359" spans="12:18" x14ac:dyDescent="0.25">
      <c r="L359" s="41">
        <f>IF($C359="","",IF($I359="",ROUND(IFERROR($H359*VLOOKUP($F359,'설정 Settings'!$A$122:$F$130,4,0)+VLOOKUP($F359,'설정 Settings'!$A$122:$F$130,5,0),0),2),$I359))</f>
      </c>
      <c r="M359" s="41">
        <f>IF($C359="","",$H359-$L359)</f>
      </c>
      <c r="N359" s="42">
        <f>IF($C359="","",IF($I359="","추정 ESTIMATE","실제 ACTUAL"))</f>
      </c>
      <c r="O359" s="41">
        <f>IF($A359="","",SUMIFS('입금 Payments'!$C$3:$C$1002,'입금 Payments'!$B$3:$B$1002,$A359))</f>
      </c>
      <c r="P359" s="41">
        <f>IF($C359="","",ROUND($H359*(1+IF('설정 Settings'!$C$24="YES",'설정 Settings'!$C$26,0)),2)-N($O359))</f>
      </c>
      <c r="Q359" s="42">
        <f>IF($A359="","","INV-"&amp;$A359)</f>
      </c>
      <c r="R359" s="42">
        <f>IF($H359="","",IF($H359&gt;'설정 Settings'!$C$36,"$2,000 초과: e-Transfer 나눠 받기 (F36)",""))</f>
      </c>
    </row>
    <row r="360" spans="12:18" x14ac:dyDescent="0.25">
      <c r="L360" s="41">
        <f>IF($C360="","",IF($I360="",ROUND(IFERROR($H360*VLOOKUP($F360,'설정 Settings'!$A$122:$F$130,4,0)+VLOOKUP($F360,'설정 Settings'!$A$122:$F$130,5,0),0),2),$I360))</f>
      </c>
      <c r="M360" s="41">
        <f>IF($C360="","",$H360-$L360)</f>
      </c>
      <c r="N360" s="42">
        <f>IF($C360="","",IF($I360="","추정 ESTIMATE","실제 ACTUAL"))</f>
      </c>
      <c r="O360" s="41">
        <f>IF($A360="","",SUMIFS('입금 Payments'!$C$3:$C$1002,'입금 Payments'!$B$3:$B$1002,$A360))</f>
      </c>
      <c r="P360" s="41">
        <f>IF($C360="","",ROUND($H360*(1+IF('설정 Settings'!$C$24="YES",'설정 Settings'!$C$26,0)),2)-N($O360))</f>
      </c>
      <c r="Q360" s="42">
        <f>IF($A360="","","INV-"&amp;$A360)</f>
      </c>
      <c r="R360" s="42">
        <f>IF($H360="","",IF($H360&gt;'설정 Settings'!$C$36,"$2,000 초과: e-Transfer 나눠 받기 (F36)",""))</f>
      </c>
    </row>
    <row r="361" spans="12:18" x14ac:dyDescent="0.25">
      <c r="L361" s="41">
        <f>IF($C361="","",IF($I361="",ROUND(IFERROR($H361*VLOOKUP($F361,'설정 Settings'!$A$122:$F$130,4,0)+VLOOKUP($F361,'설정 Settings'!$A$122:$F$130,5,0),0),2),$I361))</f>
      </c>
      <c r="M361" s="41">
        <f>IF($C361="","",$H361-$L361)</f>
      </c>
      <c r="N361" s="42">
        <f>IF($C361="","",IF($I361="","추정 ESTIMATE","실제 ACTUAL"))</f>
      </c>
      <c r="O361" s="41">
        <f>IF($A361="","",SUMIFS('입금 Payments'!$C$3:$C$1002,'입금 Payments'!$B$3:$B$1002,$A361))</f>
      </c>
      <c r="P361" s="41">
        <f>IF($C361="","",ROUND($H361*(1+IF('설정 Settings'!$C$24="YES",'설정 Settings'!$C$26,0)),2)-N($O361))</f>
      </c>
      <c r="Q361" s="42">
        <f>IF($A361="","","INV-"&amp;$A361)</f>
      </c>
      <c r="R361" s="42">
        <f>IF($H361="","",IF($H361&gt;'설정 Settings'!$C$36,"$2,000 초과: e-Transfer 나눠 받기 (F36)",""))</f>
      </c>
    </row>
    <row r="362" spans="12:18" x14ac:dyDescent="0.25">
      <c r="L362" s="41">
        <f>IF($C362="","",IF($I362="",ROUND(IFERROR($H362*VLOOKUP($F362,'설정 Settings'!$A$122:$F$130,4,0)+VLOOKUP($F362,'설정 Settings'!$A$122:$F$130,5,0),0),2),$I362))</f>
      </c>
      <c r="M362" s="41">
        <f>IF($C362="","",$H362-$L362)</f>
      </c>
      <c r="N362" s="42">
        <f>IF($C362="","",IF($I362="","추정 ESTIMATE","실제 ACTUAL"))</f>
      </c>
      <c r="O362" s="41">
        <f>IF($A362="","",SUMIFS('입금 Payments'!$C$3:$C$1002,'입금 Payments'!$B$3:$B$1002,$A362))</f>
      </c>
      <c r="P362" s="41">
        <f>IF($C362="","",ROUND($H362*(1+IF('설정 Settings'!$C$24="YES",'설정 Settings'!$C$26,0)),2)-N($O362))</f>
      </c>
      <c r="Q362" s="42">
        <f>IF($A362="","","INV-"&amp;$A362)</f>
      </c>
      <c r="R362" s="42">
        <f>IF($H362="","",IF($H362&gt;'설정 Settings'!$C$36,"$2,000 초과: e-Transfer 나눠 받기 (F36)",""))</f>
      </c>
    </row>
    <row r="363" spans="12:18" x14ac:dyDescent="0.25">
      <c r="L363" s="41">
        <f>IF($C363="","",IF($I363="",ROUND(IFERROR($H363*VLOOKUP($F363,'설정 Settings'!$A$122:$F$130,4,0)+VLOOKUP($F363,'설정 Settings'!$A$122:$F$130,5,0),0),2),$I363))</f>
      </c>
      <c r="M363" s="41">
        <f>IF($C363="","",$H363-$L363)</f>
      </c>
      <c r="N363" s="42">
        <f>IF($C363="","",IF($I363="","추정 ESTIMATE","실제 ACTUAL"))</f>
      </c>
      <c r="O363" s="41">
        <f>IF($A363="","",SUMIFS('입금 Payments'!$C$3:$C$1002,'입금 Payments'!$B$3:$B$1002,$A363))</f>
      </c>
      <c r="P363" s="41">
        <f>IF($C363="","",ROUND($H363*(1+IF('설정 Settings'!$C$24="YES",'설정 Settings'!$C$26,0)),2)-N($O363))</f>
      </c>
      <c r="Q363" s="42">
        <f>IF($A363="","","INV-"&amp;$A363)</f>
      </c>
      <c r="R363" s="42">
        <f>IF($H363="","",IF($H363&gt;'설정 Settings'!$C$36,"$2,000 초과: e-Transfer 나눠 받기 (F36)",""))</f>
      </c>
    </row>
    <row r="364" spans="12:18" x14ac:dyDescent="0.25">
      <c r="L364" s="41">
        <f>IF($C364="","",IF($I364="",ROUND(IFERROR($H364*VLOOKUP($F364,'설정 Settings'!$A$122:$F$130,4,0)+VLOOKUP($F364,'설정 Settings'!$A$122:$F$130,5,0),0),2),$I364))</f>
      </c>
      <c r="M364" s="41">
        <f>IF($C364="","",$H364-$L364)</f>
      </c>
      <c r="N364" s="42">
        <f>IF($C364="","",IF($I364="","추정 ESTIMATE","실제 ACTUAL"))</f>
      </c>
      <c r="O364" s="41">
        <f>IF($A364="","",SUMIFS('입금 Payments'!$C$3:$C$1002,'입금 Payments'!$B$3:$B$1002,$A364))</f>
      </c>
      <c r="P364" s="41">
        <f>IF($C364="","",ROUND($H364*(1+IF('설정 Settings'!$C$24="YES",'설정 Settings'!$C$26,0)),2)-N($O364))</f>
      </c>
      <c r="Q364" s="42">
        <f>IF($A364="","","INV-"&amp;$A364)</f>
      </c>
      <c r="R364" s="42">
        <f>IF($H364="","",IF($H364&gt;'설정 Settings'!$C$36,"$2,000 초과: e-Transfer 나눠 받기 (F36)",""))</f>
      </c>
    </row>
    <row r="365" spans="12:18" x14ac:dyDescent="0.25">
      <c r="L365" s="41">
        <f>IF($C365="","",IF($I365="",ROUND(IFERROR($H365*VLOOKUP($F365,'설정 Settings'!$A$122:$F$130,4,0)+VLOOKUP($F365,'설정 Settings'!$A$122:$F$130,5,0),0),2),$I365))</f>
      </c>
      <c r="M365" s="41">
        <f>IF($C365="","",$H365-$L365)</f>
      </c>
      <c r="N365" s="42">
        <f>IF($C365="","",IF($I365="","추정 ESTIMATE","실제 ACTUAL"))</f>
      </c>
      <c r="O365" s="41">
        <f>IF($A365="","",SUMIFS('입금 Payments'!$C$3:$C$1002,'입금 Payments'!$B$3:$B$1002,$A365))</f>
      </c>
      <c r="P365" s="41">
        <f>IF($C365="","",ROUND($H365*(1+IF('설정 Settings'!$C$24="YES",'설정 Settings'!$C$26,0)),2)-N($O365))</f>
      </c>
      <c r="Q365" s="42">
        <f>IF($A365="","","INV-"&amp;$A365)</f>
      </c>
      <c r="R365" s="42">
        <f>IF($H365="","",IF($H365&gt;'설정 Settings'!$C$36,"$2,000 초과: e-Transfer 나눠 받기 (F36)",""))</f>
      </c>
    </row>
    <row r="366" spans="12:18" x14ac:dyDescent="0.25">
      <c r="L366" s="41">
        <f>IF($C366="","",IF($I366="",ROUND(IFERROR($H366*VLOOKUP($F366,'설정 Settings'!$A$122:$F$130,4,0)+VLOOKUP($F366,'설정 Settings'!$A$122:$F$130,5,0),0),2),$I366))</f>
      </c>
      <c r="M366" s="41">
        <f>IF($C366="","",$H366-$L366)</f>
      </c>
      <c r="N366" s="42">
        <f>IF($C366="","",IF($I366="","추정 ESTIMATE","실제 ACTUAL"))</f>
      </c>
      <c r="O366" s="41">
        <f>IF($A366="","",SUMIFS('입금 Payments'!$C$3:$C$1002,'입금 Payments'!$B$3:$B$1002,$A366))</f>
      </c>
      <c r="P366" s="41">
        <f>IF($C366="","",ROUND($H366*(1+IF('설정 Settings'!$C$24="YES",'설정 Settings'!$C$26,0)),2)-N($O366))</f>
      </c>
      <c r="Q366" s="42">
        <f>IF($A366="","","INV-"&amp;$A366)</f>
      </c>
      <c r="R366" s="42">
        <f>IF($H366="","",IF($H366&gt;'설정 Settings'!$C$36,"$2,000 초과: e-Transfer 나눠 받기 (F36)",""))</f>
      </c>
    </row>
    <row r="367" spans="12:18" x14ac:dyDescent="0.25">
      <c r="L367" s="41">
        <f>IF($C367="","",IF($I367="",ROUND(IFERROR($H367*VLOOKUP($F367,'설정 Settings'!$A$122:$F$130,4,0)+VLOOKUP($F367,'설정 Settings'!$A$122:$F$130,5,0),0),2),$I367))</f>
      </c>
      <c r="M367" s="41">
        <f>IF($C367="","",$H367-$L367)</f>
      </c>
      <c r="N367" s="42">
        <f>IF($C367="","",IF($I367="","추정 ESTIMATE","실제 ACTUAL"))</f>
      </c>
      <c r="O367" s="41">
        <f>IF($A367="","",SUMIFS('입금 Payments'!$C$3:$C$1002,'입금 Payments'!$B$3:$B$1002,$A367))</f>
      </c>
      <c r="P367" s="41">
        <f>IF($C367="","",ROUND($H367*(1+IF('설정 Settings'!$C$24="YES",'설정 Settings'!$C$26,0)),2)-N($O367))</f>
      </c>
      <c r="Q367" s="42">
        <f>IF($A367="","","INV-"&amp;$A367)</f>
      </c>
      <c r="R367" s="42">
        <f>IF($H367="","",IF($H367&gt;'설정 Settings'!$C$36,"$2,000 초과: e-Transfer 나눠 받기 (F36)",""))</f>
      </c>
    </row>
    <row r="368" spans="12:18" x14ac:dyDescent="0.25">
      <c r="L368" s="41">
        <f>IF($C368="","",IF($I368="",ROUND(IFERROR($H368*VLOOKUP($F368,'설정 Settings'!$A$122:$F$130,4,0)+VLOOKUP($F368,'설정 Settings'!$A$122:$F$130,5,0),0),2),$I368))</f>
      </c>
      <c r="M368" s="41">
        <f>IF($C368="","",$H368-$L368)</f>
      </c>
      <c r="N368" s="42">
        <f>IF($C368="","",IF($I368="","추정 ESTIMATE","실제 ACTUAL"))</f>
      </c>
      <c r="O368" s="41">
        <f>IF($A368="","",SUMIFS('입금 Payments'!$C$3:$C$1002,'입금 Payments'!$B$3:$B$1002,$A368))</f>
      </c>
      <c r="P368" s="41">
        <f>IF($C368="","",ROUND($H368*(1+IF('설정 Settings'!$C$24="YES",'설정 Settings'!$C$26,0)),2)-N($O368))</f>
      </c>
      <c r="Q368" s="42">
        <f>IF($A368="","","INV-"&amp;$A368)</f>
      </c>
      <c r="R368" s="42">
        <f>IF($H368="","",IF($H368&gt;'설정 Settings'!$C$36,"$2,000 초과: e-Transfer 나눠 받기 (F36)",""))</f>
      </c>
    </row>
    <row r="369" spans="12:18" x14ac:dyDescent="0.25">
      <c r="L369" s="41">
        <f>IF($C369="","",IF($I369="",ROUND(IFERROR($H369*VLOOKUP($F369,'설정 Settings'!$A$122:$F$130,4,0)+VLOOKUP($F369,'설정 Settings'!$A$122:$F$130,5,0),0),2),$I369))</f>
      </c>
      <c r="M369" s="41">
        <f>IF($C369="","",$H369-$L369)</f>
      </c>
      <c r="N369" s="42">
        <f>IF($C369="","",IF($I369="","추정 ESTIMATE","실제 ACTUAL"))</f>
      </c>
      <c r="O369" s="41">
        <f>IF($A369="","",SUMIFS('입금 Payments'!$C$3:$C$1002,'입금 Payments'!$B$3:$B$1002,$A369))</f>
      </c>
      <c r="P369" s="41">
        <f>IF($C369="","",ROUND($H369*(1+IF('설정 Settings'!$C$24="YES",'설정 Settings'!$C$26,0)),2)-N($O369))</f>
      </c>
      <c r="Q369" s="42">
        <f>IF($A369="","","INV-"&amp;$A369)</f>
      </c>
      <c r="R369" s="42">
        <f>IF($H369="","",IF($H369&gt;'설정 Settings'!$C$36,"$2,000 초과: e-Transfer 나눠 받기 (F36)",""))</f>
      </c>
    </row>
    <row r="370" spans="12:18" x14ac:dyDescent="0.25">
      <c r="L370" s="41">
        <f>IF($C370="","",IF($I370="",ROUND(IFERROR($H370*VLOOKUP($F370,'설정 Settings'!$A$122:$F$130,4,0)+VLOOKUP($F370,'설정 Settings'!$A$122:$F$130,5,0),0),2),$I370))</f>
      </c>
      <c r="M370" s="41">
        <f>IF($C370="","",$H370-$L370)</f>
      </c>
      <c r="N370" s="42">
        <f>IF($C370="","",IF($I370="","추정 ESTIMATE","실제 ACTUAL"))</f>
      </c>
      <c r="O370" s="41">
        <f>IF($A370="","",SUMIFS('입금 Payments'!$C$3:$C$1002,'입금 Payments'!$B$3:$B$1002,$A370))</f>
      </c>
      <c r="P370" s="41">
        <f>IF($C370="","",ROUND($H370*(1+IF('설정 Settings'!$C$24="YES",'설정 Settings'!$C$26,0)),2)-N($O370))</f>
      </c>
      <c r="Q370" s="42">
        <f>IF($A370="","","INV-"&amp;$A370)</f>
      </c>
      <c r="R370" s="42">
        <f>IF($H370="","",IF($H370&gt;'설정 Settings'!$C$36,"$2,000 초과: e-Transfer 나눠 받기 (F36)",""))</f>
      </c>
    </row>
    <row r="371" spans="12:18" x14ac:dyDescent="0.25">
      <c r="L371" s="41">
        <f>IF($C371="","",IF($I371="",ROUND(IFERROR($H371*VLOOKUP($F371,'설정 Settings'!$A$122:$F$130,4,0)+VLOOKUP($F371,'설정 Settings'!$A$122:$F$130,5,0),0),2),$I371))</f>
      </c>
      <c r="M371" s="41">
        <f>IF($C371="","",$H371-$L371)</f>
      </c>
      <c r="N371" s="42">
        <f>IF($C371="","",IF($I371="","추정 ESTIMATE","실제 ACTUAL"))</f>
      </c>
      <c r="O371" s="41">
        <f>IF($A371="","",SUMIFS('입금 Payments'!$C$3:$C$1002,'입금 Payments'!$B$3:$B$1002,$A371))</f>
      </c>
      <c r="P371" s="41">
        <f>IF($C371="","",ROUND($H371*(1+IF('설정 Settings'!$C$24="YES",'설정 Settings'!$C$26,0)),2)-N($O371))</f>
      </c>
      <c r="Q371" s="42">
        <f>IF($A371="","","INV-"&amp;$A371)</f>
      </c>
      <c r="R371" s="42">
        <f>IF($H371="","",IF($H371&gt;'설정 Settings'!$C$36,"$2,000 초과: e-Transfer 나눠 받기 (F36)",""))</f>
      </c>
    </row>
    <row r="372" spans="12:18" x14ac:dyDescent="0.25">
      <c r="L372" s="41">
        <f>IF($C372="","",IF($I372="",ROUND(IFERROR($H372*VLOOKUP($F372,'설정 Settings'!$A$122:$F$130,4,0)+VLOOKUP($F372,'설정 Settings'!$A$122:$F$130,5,0),0),2),$I372))</f>
      </c>
      <c r="M372" s="41">
        <f>IF($C372="","",$H372-$L372)</f>
      </c>
      <c r="N372" s="42">
        <f>IF($C372="","",IF($I372="","추정 ESTIMATE","실제 ACTUAL"))</f>
      </c>
      <c r="O372" s="41">
        <f>IF($A372="","",SUMIFS('입금 Payments'!$C$3:$C$1002,'입금 Payments'!$B$3:$B$1002,$A372))</f>
      </c>
      <c r="P372" s="41">
        <f>IF($C372="","",ROUND($H372*(1+IF('설정 Settings'!$C$24="YES",'설정 Settings'!$C$26,0)),2)-N($O372))</f>
      </c>
      <c r="Q372" s="42">
        <f>IF($A372="","","INV-"&amp;$A372)</f>
      </c>
      <c r="R372" s="42">
        <f>IF($H372="","",IF($H372&gt;'설정 Settings'!$C$36,"$2,000 초과: e-Transfer 나눠 받기 (F36)",""))</f>
      </c>
    </row>
    <row r="373" spans="12:18" x14ac:dyDescent="0.25">
      <c r="L373" s="41">
        <f>IF($C373="","",IF($I373="",ROUND(IFERROR($H373*VLOOKUP($F373,'설정 Settings'!$A$122:$F$130,4,0)+VLOOKUP($F373,'설정 Settings'!$A$122:$F$130,5,0),0),2),$I373))</f>
      </c>
      <c r="M373" s="41">
        <f>IF($C373="","",$H373-$L373)</f>
      </c>
      <c r="N373" s="42">
        <f>IF($C373="","",IF($I373="","추정 ESTIMATE","실제 ACTUAL"))</f>
      </c>
      <c r="O373" s="41">
        <f>IF($A373="","",SUMIFS('입금 Payments'!$C$3:$C$1002,'입금 Payments'!$B$3:$B$1002,$A373))</f>
      </c>
      <c r="P373" s="41">
        <f>IF($C373="","",ROUND($H373*(1+IF('설정 Settings'!$C$24="YES",'설정 Settings'!$C$26,0)),2)-N($O373))</f>
      </c>
      <c r="Q373" s="42">
        <f>IF($A373="","","INV-"&amp;$A373)</f>
      </c>
      <c r="R373" s="42">
        <f>IF($H373="","",IF($H373&gt;'설정 Settings'!$C$36,"$2,000 초과: e-Transfer 나눠 받기 (F36)",""))</f>
      </c>
    </row>
    <row r="374" spans="12:18" x14ac:dyDescent="0.25">
      <c r="L374" s="41">
        <f>IF($C374="","",IF($I374="",ROUND(IFERROR($H374*VLOOKUP($F374,'설정 Settings'!$A$122:$F$130,4,0)+VLOOKUP($F374,'설정 Settings'!$A$122:$F$130,5,0),0),2),$I374))</f>
      </c>
      <c r="M374" s="41">
        <f>IF($C374="","",$H374-$L374)</f>
      </c>
      <c r="N374" s="42">
        <f>IF($C374="","",IF($I374="","추정 ESTIMATE","실제 ACTUAL"))</f>
      </c>
      <c r="O374" s="41">
        <f>IF($A374="","",SUMIFS('입금 Payments'!$C$3:$C$1002,'입금 Payments'!$B$3:$B$1002,$A374))</f>
      </c>
      <c r="P374" s="41">
        <f>IF($C374="","",ROUND($H374*(1+IF('설정 Settings'!$C$24="YES",'설정 Settings'!$C$26,0)),2)-N($O374))</f>
      </c>
      <c r="Q374" s="42">
        <f>IF($A374="","","INV-"&amp;$A374)</f>
      </c>
      <c r="R374" s="42">
        <f>IF($H374="","",IF($H374&gt;'설정 Settings'!$C$36,"$2,000 초과: e-Transfer 나눠 받기 (F36)",""))</f>
      </c>
    </row>
    <row r="375" spans="12:18" x14ac:dyDescent="0.25">
      <c r="L375" s="41">
        <f>IF($C375="","",IF($I375="",ROUND(IFERROR($H375*VLOOKUP($F375,'설정 Settings'!$A$122:$F$130,4,0)+VLOOKUP($F375,'설정 Settings'!$A$122:$F$130,5,0),0),2),$I375))</f>
      </c>
      <c r="M375" s="41">
        <f>IF($C375="","",$H375-$L375)</f>
      </c>
      <c r="N375" s="42">
        <f>IF($C375="","",IF($I375="","추정 ESTIMATE","실제 ACTUAL"))</f>
      </c>
      <c r="O375" s="41">
        <f>IF($A375="","",SUMIFS('입금 Payments'!$C$3:$C$1002,'입금 Payments'!$B$3:$B$1002,$A375))</f>
      </c>
      <c r="P375" s="41">
        <f>IF($C375="","",ROUND($H375*(1+IF('설정 Settings'!$C$24="YES",'설정 Settings'!$C$26,0)),2)-N($O375))</f>
      </c>
      <c r="Q375" s="42">
        <f>IF($A375="","","INV-"&amp;$A375)</f>
      </c>
      <c r="R375" s="42">
        <f>IF($H375="","",IF($H375&gt;'설정 Settings'!$C$36,"$2,000 초과: e-Transfer 나눠 받기 (F36)",""))</f>
      </c>
    </row>
    <row r="376" spans="12:18" x14ac:dyDescent="0.25">
      <c r="L376" s="41">
        <f>IF($C376="","",IF($I376="",ROUND(IFERROR($H376*VLOOKUP($F376,'설정 Settings'!$A$122:$F$130,4,0)+VLOOKUP($F376,'설정 Settings'!$A$122:$F$130,5,0),0),2),$I376))</f>
      </c>
      <c r="M376" s="41">
        <f>IF($C376="","",$H376-$L376)</f>
      </c>
      <c r="N376" s="42">
        <f>IF($C376="","",IF($I376="","추정 ESTIMATE","실제 ACTUAL"))</f>
      </c>
      <c r="O376" s="41">
        <f>IF($A376="","",SUMIFS('입금 Payments'!$C$3:$C$1002,'입금 Payments'!$B$3:$B$1002,$A376))</f>
      </c>
      <c r="P376" s="41">
        <f>IF($C376="","",ROUND($H376*(1+IF('설정 Settings'!$C$24="YES",'설정 Settings'!$C$26,0)),2)-N($O376))</f>
      </c>
      <c r="Q376" s="42">
        <f>IF($A376="","","INV-"&amp;$A376)</f>
      </c>
      <c r="R376" s="42">
        <f>IF($H376="","",IF($H376&gt;'설정 Settings'!$C$36,"$2,000 초과: e-Transfer 나눠 받기 (F36)",""))</f>
      </c>
    </row>
    <row r="377" spans="12:18" x14ac:dyDescent="0.25">
      <c r="L377" s="41">
        <f>IF($C377="","",IF($I377="",ROUND(IFERROR($H377*VLOOKUP($F377,'설정 Settings'!$A$122:$F$130,4,0)+VLOOKUP($F377,'설정 Settings'!$A$122:$F$130,5,0),0),2),$I377))</f>
      </c>
      <c r="M377" s="41">
        <f>IF($C377="","",$H377-$L377)</f>
      </c>
      <c r="N377" s="42">
        <f>IF($C377="","",IF($I377="","추정 ESTIMATE","실제 ACTUAL"))</f>
      </c>
      <c r="O377" s="41">
        <f>IF($A377="","",SUMIFS('입금 Payments'!$C$3:$C$1002,'입금 Payments'!$B$3:$B$1002,$A377))</f>
      </c>
      <c r="P377" s="41">
        <f>IF($C377="","",ROUND($H377*(1+IF('설정 Settings'!$C$24="YES",'설정 Settings'!$C$26,0)),2)-N($O377))</f>
      </c>
      <c r="Q377" s="42">
        <f>IF($A377="","","INV-"&amp;$A377)</f>
      </c>
      <c r="R377" s="42">
        <f>IF($H377="","",IF($H377&gt;'설정 Settings'!$C$36,"$2,000 초과: e-Transfer 나눠 받기 (F36)",""))</f>
      </c>
    </row>
    <row r="378" spans="12:18" x14ac:dyDescent="0.25">
      <c r="L378" s="41">
        <f>IF($C378="","",IF($I378="",ROUND(IFERROR($H378*VLOOKUP($F378,'설정 Settings'!$A$122:$F$130,4,0)+VLOOKUP($F378,'설정 Settings'!$A$122:$F$130,5,0),0),2),$I378))</f>
      </c>
      <c r="M378" s="41">
        <f>IF($C378="","",$H378-$L378)</f>
      </c>
      <c r="N378" s="42">
        <f>IF($C378="","",IF($I378="","추정 ESTIMATE","실제 ACTUAL"))</f>
      </c>
      <c r="O378" s="41">
        <f>IF($A378="","",SUMIFS('입금 Payments'!$C$3:$C$1002,'입금 Payments'!$B$3:$B$1002,$A378))</f>
      </c>
      <c r="P378" s="41">
        <f>IF($C378="","",ROUND($H378*(1+IF('설정 Settings'!$C$24="YES",'설정 Settings'!$C$26,0)),2)-N($O378))</f>
      </c>
      <c r="Q378" s="42">
        <f>IF($A378="","","INV-"&amp;$A378)</f>
      </c>
      <c r="R378" s="42">
        <f>IF($H378="","",IF($H378&gt;'설정 Settings'!$C$36,"$2,000 초과: e-Transfer 나눠 받기 (F36)",""))</f>
      </c>
    </row>
    <row r="379" spans="12:18" x14ac:dyDescent="0.25">
      <c r="L379" s="41">
        <f>IF($C379="","",IF($I379="",ROUND(IFERROR($H379*VLOOKUP($F379,'설정 Settings'!$A$122:$F$130,4,0)+VLOOKUP($F379,'설정 Settings'!$A$122:$F$130,5,0),0),2),$I379))</f>
      </c>
      <c r="M379" s="41">
        <f>IF($C379="","",$H379-$L379)</f>
      </c>
      <c r="N379" s="42">
        <f>IF($C379="","",IF($I379="","추정 ESTIMATE","실제 ACTUAL"))</f>
      </c>
      <c r="O379" s="41">
        <f>IF($A379="","",SUMIFS('입금 Payments'!$C$3:$C$1002,'입금 Payments'!$B$3:$B$1002,$A379))</f>
      </c>
      <c r="P379" s="41">
        <f>IF($C379="","",ROUND($H379*(1+IF('설정 Settings'!$C$24="YES",'설정 Settings'!$C$26,0)),2)-N($O379))</f>
      </c>
      <c r="Q379" s="42">
        <f>IF($A379="","","INV-"&amp;$A379)</f>
      </c>
      <c r="R379" s="42">
        <f>IF($H379="","",IF($H379&gt;'설정 Settings'!$C$36,"$2,000 초과: e-Transfer 나눠 받기 (F36)",""))</f>
      </c>
    </row>
    <row r="380" spans="12:18" x14ac:dyDescent="0.25">
      <c r="L380" s="41">
        <f>IF($C380="","",IF($I380="",ROUND(IFERROR($H380*VLOOKUP($F380,'설정 Settings'!$A$122:$F$130,4,0)+VLOOKUP($F380,'설정 Settings'!$A$122:$F$130,5,0),0),2),$I380))</f>
      </c>
      <c r="M380" s="41">
        <f>IF($C380="","",$H380-$L380)</f>
      </c>
      <c r="N380" s="42">
        <f>IF($C380="","",IF($I380="","추정 ESTIMATE","실제 ACTUAL"))</f>
      </c>
      <c r="O380" s="41">
        <f>IF($A380="","",SUMIFS('입금 Payments'!$C$3:$C$1002,'입금 Payments'!$B$3:$B$1002,$A380))</f>
      </c>
      <c r="P380" s="41">
        <f>IF($C380="","",ROUND($H380*(1+IF('설정 Settings'!$C$24="YES",'설정 Settings'!$C$26,0)),2)-N($O380))</f>
      </c>
      <c r="Q380" s="42">
        <f>IF($A380="","","INV-"&amp;$A380)</f>
      </c>
      <c r="R380" s="42">
        <f>IF($H380="","",IF($H380&gt;'설정 Settings'!$C$36,"$2,000 초과: e-Transfer 나눠 받기 (F36)",""))</f>
      </c>
    </row>
    <row r="381" spans="12:18" x14ac:dyDescent="0.25">
      <c r="L381" s="41">
        <f>IF($C381="","",IF($I381="",ROUND(IFERROR($H381*VLOOKUP($F381,'설정 Settings'!$A$122:$F$130,4,0)+VLOOKUP($F381,'설정 Settings'!$A$122:$F$130,5,0),0),2),$I381))</f>
      </c>
      <c r="M381" s="41">
        <f>IF($C381="","",$H381-$L381)</f>
      </c>
      <c r="N381" s="42">
        <f>IF($C381="","",IF($I381="","추정 ESTIMATE","실제 ACTUAL"))</f>
      </c>
      <c r="O381" s="41">
        <f>IF($A381="","",SUMIFS('입금 Payments'!$C$3:$C$1002,'입금 Payments'!$B$3:$B$1002,$A381))</f>
      </c>
      <c r="P381" s="41">
        <f>IF($C381="","",ROUND($H381*(1+IF('설정 Settings'!$C$24="YES",'설정 Settings'!$C$26,0)),2)-N($O381))</f>
      </c>
      <c r="Q381" s="42">
        <f>IF($A381="","","INV-"&amp;$A381)</f>
      </c>
      <c r="R381" s="42">
        <f>IF($H381="","",IF($H381&gt;'설정 Settings'!$C$36,"$2,000 초과: e-Transfer 나눠 받기 (F36)",""))</f>
      </c>
    </row>
    <row r="382" spans="12:18" x14ac:dyDescent="0.25">
      <c r="L382" s="41">
        <f>IF($C382="","",IF($I382="",ROUND(IFERROR($H382*VLOOKUP($F382,'설정 Settings'!$A$122:$F$130,4,0)+VLOOKUP($F382,'설정 Settings'!$A$122:$F$130,5,0),0),2),$I382))</f>
      </c>
      <c r="M382" s="41">
        <f>IF($C382="","",$H382-$L382)</f>
      </c>
      <c r="N382" s="42">
        <f>IF($C382="","",IF($I382="","추정 ESTIMATE","실제 ACTUAL"))</f>
      </c>
      <c r="O382" s="41">
        <f>IF($A382="","",SUMIFS('입금 Payments'!$C$3:$C$1002,'입금 Payments'!$B$3:$B$1002,$A382))</f>
      </c>
      <c r="P382" s="41">
        <f>IF($C382="","",ROUND($H382*(1+IF('설정 Settings'!$C$24="YES",'설정 Settings'!$C$26,0)),2)-N($O382))</f>
      </c>
      <c r="Q382" s="42">
        <f>IF($A382="","","INV-"&amp;$A382)</f>
      </c>
      <c r="R382" s="42">
        <f>IF($H382="","",IF($H382&gt;'설정 Settings'!$C$36,"$2,000 초과: e-Transfer 나눠 받기 (F36)",""))</f>
      </c>
    </row>
    <row r="383" spans="12:18" x14ac:dyDescent="0.25">
      <c r="L383" s="41">
        <f>IF($C383="","",IF($I383="",ROUND(IFERROR($H383*VLOOKUP($F383,'설정 Settings'!$A$122:$F$130,4,0)+VLOOKUP($F383,'설정 Settings'!$A$122:$F$130,5,0),0),2),$I383))</f>
      </c>
      <c r="M383" s="41">
        <f>IF($C383="","",$H383-$L383)</f>
      </c>
      <c r="N383" s="42">
        <f>IF($C383="","",IF($I383="","추정 ESTIMATE","실제 ACTUAL"))</f>
      </c>
      <c r="O383" s="41">
        <f>IF($A383="","",SUMIFS('입금 Payments'!$C$3:$C$1002,'입금 Payments'!$B$3:$B$1002,$A383))</f>
      </c>
      <c r="P383" s="41">
        <f>IF($C383="","",ROUND($H383*(1+IF('설정 Settings'!$C$24="YES",'설정 Settings'!$C$26,0)),2)-N($O383))</f>
      </c>
      <c r="Q383" s="42">
        <f>IF($A383="","","INV-"&amp;$A383)</f>
      </c>
      <c r="R383" s="42">
        <f>IF($H383="","",IF($H383&gt;'설정 Settings'!$C$36,"$2,000 초과: e-Transfer 나눠 받기 (F36)",""))</f>
      </c>
    </row>
    <row r="384" spans="12:18" x14ac:dyDescent="0.25">
      <c r="L384" s="41">
        <f>IF($C384="","",IF($I384="",ROUND(IFERROR($H384*VLOOKUP($F384,'설정 Settings'!$A$122:$F$130,4,0)+VLOOKUP($F384,'설정 Settings'!$A$122:$F$130,5,0),0),2),$I384))</f>
      </c>
      <c r="M384" s="41">
        <f>IF($C384="","",$H384-$L384)</f>
      </c>
      <c r="N384" s="42">
        <f>IF($C384="","",IF($I384="","추정 ESTIMATE","실제 ACTUAL"))</f>
      </c>
      <c r="O384" s="41">
        <f>IF($A384="","",SUMIFS('입금 Payments'!$C$3:$C$1002,'입금 Payments'!$B$3:$B$1002,$A384))</f>
      </c>
      <c r="P384" s="41">
        <f>IF($C384="","",ROUND($H384*(1+IF('설정 Settings'!$C$24="YES",'설정 Settings'!$C$26,0)),2)-N($O384))</f>
      </c>
      <c r="Q384" s="42">
        <f>IF($A384="","","INV-"&amp;$A384)</f>
      </c>
      <c r="R384" s="42">
        <f>IF($H384="","",IF($H384&gt;'설정 Settings'!$C$36,"$2,000 초과: e-Transfer 나눠 받기 (F36)",""))</f>
      </c>
    </row>
    <row r="385" spans="12:18" x14ac:dyDescent="0.25">
      <c r="L385" s="41">
        <f>IF($C385="","",IF($I385="",ROUND(IFERROR($H385*VLOOKUP($F385,'설정 Settings'!$A$122:$F$130,4,0)+VLOOKUP($F385,'설정 Settings'!$A$122:$F$130,5,0),0),2),$I385))</f>
      </c>
      <c r="M385" s="41">
        <f>IF($C385="","",$H385-$L385)</f>
      </c>
      <c r="N385" s="42">
        <f>IF($C385="","",IF($I385="","추정 ESTIMATE","실제 ACTUAL"))</f>
      </c>
      <c r="O385" s="41">
        <f>IF($A385="","",SUMIFS('입금 Payments'!$C$3:$C$1002,'입금 Payments'!$B$3:$B$1002,$A385))</f>
      </c>
      <c r="P385" s="41">
        <f>IF($C385="","",ROUND($H385*(1+IF('설정 Settings'!$C$24="YES",'설정 Settings'!$C$26,0)),2)-N($O385))</f>
      </c>
      <c r="Q385" s="42">
        <f>IF($A385="","","INV-"&amp;$A385)</f>
      </c>
      <c r="R385" s="42">
        <f>IF($H385="","",IF($H385&gt;'설정 Settings'!$C$36,"$2,000 초과: e-Transfer 나눠 받기 (F36)",""))</f>
      </c>
    </row>
    <row r="386" spans="12:18" x14ac:dyDescent="0.25">
      <c r="L386" s="41">
        <f>IF($C386="","",IF($I386="",ROUND(IFERROR($H386*VLOOKUP($F386,'설정 Settings'!$A$122:$F$130,4,0)+VLOOKUP($F386,'설정 Settings'!$A$122:$F$130,5,0),0),2),$I386))</f>
      </c>
      <c r="M386" s="41">
        <f>IF($C386="","",$H386-$L386)</f>
      </c>
      <c r="N386" s="42">
        <f>IF($C386="","",IF($I386="","추정 ESTIMATE","실제 ACTUAL"))</f>
      </c>
      <c r="O386" s="41">
        <f>IF($A386="","",SUMIFS('입금 Payments'!$C$3:$C$1002,'입금 Payments'!$B$3:$B$1002,$A386))</f>
      </c>
      <c r="P386" s="41">
        <f>IF($C386="","",ROUND($H386*(1+IF('설정 Settings'!$C$24="YES",'설정 Settings'!$C$26,0)),2)-N($O386))</f>
      </c>
      <c r="Q386" s="42">
        <f>IF($A386="","","INV-"&amp;$A386)</f>
      </c>
      <c r="R386" s="42">
        <f>IF($H386="","",IF($H386&gt;'설정 Settings'!$C$36,"$2,000 초과: e-Transfer 나눠 받기 (F36)",""))</f>
      </c>
    </row>
    <row r="387" spans="12:18" x14ac:dyDescent="0.25">
      <c r="L387" s="41">
        <f>IF($C387="","",IF($I387="",ROUND(IFERROR($H387*VLOOKUP($F387,'설정 Settings'!$A$122:$F$130,4,0)+VLOOKUP($F387,'설정 Settings'!$A$122:$F$130,5,0),0),2),$I387))</f>
      </c>
      <c r="M387" s="41">
        <f>IF($C387="","",$H387-$L387)</f>
      </c>
      <c r="N387" s="42">
        <f>IF($C387="","",IF($I387="","추정 ESTIMATE","실제 ACTUAL"))</f>
      </c>
      <c r="O387" s="41">
        <f>IF($A387="","",SUMIFS('입금 Payments'!$C$3:$C$1002,'입금 Payments'!$B$3:$B$1002,$A387))</f>
      </c>
      <c r="P387" s="41">
        <f>IF($C387="","",ROUND($H387*(1+IF('설정 Settings'!$C$24="YES",'설정 Settings'!$C$26,0)),2)-N($O387))</f>
      </c>
      <c r="Q387" s="42">
        <f>IF($A387="","","INV-"&amp;$A387)</f>
      </c>
      <c r="R387" s="42">
        <f>IF($H387="","",IF($H387&gt;'설정 Settings'!$C$36,"$2,000 초과: e-Transfer 나눠 받기 (F36)",""))</f>
      </c>
    </row>
    <row r="388" spans="12:18" x14ac:dyDescent="0.25">
      <c r="L388" s="41">
        <f>IF($C388="","",IF($I388="",ROUND(IFERROR($H388*VLOOKUP($F388,'설정 Settings'!$A$122:$F$130,4,0)+VLOOKUP($F388,'설정 Settings'!$A$122:$F$130,5,0),0),2),$I388))</f>
      </c>
      <c r="M388" s="41">
        <f>IF($C388="","",$H388-$L388)</f>
      </c>
      <c r="N388" s="42">
        <f>IF($C388="","",IF($I388="","추정 ESTIMATE","실제 ACTUAL"))</f>
      </c>
      <c r="O388" s="41">
        <f>IF($A388="","",SUMIFS('입금 Payments'!$C$3:$C$1002,'입금 Payments'!$B$3:$B$1002,$A388))</f>
      </c>
      <c r="P388" s="41">
        <f>IF($C388="","",ROUND($H388*(1+IF('설정 Settings'!$C$24="YES",'설정 Settings'!$C$26,0)),2)-N($O388))</f>
      </c>
      <c r="Q388" s="42">
        <f>IF($A388="","","INV-"&amp;$A388)</f>
      </c>
      <c r="R388" s="42">
        <f>IF($H388="","",IF($H388&gt;'설정 Settings'!$C$36,"$2,000 초과: e-Transfer 나눠 받기 (F36)",""))</f>
      </c>
    </row>
    <row r="389" spans="12:18" x14ac:dyDescent="0.25">
      <c r="L389" s="41">
        <f>IF($C389="","",IF($I389="",ROUND(IFERROR($H389*VLOOKUP($F389,'설정 Settings'!$A$122:$F$130,4,0)+VLOOKUP($F389,'설정 Settings'!$A$122:$F$130,5,0),0),2),$I389))</f>
      </c>
      <c r="M389" s="41">
        <f>IF($C389="","",$H389-$L389)</f>
      </c>
      <c r="N389" s="42">
        <f>IF($C389="","",IF($I389="","추정 ESTIMATE","실제 ACTUAL"))</f>
      </c>
      <c r="O389" s="41">
        <f>IF($A389="","",SUMIFS('입금 Payments'!$C$3:$C$1002,'입금 Payments'!$B$3:$B$1002,$A389))</f>
      </c>
      <c r="P389" s="41">
        <f>IF($C389="","",ROUND($H389*(1+IF('설정 Settings'!$C$24="YES",'설정 Settings'!$C$26,0)),2)-N($O389))</f>
      </c>
      <c r="Q389" s="42">
        <f>IF($A389="","","INV-"&amp;$A389)</f>
      </c>
      <c r="R389" s="42">
        <f>IF($H389="","",IF($H389&gt;'설정 Settings'!$C$36,"$2,000 초과: e-Transfer 나눠 받기 (F36)",""))</f>
      </c>
    </row>
    <row r="390" spans="12:18" x14ac:dyDescent="0.25">
      <c r="L390" s="41">
        <f>IF($C390="","",IF($I390="",ROUND(IFERROR($H390*VLOOKUP($F390,'설정 Settings'!$A$122:$F$130,4,0)+VLOOKUP($F390,'설정 Settings'!$A$122:$F$130,5,0),0),2),$I390))</f>
      </c>
      <c r="M390" s="41">
        <f>IF($C390="","",$H390-$L390)</f>
      </c>
      <c r="N390" s="42">
        <f>IF($C390="","",IF($I390="","추정 ESTIMATE","실제 ACTUAL"))</f>
      </c>
      <c r="O390" s="41">
        <f>IF($A390="","",SUMIFS('입금 Payments'!$C$3:$C$1002,'입금 Payments'!$B$3:$B$1002,$A390))</f>
      </c>
      <c r="P390" s="41">
        <f>IF($C390="","",ROUND($H390*(1+IF('설정 Settings'!$C$24="YES",'설정 Settings'!$C$26,0)),2)-N($O390))</f>
      </c>
      <c r="Q390" s="42">
        <f>IF($A390="","","INV-"&amp;$A390)</f>
      </c>
      <c r="R390" s="42">
        <f>IF($H390="","",IF($H390&gt;'설정 Settings'!$C$36,"$2,000 초과: e-Transfer 나눠 받기 (F36)",""))</f>
      </c>
    </row>
    <row r="391" spans="12:18" x14ac:dyDescent="0.25">
      <c r="L391" s="41">
        <f>IF($C391="","",IF($I391="",ROUND(IFERROR($H391*VLOOKUP($F391,'설정 Settings'!$A$122:$F$130,4,0)+VLOOKUP($F391,'설정 Settings'!$A$122:$F$130,5,0),0),2),$I391))</f>
      </c>
      <c r="M391" s="41">
        <f>IF($C391="","",$H391-$L391)</f>
      </c>
      <c r="N391" s="42">
        <f>IF($C391="","",IF($I391="","추정 ESTIMATE","실제 ACTUAL"))</f>
      </c>
      <c r="O391" s="41">
        <f>IF($A391="","",SUMIFS('입금 Payments'!$C$3:$C$1002,'입금 Payments'!$B$3:$B$1002,$A391))</f>
      </c>
      <c r="P391" s="41">
        <f>IF($C391="","",ROUND($H391*(1+IF('설정 Settings'!$C$24="YES",'설정 Settings'!$C$26,0)),2)-N($O391))</f>
      </c>
      <c r="Q391" s="42">
        <f>IF($A391="","","INV-"&amp;$A391)</f>
      </c>
      <c r="R391" s="42">
        <f>IF($H391="","",IF($H391&gt;'설정 Settings'!$C$36,"$2,000 초과: e-Transfer 나눠 받기 (F36)",""))</f>
      </c>
    </row>
    <row r="392" spans="12:18" x14ac:dyDescent="0.25">
      <c r="L392" s="41">
        <f>IF($C392="","",IF($I392="",ROUND(IFERROR($H392*VLOOKUP($F392,'설정 Settings'!$A$122:$F$130,4,0)+VLOOKUP($F392,'설정 Settings'!$A$122:$F$130,5,0),0),2),$I392))</f>
      </c>
      <c r="M392" s="41">
        <f>IF($C392="","",$H392-$L392)</f>
      </c>
      <c r="N392" s="42">
        <f>IF($C392="","",IF($I392="","추정 ESTIMATE","실제 ACTUAL"))</f>
      </c>
      <c r="O392" s="41">
        <f>IF($A392="","",SUMIFS('입금 Payments'!$C$3:$C$1002,'입금 Payments'!$B$3:$B$1002,$A392))</f>
      </c>
      <c r="P392" s="41">
        <f>IF($C392="","",ROUND($H392*(1+IF('설정 Settings'!$C$24="YES",'설정 Settings'!$C$26,0)),2)-N($O392))</f>
      </c>
      <c r="Q392" s="42">
        <f>IF($A392="","","INV-"&amp;$A392)</f>
      </c>
      <c r="R392" s="42">
        <f>IF($H392="","",IF($H392&gt;'설정 Settings'!$C$36,"$2,000 초과: e-Transfer 나눠 받기 (F36)",""))</f>
      </c>
    </row>
    <row r="393" spans="12:18" x14ac:dyDescent="0.25">
      <c r="L393" s="41">
        <f>IF($C393="","",IF($I393="",ROUND(IFERROR($H393*VLOOKUP($F393,'설정 Settings'!$A$122:$F$130,4,0)+VLOOKUP($F393,'설정 Settings'!$A$122:$F$130,5,0),0),2),$I393))</f>
      </c>
      <c r="M393" s="41">
        <f>IF($C393="","",$H393-$L393)</f>
      </c>
      <c r="N393" s="42">
        <f>IF($C393="","",IF($I393="","추정 ESTIMATE","실제 ACTUAL"))</f>
      </c>
      <c r="O393" s="41">
        <f>IF($A393="","",SUMIFS('입금 Payments'!$C$3:$C$1002,'입금 Payments'!$B$3:$B$1002,$A393))</f>
      </c>
      <c r="P393" s="41">
        <f>IF($C393="","",ROUND($H393*(1+IF('설정 Settings'!$C$24="YES",'설정 Settings'!$C$26,0)),2)-N($O393))</f>
      </c>
      <c r="Q393" s="42">
        <f>IF($A393="","","INV-"&amp;$A393)</f>
      </c>
      <c r="R393" s="42">
        <f>IF($H393="","",IF($H393&gt;'설정 Settings'!$C$36,"$2,000 초과: e-Transfer 나눠 받기 (F36)",""))</f>
      </c>
    </row>
    <row r="394" spans="12:18" x14ac:dyDescent="0.25">
      <c r="L394" s="41">
        <f>IF($C394="","",IF($I394="",ROUND(IFERROR($H394*VLOOKUP($F394,'설정 Settings'!$A$122:$F$130,4,0)+VLOOKUP($F394,'설정 Settings'!$A$122:$F$130,5,0),0),2),$I394))</f>
      </c>
      <c r="M394" s="41">
        <f>IF($C394="","",$H394-$L394)</f>
      </c>
      <c r="N394" s="42">
        <f>IF($C394="","",IF($I394="","추정 ESTIMATE","실제 ACTUAL"))</f>
      </c>
      <c r="O394" s="41">
        <f>IF($A394="","",SUMIFS('입금 Payments'!$C$3:$C$1002,'입금 Payments'!$B$3:$B$1002,$A394))</f>
      </c>
      <c r="P394" s="41">
        <f>IF($C394="","",ROUND($H394*(1+IF('설정 Settings'!$C$24="YES",'설정 Settings'!$C$26,0)),2)-N($O394))</f>
      </c>
      <c r="Q394" s="42">
        <f>IF($A394="","","INV-"&amp;$A394)</f>
      </c>
      <c r="R394" s="42">
        <f>IF($H394="","",IF($H394&gt;'설정 Settings'!$C$36,"$2,000 초과: e-Transfer 나눠 받기 (F36)",""))</f>
      </c>
    </row>
    <row r="395" spans="12:18" x14ac:dyDescent="0.25">
      <c r="L395" s="41">
        <f>IF($C395="","",IF($I395="",ROUND(IFERROR($H395*VLOOKUP($F395,'설정 Settings'!$A$122:$F$130,4,0)+VLOOKUP($F395,'설정 Settings'!$A$122:$F$130,5,0),0),2),$I395))</f>
      </c>
      <c r="M395" s="41">
        <f>IF($C395="","",$H395-$L395)</f>
      </c>
      <c r="N395" s="42">
        <f>IF($C395="","",IF($I395="","추정 ESTIMATE","실제 ACTUAL"))</f>
      </c>
      <c r="O395" s="41">
        <f>IF($A395="","",SUMIFS('입금 Payments'!$C$3:$C$1002,'입금 Payments'!$B$3:$B$1002,$A395))</f>
      </c>
      <c r="P395" s="41">
        <f>IF($C395="","",ROUND($H395*(1+IF('설정 Settings'!$C$24="YES",'설정 Settings'!$C$26,0)),2)-N($O395))</f>
      </c>
      <c r="Q395" s="42">
        <f>IF($A395="","","INV-"&amp;$A395)</f>
      </c>
      <c r="R395" s="42">
        <f>IF($H395="","",IF($H395&gt;'설정 Settings'!$C$36,"$2,000 초과: e-Transfer 나눠 받기 (F36)",""))</f>
      </c>
    </row>
    <row r="396" spans="12:18" x14ac:dyDescent="0.25">
      <c r="L396" s="41">
        <f>IF($C396="","",IF($I396="",ROUND(IFERROR($H396*VLOOKUP($F396,'설정 Settings'!$A$122:$F$130,4,0)+VLOOKUP($F396,'설정 Settings'!$A$122:$F$130,5,0),0),2),$I396))</f>
      </c>
      <c r="M396" s="41">
        <f>IF($C396="","",$H396-$L396)</f>
      </c>
      <c r="N396" s="42">
        <f>IF($C396="","",IF($I396="","추정 ESTIMATE","실제 ACTUAL"))</f>
      </c>
      <c r="O396" s="41">
        <f>IF($A396="","",SUMIFS('입금 Payments'!$C$3:$C$1002,'입금 Payments'!$B$3:$B$1002,$A396))</f>
      </c>
      <c r="P396" s="41">
        <f>IF($C396="","",ROUND($H396*(1+IF('설정 Settings'!$C$24="YES",'설정 Settings'!$C$26,0)),2)-N($O396))</f>
      </c>
      <c r="Q396" s="42">
        <f>IF($A396="","","INV-"&amp;$A396)</f>
      </c>
      <c r="R396" s="42">
        <f>IF($H396="","",IF($H396&gt;'설정 Settings'!$C$36,"$2,000 초과: e-Transfer 나눠 받기 (F36)",""))</f>
      </c>
    </row>
    <row r="397" spans="12:18" x14ac:dyDescent="0.25">
      <c r="L397" s="41">
        <f>IF($C397="","",IF($I397="",ROUND(IFERROR($H397*VLOOKUP($F397,'설정 Settings'!$A$122:$F$130,4,0)+VLOOKUP($F397,'설정 Settings'!$A$122:$F$130,5,0),0),2),$I397))</f>
      </c>
      <c r="M397" s="41">
        <f>IF($C397="","",$H397-$L397)</f>
      </c>
      <c r="N397" s="42">
        <f>IF($C397="","",IF($I397="","추정 ESTIMATE","실제 ACTUAL"))</f>
      </c>
      <c r="O397" s="41">
        <f>IF($A397="","",SUMIFS('입금 Payments'!$C$3:$C$1002,'입금 Payments'!$B$3:$B$1002,$A397))</f>
      </c>
      <c r="P397" s="41">
        <f>IF($C397="","",ROUND($H397*(1+IF('설정 Settings'!$C$24="YES",'설정 Settings'!$C$26,0)),2)-N($O397))</f>
      </c>
      <c r="Q397" s="42">
        <f>IF($A397="","","INV-"&amp;$A397)</f>
      </c>
      <c r="R397" s="42">
        <f>IF($H397="","",IF($H397&gt;'설정 Settings'!$C$36,"$2,000 초과: e-Transfer 나눠 받기 (F36)",""))</f>
      </c>
    </row>
    <row r="398" spans="12:18" x14ac:dyDescent="0.25">
      <c r="L398" s="41">
        <f>IF($C398="","",IF($I398="",ROUND(IFERROR($H398*VLOOKUP($F398,'설정 Settings'!$A$122:$F$130,4,0)+VLOOKUP($F398,'설정 Settings'!$A$122:$F$130,5,0),0),2),$I398))</f>
      </c>
      <c r="M398" s="41">
        <f>IF($C398="","",$H398-$L398)</f>
      </c>
      <c r="N398" s="42">
        <f>IF($C398="","",IF($I398="","추정 ESTIMATE","실제 ACTUAL"))</f>
      </c>
      <c r="O398" s="41">
        <f>IF($A398="","",SUMIFS('입금 Payments'!$C$3:$C$1002,'입금 Payments'!$B$3:$B$1002,$A398))</f>
      </c>
      <c r="P398" s="41">
        <f>IF($C398="","",ROUND($H398*(1+IF('설정 Settings'!$C$24="YES",'설정 Settings'!$C$26,0)),2)-N($O398))</f>
      </c>
      <c r="Q398" s="42">
        <f>IF($A398="","","INV-"&amp;$A398)</f>
      </c>
      <c r="R398" s="42">
        <f>IF($H398="","",IF($H398&gt;'설정 Settings'!$C$36,"$2,000 초과: e-Transfer 나눠 받기 (F36)",""))</f>
      </c>
    </row>
    <row r="399" spans="12:18" x14ac:dyDescent="0.25">
      <c r="L399" s="41">
        <f>IF($C399="","",IF($I399="",ROUND(IFERROR($H399*VLOOKUP($F399,'설정 Settings'!$A$122:$F$130,4,0)+VLOOKUP($F399,'설정 Settings'!$A$122:$F$130,5,0),0),2),$I399))</f>
      </c>
      <c r="M399" s="41">
        <f>IF($C399="","",$H399-$L399)</f>
      </c>
      <c r="N399" s="42">
        <f>IF($C399="","",IF($I399="","추정 ESTIMATE","실제 ACTUAL"))</f>
      </c>
      <c r="O399" s="41">
        <f>IF($A399="","",SUMIFS('입금 Payments'!$C$3:$C$1002,'입금 Payments'!$B$3:$B$1002,$A399))</f>
      </c>
      <c r="P399" s="41">
        <f>IF($C399="","",ROUND($H399*(1+IF('설정 Settings'!$C$24="YES",'설정 Settings'!$C$26,0)),2)-N($O399))</f>
      </c>
      <c r="Q399" s="42">
        <f>IF($A399="","","INV-"&amp;$A399)</f>
      </c>
      <c r="R399" s="42">
        <f>IF($H399="","",IF($H399&gt;'설정 Settings'!$C$36,"$2,000 초과: e-Transfer 나눠 받기 (F36)",""))</f>
      </c>
    </row>
    <row r="400" spans="12:18" x14ac:dyDescent="0.25">
      <c r="L400" s="41">
        <f>IF($C400="","",IF($I400="",ROUND(IFERROR($H400*VLOOKUP($F400,'설정 Settings'!$A$122:$F$130,4,0)+VLOOKUP($F400,'설정 Settings'!$A$122:$F$130,5,0),0),2),$I400))</f>
      </c>
      <c r="M400" s="41">
        <f>IF($C400="","",$H400-$L400)</f>
      </c>
      <c r="N400" s="42">
        <f>IF($C400="","",IF($I400="","추정 ESTIMATE","실제 ACTUAL"))</f>
      </c>
      <c r="O400" s="41">
        <f>IF($A400="","",SUMIFS('입금 Payments'!$C$3:$C$1002,'입금 Payments'!$B$3:$B$1002,$A400))</f>
      </c>
      <c r="P400" s="41">
        <f>IF($C400="","",ROUND($H400*(1+IF('설정 Settings'!$C$24="YES",'설정 Settings'!$C$26,0)),2)-N($O400))</f>
      </c>
      <c r="Q400" s="42">
        <f>IF($A400="","","INV-"&amp;$A400)</f>
      </c>
      <c r="R400" s="42">
        <f>IF($H400="","",IF($H400&gt;'설정 Settings'!$C$36,"$2,000 초과: e-Transfer 나눠 받기 (F36)",""))</f>
      </c>
    </row>
    <row r="401" spans="12:18" x14ac:dyDescent="0.25">
      <c r="L401" s="41">
        <f>IF($C401="","",IF($I401="",ROUND(IFERROR($H401*VLOOKUP($F401,'설정 Settings'!$A$122:$F$130,4,0)+VLOOKUP($F401,'설정 Settings'!$A$122:$F$130,5,0),0),2),$I401))</f>
      </c>
      <c r="M401" s="41">
        <f>IF($C401="","",$H401-$L401)</f>
      </c>
      <c r="N401" s="42">
        <f>IF($C401="","",IF($I401="","추정 ESTIMATE","실제 ACTUAL"))</f>
      </c>
      <c r="O401" s="41">
        <f>IF($A401="","",SUMIFS('입금 Payments'!$C$3:$C$1002,'입금 Payments'!$B$3:$B$1002,$A401))</f>
      </c>
      <c r="P401" s="41">
        <f>IF($C401="","",ROUND($H401*(1+IF('설정 Settings'!$C$24="YES",'설정 Settings'!$C$26,0)),2)-N($O401))</f>
      </c>
      <c r="Q401" s="42">
        <f>IF($A401="","","INV-"&amp;$A401)</f>
      </c>
      <c r="R401" s="42">
        <f>IF($H401="","",IF($H401&gt;'설정 Settings'!$C$36,"$2,000 초과: e-Transfer 나눠 받기 (F36)",""))</f>
      </c>
    </row>
    <row r="402" spans="12:18" x14ac:dyDescent="0.25">
      <c r="L402" s="41">
        <f>IF($C402="","",IF($I402="",ROUND(IFERROR($H402*VLOOKUP($F402,'설정 Settings'!$A$122:$F$130,4,0)+VLOOKUP($F402,'설정 Settings'!$A$122:$F$130,5,0),0),2),$I402))</f>
      </c>
      <c r="M402" s="41">
        <f>IF($C402="","",$H402-$L402)</f>
      </c>
      <c r="N402" s="42">
        <f>IF($C402="","",IF($I402="","추정 ESTIMATE","실제 ACTUAL"))</f>
      </c>
      <c r="O402" s="41">
        <f>IF($A402="","",SUMIFS('입금 Payments'!$C$3:$C$1002,'입금 Payments'!$B$3:$B$1002,$A402))</f>
      </c>
      <c r="P402" s="41">
        <f>IF($C402="","",ROUND($H402*(1+IF('설정 Settings'!$C$24="YES",'설정 Settings'!$C$26,0)),2)-N($O402))</f>
      </c>
      <c r="Q402" s="42">
        <f>IF($A402="","","INV-"&amp;$A402)</f>
      </c>
      <c r="R402" s="42">
        <f>IF($H402="","",IF($H402&gt;'설정 Settings'!$C$36,"$2,000 초과: e-Transfer 나눠 받기 (F36)",""))</f>
      </c>
    </row>
    <row r="403" spans="12:18" x14ac:dyDescent="0.25">
      <c r="L403" s="41">
        <f>IF($C403="","",IF($I403="",ROUND(IFERROR($H403*VLOOKUP($F403,'설정 Settings'!$A$122:$F$130,4,0)+VLOOKUP($F403,'설정 Settings'!$A$122:$F$130,5,0),0),2),$I403))</f>
      </c>
      <c r="M403" s="41">
        <f>IF($C403="","",$H403-$L403)</f>
      </c>
      <c r="N403" s="42">
        <f>IF($C403="","",IF($I403="","추정 ESTIMATE","실제 ACTUAL"))</f>
      </c>
      <c r="O403" s="41">
        <f>IF($A403="","",SUMIFS('입금 Payments'!$C$3:$C$1002,'입금 Payments'!$B$3:$B$1002,$A403))</f>
      </c>
      <c r="P403" s="41">
        <f>IF($C403="","",ROUND($H403*(1+IF('설정 Settings'!$C$24="YES",'설정 Settings'!$C$26,0)),2)-N($O403))</f>
      </c>
      <c r="Q403" s="42">
        <f>IF($A403="","","INV-"&amp;$A403)</f>
      </c>
      <c r="R403" s="42">
        <f>IF($H403="","",IF($H403&gt;'설정 Settings'!$C$36,"$2,000 초과: e-Transfer 나눠 받기 (F36)",""))</f>
      </c>
    </row>
    <row r="404" spans="12:18" x14ac:dyDescent="0.25">
      <c r="L404" s="41">
        <f>IF($C404="","",IF($I404="",ROUND(IFERROR($H404*VLOOKUP($F404,'설정 Settings'!$A$122:$F$130,4,0)+VLOOKUP($F404,'설정 Settings'!$A$122:$F$130,5,0),0),2),$I404))</f>
      </c>
      <c r="M404" s="41">
        <f>IF($C404="","",$H404-$L404)</f>
      </c>
      <c r="N404" s="42">
        <f>IF($C404="","",IF($I404="","추정 ESTIMATE","실제 ACTUAL"))</f>
      </c>
      <c r="O404" s="41">
        <f>IF($A404="","",SUMIFS('입금 Payments'!$C$3:$C$1002,'입금 Payments'!$B$3:$B$1002,$A404))</f>
      </c>
      <c r="P404" s="41">
        <f>IF($C404="","",ROUND($H404*(1+IF('설정 Settings'!$C$24="YES",'설정 Settings'!$C$26,0)),2)-N($O404))</f>
      </c>
      <c r="Q404" s="42">
        <f>IF($A404="","","INV-"&amp;$A404)</f>
      </c>
      <c r="R404" s="42">
        <f>IF($H404="","",IF($H404&gt;'설정 Settings'!$C$36,"$2,000 초과: e-Transfer 나눠 받기 (F36)",""))</f>
      </c>
    </row>
    <row r="405" spans="12:18" x14ac:dyDescent="0.25">
      <c r="L405" s="41">
        <f>IF($C405="","",IF($I405="",ROUND(IFERROR($H405*VLOOKUP($F405,'설정 Settings'!$A$122:$F$130,4,0)+VLOOKUP($F405,'설정 Settings'!$A$122:$F$130,5,0),0),2),$I405))</f>
      </c>
      <c r="M405" s="41">
        <f>IF($C405="","",$H405-$L405)</f>
      </c>
      <c r="N405" s="42">
        <f>IF($C405="","",IF($I405="","추정 ESTIMATE","실제 ACTUAL"))</f>
      </c>
      <c r="O405" s="41">
        <f>IF($A405="","",SUMIFS('입금 Payments'!$C$3:$C$1002,'입금 Payments'!$B$3:$B$1002,$A405))</f>
      </c>
      <c r="P405" s="41">
        <f>IF($C405="","",ROUND($H405*(1+IF('설정 Settings'!$C$24="YES",'설정 Settings'!$C$26,0)),2)-N($O405))</f>
      </c>
      <c r="Q405" s="42">
        <f>IF($A405="","","INV-"&amp;$A405)</f>
      </c>
      <c r="R405" s="42">
        <f>IF($H405="","",IF($H405&gt;'설정 Settings'!$C$36,"$2,000 초과: e-Transfer 나눠 받기 (F36)",""))</f>
      </c>
    </row>
    <row r="406" spans="12:18" x14ac:dyDescent="0.25">
      <c r="L406" s="41">
        <f>IF($C406="","",IF($I406="",ROUND(IFERROR($H406*VLOOKUP($F406,'설정 Settings'!$A$122:$F$130,4,0)+VLOOKUP($F406,'설정 Settings'!$A$122:$F$130,5,0),0),2),$I406))</f>
      </c>
      <c r="M406" s="41">
        <f>IF($C406="","",$H406-$L406)</f>
      </c>
      <c r="N406" s="42">
        <f>IF($C406="","",IF($I406="","추정 ESTIMATE","실제 ACTUAL"))</f>
      </c>
      <c r="O406" s="41">
        <f>IF($A406="","",SUMIFS('입금 Payments'!$C$3:$C$1002,'입금 Payments'!$B$3:$B$1002,$A406))</f>
      </c>
      <c r="P406" s="41">
        <f>IF($C406="","",ROUND($H406*(1+IF('설정 Settings'!$C$24="YES",'설정 Settings'!$C$26,0)),2)-N($O406))</f>
      </c>
      <c r="Q406" s="42">
        <f>IF($A406="","","INV-"&amp;$A406)</f>
      </c>
      <c r="R406" s="42">
        <f>IF($H406="","",IF($H406&gt;'설정 Settings'!$C$36,"$2,000 초과: e-Transfer 나눠 받기 (F36)",""))</f>
      </c>
    </row>
    <row r="407" spans="12:18" x14ac:dyDescent="0.25">
      <c r="L407" s="41">
        <f>IF($C407="","",IF($I407="",ROUND(IFERROR($H407*VLOOKUP($F407,'설정 Settings'!$A$122:$F$130,4,0)+VLOOKUP($F407,'설정 Settings'!$A$122:$F$130,5,0),0),2),$I407))</f>
      </c>
      <c r="M407" s="41">
        <f>IF($C407="","",$H407-$L407)</f>
      </c>
      <c r="N407" s="42">
        <f>IF($C407="","",IF($I407="","추정 ESTIMATE","실제 ACTUAL"))</f>
      </c>
      <c r="O407" s="41">
        <f>IF($A407="","",SUMIFS('입금 Payments'!$C$3:$C$1002,'입금 Payments'!$B$3:$B$1002,$A407))</f>
      </c>
      <c r="P407" s="41">
        <f>IF($C407="","",ROUND($H407*(1+IF('설정 Settings'!$C$24="YES",'설정 Settings'!$C$26,0)),2)-N($O407))</f>
      </c>
      <c r="Q407" s="42">
        <f>IF($A407="","","INV-"&amp;$A407)</f>
      </c>
      <c r="R407" s="42">
        <f>IF($H407="","",IF($H407&gt;'설정 Settings'!$C$36,"$2,000 초과: e-Transfer 나눠 받기 (F36)",""))</f>
      </c>
    </row>
    <row r="408" spans="12:18" x14ac:dyDescent="0.25">
      <c r="L408" s="41">
        <f>IF($C408="","",IF($I408="",ROUND(IFERROR($H408*VLOOKUP($F408,'설정 Settings'!$A$122:$F$130,4,0)+VLOOKUP($F408,'설정 Settings'!$A$122:$F$130,5,0),0),2),$I408))</f>
      </c>
      <c r="M408" s="41">
        <f>IF($C408="","",$H408-$L408)</f>
      </c>
      <c r="N408" s="42">
        <f>IF($C408="","",IF($I408="","추정 ESTIMATE","실제 ACTUAL"))</f>
      </c>
      <c r="O408" s="41">
        <f>IF($A408="","",SUMIFS('입금 Payments'!$C$3:$C$1002,'입금 Payments'!$B$3:$B$1002,$A408))</f>
      </c>
      <c r="P408" s="41">
        <f>IF($C408="","",ROUND($H408*(1+IF('설정 Settings'!$C$24="YES",'설정 Settings'!$C$26,0)),2)-N($O408))</f>
      </c>
      <c r="Q408" s="42">
        <f>IF($A408="","","INV-"&amp;$A408)</f>
      </c>
      <c r="R408" s="42">
        <f>IF($H408="","",IF($H408&gt;'설정 Settings'!$C$36,"$2,000 초과: e-Transfer 나눠 받기 (F36)",""))</f>
      </c>
    </row>
    <row r="409" spans="12:18" x14ac:dyDescent="0.25">
      <c r="L409" s="41">
        <f>IF($C409="","",IF($I409="",ROUND(IFERROR($H409*VLOOKUP($F409,'설정 Settings'!$A$122:$F$130,4,0)+VLOOKUP($F409,'설정 Settings'!$A$122:$F$130,5,0),0),2),$I409))</f>
      </c>
      <c r="M409" s="41">
        <f>IF($C409="","",$H409-$L409)</f>
      </c>
      <c r="N409" s="42">
        <f>IF($C409="","",IF($I409="","추정 ESTIMATE","실제 ACTUAL"))</f>
      </c>
      <c r="O409" s="41">
        <f>IF($A409="","",SUMIFS('입금 Payments'!$C$3:$C$1002,'입금 Payments'!$B$3:$B$1002,$A409))</f>
      </c>
      <c r="P409" s="41">
        <f>IF($C409="","",ROUND($H409*(1+IF('설정 Settings'!$C$24="YES",'설정 Settings'!$C$26,0)),2)-N($O409))</f>
      </c>
      <c r="Q409" s="42">
        <f>IF($A409="","","INV-"&amp;$A409)</f>
      </c>
      <c r="R409" s="42">
        <f>IF($H409="","",IF($H409&gt;'설정 Settings'!$C$36,"$2,000 초과: e-Transfer 나눠 받기 (F36)",""))</f>
      </c>
    </row>
    <row r="410" spans="12:18" x14ac:dyDescent="0.25">
      <c r="L410" s="41">
        <f>IF($C410="","",IF($I410="",ROUND(IFERROR($H410*VLOOKUP($F410,'설정 Settings'!$A$122:$F$130,4,0)+VLOOKUP($F410,'설정 Settings'!$A$122:$F$130,5,0),0),2),$I410))</f>
      </c>
      <c r="M410" s="41">
        <f>IF($C410="","",$H410-$L410)</f>
      </c>
      <c r="N410" s="42">
        <f>IF($C410="","",IF($I410="","추정 ESTIMATE","실제 ACTUAL"))</f>
      </c>
      <c r="O410" s="41">
        <f>IF($A410="","",SUMIFS('입금 Payments'!$C$3:$C$1002,'입금 Payments'!$B$3:$B$1002,$A410))</f>
      </c>
      <c r="P410" s="41">
        <f>IF($C410="","",ROUND($H410*(1+IF('설정 Settings'!$C$24="YES",'설정 Settings'!$C$26,0)),2)-N($O410))</f>
      </c>
      <c r="Q410" s="42">
        <f>IF($A410="","","INV-"&amp;$A410)</f>
      </c>
      <c r="R410" s="42">
        <f>IF($H410="","",IF($H410&gt;'설정 Settings'!$C$36,"$2,000 초과: e-Transfer 나눠 받기 (F36)",""))</f>
      </c>
    </row>
    <row r="411" spans="12:18" x14ac:dyDescent="0.25">
      <c r="L411" s="41">
        <f>IF($C411="","",IF($I411="",ROUND(IFERROR($H411*VLOOKUP($F411,'설정 Settings'!$A$122:$F$130,4,0)+VLOOKUP($F411,'설정 Settings'!$A$122:$F$130,5,0),0),2),$I411))</f>
      </c>
      <c r="M411" s="41">
        <f>IF($C411="","",$H411-$L411)</f>
      </c>
      <c r="N411" s="42">
        <f>IF($C411="","",IF($I411="","추정 ESTIMATE","실제 ACTUAL"))</f>
      </c>
      <c r="O411" s="41">
        <f>IF($A411="","",SUMIFS('입금 Payments'!$C$3:$C$1002,'입금 Payments'!$B$3:$B$1002,$A411))</f>
      </c>
      <c r="P411" s="41">
        <f>IF($C411="","",ROUND($H411*(1+IF('설정 Settings'!$C$24="YES",'설정 Settings'!$C$26,0)),2)-N($O411))</f>
      </c>
      <c r="Q411" s="42">
        <f>IF($A411="","","INV-"&amp;$A411)</f>
      </c>
      <c r="R411" s="42">
        <f>IF($H411="","",IF($H411&gt;'설정 Settings'!$C$36,"$2,000 초과: e-Transfer 나눠 받기 (F36)",""))</f>
      </c>
    </row>
    <row r="412" spans="12:18" x14ac:dyDescent="0.25">
      <c r="L412" s="41">
        <f>IF($C412="","",IF($I412="",ROUND(IFERROR($H412*VLOOKUP($F412,'설정 Settings'!$A$122:$F$130,4,0)+VLOOKUP($F412,'설정 Settings'!$A$122:$F$130,5,0),0),2),$I412))</f>
      </c>
      <c r="M412" s="41">
        <f>IF($C412="","",$H412-$L412)</f>
      </c>
      <c r="N412" s="42">
        <f>IF($C412="","",IF($I412="","추정 ESTIMATE","실제 ACTUAL"))</f>
      </c>
      <c r="O412" s="41">
        <f>IF($A412="","",SUMIFS('입금 Payments'!$C$3:$C$1002,'입금 Payments'!$B$3:$B$1002,$A412))</f>
      </c>
      <c r="P412" s="41">
        <f>IF($C412="","",ROUND($H412*(1+IF('설정 Settings'!$C$24="YES",'설정 Settings'!$C$26,0)),2)-N($O412))</f>
      </c>
      <c r="Q412" s="42">
        <f>IF($A412="","","INV-"&amp;$A412)</f>
      </c>
      <c r="R412" s="42">
        <f>IF($H412="","",IF($H412&gt;'설정 Settings'!$C$36,"$2,000 초과: e-Transfer 나눠 받기 (F36)",""))</f>
      </c>
    </row>
    <row r="413" spans="12:18" x14ac:dyDescent="0.25">
      <c r="L413" s="41">
        <f>IF($C413="","",IF($I413="",ROUND(IFERROR($H413*VLOOKUP($F413,'설정 Settings'!$A$122:$F$130,4,0)+VLOOKUP($F413,'설정 Settings'!$A$122:$F$130,5,0),0),2),$I413))</f>
      </c>
      <c r="M413" s="41">
        <f>IF($C413="","",$H413-$L413)</f>
      </c>
      <c r="N413" s="42">
        <f>IF($C413="","",IF($I413="","추정 ESTIMATE","실제 ACTUAL"))</f>
      </c>
      <c r="O413" s="41">
        <f>IF($A413="","",SUMIFS('입금 Payments'!$C$3:$C$1002,'입금 Payments'!$B$3:$B$1002,$A413))</f>
      </c>
      <c r="P413" s="41">
        <f>IF($C413="","",ROUND($H413*(1+IF('설정 Settings'!$C$24="YES",'설정 Settings'!$C$26,0)),2)-N($O413))</f>
      </c>
      <c r="Q413" s="42">
        <f>IF($A413="","","INV-"&amp;$A413)</f>
      </c>
      <c r="R413" s="42">
        <f>IF($H413="","",IF($H413&gt;'설정 Settings'!$C$36,"$2,000 초과: e-Transfer 나눠 받기 (F36)",""))</f>
      </c>
    </row>
    <row r="414" spans="12:18" x14ac:dyDescent="0.25">
      <c r="L414" s="41">
        <f>IF($C414="","",IF($I414="",ROUND(IFERROR($H414*VLOOKUP($F414,'설정 Settings'!$A$122:$F$130,4,0)+VLOOKUP($F414,'설정 Settings'!$A$122:$F$130,5,0),0),2),$I414))</f>
      </c>
      <c r="M414" s="41">
        <f>IF($C414="","",$H414-$L414)</f>
      </c>
      <c r="N414" s="42">
        <f>IF($C414="","",IF($I414="","추정 ESTIMATE","실제 ACTUAL"))</f>
      </c>
      <c r="O414" s="41">
        <f>IF($A414="","",SUMIFS('입금 Payments'!$C$3:$C$1002,'입금 Payments'!$B$3:$B$1002,$A414))</f>
      </c>
      <c r="P414" s="41">
        <f>IF($C414="","",ROUND($H414*(1+IF('설정 Settings'!$C$24="YES",'설정 Settings'!$C$26,0)),2)-N($O414))</f>
      </c>
      <c r="Q414" s="42">
        <f>IF($A414="","","INV-"&amp;$A414)</f>
      </c>
      <c r="R414" s="42">
        <f>IF($H414="","",IF($H414&gt;'설정 Settings'!$C$36,"$2,000 초과: e-Transfer 나눠 받기 (F36)",""))</f>
      </c>
    </row>
    <row r="415" spans="12:18" x14ac:dyDescent="0.25">
      <c r="L415" s="41">
        <f>IF($C415="","",IF($I415="",ROUND(IFERROR($H415*VLOOKUP($F415,'설정 Settings'!$A$122:$F$130,4,0)+VLOOKUP($F415,'설정 Settings'!$A$122:$F$130,5,0),0),2),$I415))</f>
      </c>
      <c r="M415" s="41">
        <f>IF($C415="","",$H415-$L415)</f>
      </c>
      <c r="N415" s="42">
        <f>IF($C415="","",IF($I415="","추정 ESTIMATE","실제 ACTUAL"))</f>
      </c>
      <c r="O415" s="41">
        <f>IF($A415="","",SUMIFS('입금 Payments'!$C$3:$C$1002,'입금 Payments'!$B$3:$B$1002,$A415))</f>
      </c>
      <c r="P415" s="41">
        <f>IF($C415="","",ROUND($H415*(1+IF('설정 Settings'!$C$24="YES",'설정 Settings'!$C$26,0)),2)-N($O415))</f>
      </c>
      <c r="Q415" s="42">
        <f>IF($A415="","","INV-"&amp;$A415)</f>
      </c>
      <c r="R415" s="42">
        <f>IF($H415="","",IF($H415&gt;'설정 Settings'!$C$36,"$2,000 초과: e-Transfer 나눠 받기 (F36)",""))</f>
      </c>
    </row>
    <row r="416" spans="12:18" x14ac:dyDescent="0.25">
      <c r="L416" s="41">
        <f>IF($C416="","",IF($I416="",ROUND(IFERROR($H416*VLOOKUP($F416,'설정 Settings'!$A$122:$F$130,4,0)+VLOOKUP($F416,'설정 Settings'!$A$122:$F$130,5,0),0),2),$I416))</f>
      </c>
      <c r="M416" s="41">
        <f>IF($C416="","",$H416-$L416)</f>
      </c>
      <c r="N416" s="42">
        <f>IF($C416="","",IF($I416="","추정 ESTIMATE","실제 ACTUAL"))</f>
      </c>
      <c r="O416" s="41">
        <f>IF($A416="","",SUMIFS('입금 Payments'!$C$3:$C$1002,'입금 Payments'!$B$3:$B$1002,$A416))</f>
      </c>
      <c r="P416" s="41">
        <f>IF($C416="","",ROUND($H416*(1+IF('설정 Settings'!$C$24="YES",'설정 Settings'!$C$26,0)),2)-N($O416))</f>
      </c>
      <c r="Q416" s="42">
        <f>IF($A416="","","INV-"&amp;$A416)</f>
      </c>
      <c r="R416" s="42">
        <f>IF($H416="","",IF($H416&gt;'설정 Settings'!$C$36,"$2,000 초과: e-Transfer 나눠 받기 (F36)",""))</f>
      </c>
    </row>
    <row r="417" spans="12:18" x14ac:dyDescent="0.25">
      <c r="L417" s="41">
        <f>IF($C417="","",IF($I417="",ROUND(IFERROR($H417*VLOOKUP($F417,'설정 Settings'!$A$122:$F$130,4,0)+VLOOKUP($F417,'설정 Settings'!$A$122:$F$130,5,0),0),2),$I417))</f>
      </c>
      <c r="M417" s="41">
        <f>IF($C417="","",$H417-$L417)</f>
      </c>
      <c r="N417" s="42">
        <f>IF($C417="","",IF($I417="","추정 ESTIMATE","실제 ACTUAL"))</f>
      </c>
      <c r="O417" s="41">
        <f>IF($A417="","",SUMIFS('입금 Payments'!$C$3:$C$1002,'입금 Payments'!$B$3:$B$1002,$A417))</f>
      </c>
      <c r="P417" s="41">
        <f>IF($C417="","",ROUND($H417*(1+IF('설정 Settings'!$C$24="YES",'설정 Settings'!$C$26,0)),2)-N($O417))</f>
      </c>
      <c r="Q417" s="42">
        <f>IF($A417="","","INV-"&amp;$A417)</f>
      </c>
      <c r="R417" s="42">
        <f>IF($H417="","",IF($H417&gt;'설정 Settings'!$C$36,"$2,000 초과: e-Transfer 나눠 받기 (F36)",""))</f>
      </c>
    </row>
    <row r="418" spans="12:18" x14ac:dyDescent="0.25">
      <c r="L418" s="41">
        <f>IF($C418="","",IF($I418="",ROUND(IFERROR($H418*VLOOKUP($F418,'설정 Settings'!$A$122:$F$130,4,0)+VLOOKUP($F418,'설정 Settings'!$A$122:$F$130,5,0),0),2),$I418))</f>
      </c>
      <c r="M418" s="41">
        <f>IF($C418="","",$H418-$L418)</f>
      </c>
      <c r="N418" s="42">
        <f>IF($C418="","",IF($I418="","추정 ESTIMATE","실제 ACTUAL"))</f>
      </c>
      <c r="O418" s="41">
        <f>IF($A418="","",SUMIFS('입금 Payments'!$C$3:$C$1002,'입금 Payments'!$B$3:$B$1002,$A418))</f>
      </c>
      <c r="P418" s="41">
        <f>IF($C418="","",ROUND($H418*(1+IF('설정 Settings'!$C$24="YES",'설정 Settings'!$C$26,0)),2)-N($O418))</f>
      </c>
      <c r="Q418" s="42">
        <f>IF($A418="","","INV-"&amp;$A418)</f>
      </c>
      <c r="R418" s="42">
        <f>IF($H418="","",IF($H418&gt;'설정 Settings'!$C$36,"$2,000 초과: e-Transfer 나눠 받기 (F36)",""))</f>
      </c>
    </row>
    <row r="419" spans="12:18" x14ac:dyDescent="0.25">
      <c r="L419" s="41">
        <f>IF($C419="","",IF($I419="",ROUND(IFERROR($H419*VLOOKUP($F419,'설정 Settings'!$A$122:$F$130,4,0)+VLOOKUP($F419,'설정 Settings'!$A$122:$F$130,5,0),0),2),$I419))</f>
      </c>
      <c r="M419" s="41">
        <f>IF($C419="","",$H419-$L419)</f>
      </c>
      <c r="N419" s="42">
        <f>IF($C419="","",IF($I419="","추정 ESTIMATE","실제 ACTUAL"))</f>
      </c>
      <c r="O419" s="41">
        <f>IF($A419="","",SUMIFS('입금 Payments'!$C$3:$C$1002,'입금 Payments'!$B$3:$B$1002,$A419))</f>
      </c>
      <c r="P419" s="41">
        <f>IF($C419="","",ROUND($H419*(1+IF('설정 Settings'!$C$24="YES",'설정 Settings'!$C$26,0)),2)-N($O419))</f>
      </c>
      <c r="Q419" s="42">
        <f>IF($A419="","","INV-"&amp;$A419)</f>
      </c>
      <c r="R419" s="42">
        <f>IF($H419="","",IF($H419&gt;'설정 Settings'!$C$36,"$2,000 초과: e-Transfer 나눠 받기 (F36)",""))</f>
      </c>
    </row>
    <row r="420" spans="12:18" x14ac:dyDescent="0.25">
      <c r="L420" s="41">
        <f>IF($C420="","",IF($I420="",ROUND(IFERROR($H420*VLOOKUP($F420,'설정 Settings'!$A$122:$F$130,4,0)+VLOOKUP($F420,'설정 Settings'!$A$122:$F$130,5,0),0),2),$I420))</f>
      </c>
      <c r="M420" s="41">
        <f>IF($C420="","",$H420-$L420)</f>
      </c>
      <c r="N420" s="42">
        <f>IF($C420="","",IF($I420="","추정 ESTIMATE","실제 ACTUAL"))</f>
      </c>
      <c r="O420" s="41">
        <f>IF($A420="","",SUMIFS('입금 Payments'!$C$3:$C$1002,'입금 Payments'!$B$3:$B$1002,$A420))</f>
      </c>
      <c r="P420" s="41">
        <f>IF($C420="","",ROUND($H420*(1+IF('설정 Settings'!$C$24="YES",'설정 Settings'!$C$26,0)),2)-N($O420))</f>
      </c>
      <c r="Q420" s="42">
        <f>IF($A420="","","INV-"&amp;$A420)</f>
      </c>
      <c r="R420" s="42">
        <f>IF($H420="","",IF($H420&gt;'설정 Settings'!$C$36,"$2,000 초과: e-Transfer 나눠 받기 (F36)",""))</f>
      </c>
    </row>
    <row r="421" spans="12:18" x14ac:dyDescent="0.25">
      <c r="L421" s="41">
        <f>IF($C421="","",IF($I421="",ROUND(IFERROR($H421*VLOOKUP($F421,'설정 Settings'!$A$122:$F$130,4,0)+VLOOKUP($F421,'설정 Settings'!$A$122:$F$130,5,0),0),2),$I421))</f>
      </c>
      <c r="M421" s="41">
        <f>IF($C421="","",$H421-$L421)</f>
      </c>
      <c r="N421" s="42">
        <f>IF($C421="","",IF($I421="","추정 ESTIMATE","실제 ACTUAL"))</f>
      </c>
      <c r="O421" s="41">
        <f>IF($A421="","",SUMIFS('입금 Payments'!$C$3:$C$1002,'입금 Payments'!$B$3:$B$1002,$A421))</f>
      </c>
      <c r="P421" s="41">
        <f>IF($C421="","",ROUND($H421*(1+IF('설정 Settings'!$C$24="YES",'설정 Settings'!$C$26,0)),2)-N($O421))</f>
      </c>
      <c r="Q421" s="42">
        <f>IF($A421="","","INV-"&amp;$A421)</f>
      </c>
      <c r="R421" s="42">
        <f>IF($H421="","",IF($H421&gt;'설정 Settings'!$C$36,"$2,000 초과: e-Transfer 나눠 받기 (F36)",""))</f>
      </c>
    </row>
    <row r="422" spans="12:18" x14ac:dyDescent="0.25">
      <c r="L422" s="41">
        <f>IF($C422="","",IF($I422="",ROUND(IFERROR($H422*VLOOKUP($F422,'설정 Settings'!$A$122:$F$130,4,0)+VLOOKUP($F422,'설정 Settings'!$A$122:$F$130,5,0),0),2),$I422))</f>
      </c>
      <c r="M422" s="41">
        <f>IF($C422="","",$H422-$L422)</f>
      </c>
      <c r="N422" s="42">
        <f>IF($C422="","",IF($I422="","추정 ESTIMATE","실제 ACTUAL"))</f>
      </c>
      <c r="O422" s="41">
        <f>IF($A422="","",SUMIFS('입금 Payments'!$C$3:$C$1002,'입금 Payments'!$B$3:$B$1002,$A422))</f>
      </c>
      <c r="P422" s="41">
        <f>IF($C422="","",ROUND($H422*(1+IF('설정 Settings'!$C$24="YES",'설정 Settings'!$C$26,0)),2)-N($O422))</f>
      </c>
      <c r="Q422" s="42">
        <f>IF($A422="","","INV-"&amp;$A422)</f>
      </c>
      <c r="R422" s="42">
        <f>IF($H422="","",IF($H422&gt;'설정 Settings'!$C$36,"$2,000 초과: e-Transfer 나눠 받기 (F36)",""))</f>
      </c>
    </row>
    <row r="423" spans="12:18" x14ac:dyDescent="0.25">
      <c r="L423" s="41">
        <f>IF($C423="","",IF($I423="",ROUND(IFERROR($H423*VLOOKUP($F423,'설정 Settings'!$A$122:$F$130,4,0)+VLOOKUP($F423,'설정 Settings'!$A$122:$F$130,5,0),0),2),$I423))</f>
      </c>
      <c r="M423" s="41">
        <f>IF($C423="","",$H423-$L423)</f>
      </c>
      <c r="N423" s="42">
        <f>IF($C423="","",IF($I423="","추정 ESTIMATE","실제 ACTUAL"))</f>
      </c>
      <c r="O423" s="41">
        <f>IF($A423="","",SUMIFS('입금 Payments'!$C$3:$C$1002,'입금 Payments'!$B$3:$B$1002,$A423))</f>
      </c>
      <c r="P423" s="41">
        <f>IF($C423="","",ROUND($H423*(1+IF('설정 Settings'!$C$24="YES",'설정 Settings'!$C$26,0)),2)-N($O423))</f>
      </c>
      <c r="Q423" s="42">
        <f>IF($A423="","","INV-"&amp;$A423)</f>
      </c>
      <c r="R423" s="42">
        <f>IF($H423="","",IF($H423&gt;'설정 Settings'!$C$36,"$2,000 초과: e-Transfer 나눠 받기 (F36)",""))</f>
      </c>
    </row>
    <row r="424" spans="12:18" x14ac:dyDescent="0.25">
      <c r="L424" s="41">
        <f>IF($C424="","",IF($I424="",ROUND(IFERROR($H424*VLOOKUP($F424,'설정 Settings'!$A$122:$F$130,4,0)+VLOOKUP($F424,'설정 Settings'!$A$122:$F$130,5,0),0),2),$I424))</f>
      </c>
      <c r="M424" s="41">
        <f>IF($C424="","",$H424-$L424)</f>
      </c>
      <c r="N424" s="42">
        <f>IF($C424="","",IF($I424="","추정 ESTIMATE","실제 ACTUAL"))</f>
      </c>
      <c r="O424" s="41">
        <f>IF($A424="","",SUMIFS('입금 Payments'!$C$3:$C$1002,'입금 Payments'!$B$3:$B$1002,$A424))</f>
      </c>
      <c r="P424" s="41">
        <f>IF($C424="","",ROUND($H424*(1+IF('설정 Settings'!$C$24="YES",'설정 Settings'!$C$26,0)),2)-N($O424))</f>
      </c>
      <c r="Q424" s="42">
        <f>IF($A424="","","INV-"&amp;$A424)</f>
      </c>
      <c r="R424" s="42">
        <f>IF($H424="","",IF($H424&gt;'설정 Settings'!$C$36,"$2,000 초과: e-Transfer 나눠 받기 (F36)",""))</f>
      </c>
    </row>
    <row r="425" spans="12:18" x14ac:dyDescent="0.25">
      <c r="L425" s="41">
        <f>IF($C425="","",IF($I425="",ROUND(IFERROR($H425*VLOOKUP($F425,'설정 Settings'!$A$122:$F$130,4,0)+VLOOKUP($F425,'설정 Settings'!$A$122:$F$130,5,0),0),2),$I425))</f>
      </c>
      <c r="M425" s="41">
        <f>IF($C425="","",$H425-$L425)</f>
      </c>
      <c r="N425" s="42">
        <f>IF($C425="","",IF($I425="","추정 ESTIMATE","실제 ACTUAL"))</f>
      </c>
      <c r="O425" s="41">
        <f>IF($A425="","",SUMIFS('입금 Payments'!$C$3:$C$1002,'입금 Payments'!$B$3:$B$1002,$A425))</f>
      </c>
      <c r="P425" s="41">
        <f>IF($C425="","",ROUND($H425*(1+IF('설정 Settings'!$C$24="YES",'설정 Settings'!$C$26,0)),2)-N($O425))</f>
      </c>
      <c r="Q425" s="42">
        <f>IF($A425="","","INV-"&amp;$A425)</f>
      </c>
      <c r="R425" s="42">
        <f>IF($H425="","",IF($H425&gt;'설정 Settings'!$C$36,"$2,000 초과: e-Transfer 나눠 받기 (F36)",""))</f>
      </c>
    </row>
    <row r="426" spans="12:18" x14ac:dyDescent="0.25">
      <c r="L426" s="41">
        <f>IF($C426="","",IF($I426="",ROUND(IFERROR($H426*VLOOKUP($F426,'설정 Settings'!$A$122:$F$130,4,0)+VLOOKUP($F426,'설정 Settings'!$A$122:$F$130,5,0),0),2),$I426))</f>
      </c>
      <c r="M426" s="41">
        <f>IF($C426="","",$H426-$L426)</f>
      </c>
      <c r="N426" s="42">
        <f>IF($C426="","",IF($I426="","추정 ESTIMATE","실제 ACTUAL"))</f>
      </c>
      <c r="O426" s="41">
        <f>IF($A426="","",SUMIFS('입금 Payments'!$C$3:$C$1002,'입금 Payments'!$B$3:$B$1002,$A426))</f>
      </c>
      <c r="P426" s="41">
        <f>IF($C426="","",ROUND($H426*(1+IF('설정 Settings'!$C$24="YES",'설정 Settings'!$C$26,0)),2)-N($O426))</f>
      </c>
      <c r="Q426" s="42">
        <f>IF($A426="","","INV-"&amp;$A426)</f>
      </c>
      <c r="R426" s="42">
        <f>IF($H426="","",IF($H426&gt;'설정 Settings'!$C$36,"$2,000 초과: e-Transfer 나눠 받기 (F36)",""))</f>
      </c>
    </row>
    <row r="427" spans="12:18" x14ac:dyDescent="0.25">
      <c r="L427" s="41">
        <f>IF($C427="","",IF($I427="",ROUND(IFERROR($H427*VLOOKUP($F427,'설정 Settings'!$A$122:$F$130,4,0)+VLOOKUP($F427,'설정 Settings'!$A$122:$F$130,5,0),0),2),$I427))</f>
      </c>
      <c r="M427" s="41">
        <f>IF($C427="","",$H427-$L427)</f>
      </c>
      <c r="N427" s="42">
        <f>IF($C427="","",IF($I427="","추정 ESTIMATE","실제 ACTUAL"))</f>
      </c>
      <c r="O427" s="41">
        <f>IF($A427="","",SUMIFS('입금 Payments'!$C$3:$C$1002,'입금 Payments'!$B$3:$B$1002,$A427))</f>
      </c>
      <c r="P427" s="41">
        <f>IF($C427="","",ROUND($H427*(1+IF('설정 Settings'!$C$24="YES",'설정 Settings'!$C$26,0)),2)-N($O427))</f>
      </c>
      <c r="Q427" s="42">
        <f>IF($A427="","","INV-"&amp;$A427)</f>
      </c>
      <c r="R427" s="42">
        <f>IF($H427="","",IF($H427&gt;'설정 Settings'!$C$36,"$2,000 초과: e-Transfer 나눠 받기 (F36)",""))</f>
      </c>
    </row>
    <row r="428" spans="12:18" x14ac:dyDescent="0.25">
      <c r="L428" s="41">
        <f>IF($C428="","",IF($I428="",ROUND(IFERROR($H428*VLOOKUP($F428,'설정 Settings'!$A$122:$F$130,4,0)+VLOOKUP($F428,'설정 Settings'!$A$122:$F$130,5,0),0),2),$I428))</f>
      </c>
      <c r="M428" s="41">
        <f>IF($C428="","",$H428-$L428)</f>
      </c>
      <c r="N428" s="42">
        <f>IF($C428="","",IF($I428="","추정 ESTIMATE","실제 ACTUAL"))</f>
      </c>
      <c r="O428" s="41">
        <f>IF($A428="","",SUMIFS('입금 Payments'!$C$3:$C$1002,'입금 Payments'!$B$3:$B$1002,$A428))</f>
      </c>
      <c r="P428" s="41">
        <f>IF($C428="","",ROUND($H428*(1+IF('설정 Settings'!$C$24="YES",'설정 Settings'!$C$26,0)),2)-N($O428))</f>
      </c>
      <c r="Q428" s="42">
        <f>IF($A428="","","INV-"&amp;$A428)</f>
      </c>
      <c r="R428" s="42">
        <f>IF($H428="","",IF($H428&gt;'설정 Settings'!$C$36,"$2,000 초과: e-Transfer 나눠 받기 (F36)",""))</f>
      </c>
    </row>
    <row r="429" spans="12:18" x14ac:dyDescent="0.25">
      <c r="L429" s="41">
        <f>IF($C429="","",IF($I429="",ROUND(IFERROR($H429*VLOOKUP($F429,'설정 Settings'!$A$122:$F$130,4,0)+VLOOKUP($F429,'설정 Settings'!$A$122:$F$130,5,0),0),2),$I429))</f>
      </c>
      <c r="M429" s="41">
        <f>IF($C429="","",$H429-$L429)</f>
      </c>
      <c r="N429" s="42">
        <f>IF($C429="","",IF($I429="","추정 ESTIMATE","실제 ACTUAL"))</f>
      </c>
      <c r="O429" s="41">
        <f>IF($A429="","",SUMIFS('입금 Payments'!$C$3:$C$1002,'입금 Payments'!$B$3:$B$1002,$A429))</f>
      </c>
      <c r="P429" s="41">
        <f>IF($C429="","",ROUND($H429*(1+IF('설정 Settings'!$C$24="YES",'설정 Settings'!$C$26,0)),2)-N($O429))</f>
      </c>
      <c r="Q429" s="42">
        <f>IF($A429="","","INV-"&amp;$A429)</f>
      </c>
      <c r="R429" s="42">
        <f>IF($H429="","",IF($H429&gt;'설정 Settings'!$C$36,"$2,000 초과: e-Transfer 나눠 받기 (F36)",""))</f>
      </c>
    </row>
    <row r="430" spans="12:18" x14ac:dyDescent="0.25">
      <c r="L430" s="41">
        <f>IF($C430="","",IF($I430="",ROUND(IFERROR($H430*VLOOKUP($F430,'설정 Settings'!$A$122:$F$130,4,0)+VLOOKUP($F430,'설정 Settings'!$A$122:$F$130,5,0),0),2),$I430))</f>
      </c>
      <c r="M430" s="41">
        <f>IF($C430="","",$H430-$L430)</f>
      </c>
      <c r="N430" s="42">
        <f>IF($C430="","",IF($I430="","추정 ESTIMATE","실제 ACTUAL"))</f>
      </c>
      <c r="O430" s="41">
        <f>IF($A430="","",SUMIFS('입금 Payments'!$C$3:$C$1002,'입금 Payments'!$B$3:$B$1002,$A430))</f>
      </c>
      <c r="P430" s="41">
        <f>IF($C430="","",ROUND($H430*(1+IF('설정 Settings'!$C$24="YES",'설정 Settings'!$C$26,0)),2)-N($O430))</f>
      </c>
      <c r="Q430" s="42">
        <f>IF($A430="","","INV-"&amp;$A430)</f>
      </c>
      <c r="R430" s="42">
        <f>IF($H430="","",IF($H430&gt;'설정 Settings'!$C$36,"$2,000 초과: e-Transfer 나눠 받기 (F36)",""))</f>
      </c>
    </row>
    <row r="431" spans="12:18" x14ac:dyDescent="0.25">
      <c r="L431" s="41">
        <f>IF($C431="","",IF($I431="",ROUND(IFERROR($H431*VLOOKUP($F431,'설정 Settings'!$A$122:$F$130,4,0)+VLOOKUP($F431,'설정 Settings'!$A$122:$F$130,5,0),0),2),$I431))</f>
      </c>
      <c r="M431" s="41">
        <f>IF($C431="","",$H431-$L431)</f>
      </c>
      <c r="N431" s="42">
        <f>IF($C431="","",IF($I431="","추정 ESTIMATE","실제 ACTUAL"))</f>
      </c>
      <c r="O431" s="41">
        <f>IF($A431="","",SUMIFS('입금 Payments'!$C$3:$C$1002,'입금 Payments'!$B$3:$B$1002,$A431))</f>
      </c>
      <c r="P431" s="41">
        <f>IF($C431="","",ROUND($H431*(1+IF('설정 Settings'!$C$24="YES",'설정 Settings'!$C$26,0)),2)-N($O431))</f>
      </c>
      <c r="Q431" s="42">
        <f>IF($A431="","","INV-"&amp;$A431)</f>
      </c>
      <c r="R431" s="42">
        <f>IF($H431="","",IF($H431&gt;'설정 Settings'!$C$36,"$2,000 초과: e-Transfer 나눠 받기 (F36)",""))</f>
      </c>
    </row>
    <row r="432" spans="12:18" x14ac:dyDescent="0.25">
      <c r="L432" s="41">
        <f>IF($C432="","",IF($I432="",ROUND(IFERROR($H432*VLOOKUP($F432,'설정 Settings'!$A$122:$F$130,4,0)+VLOOKUP($F432,'설정 Settings'!$A$122:$F$130,5,0),0),2),$I432))</f>
      </c>
      <c r="M432" s="41">
        <f>IF($C432="","",$H432-$L432)</f>
      </c>
      <c r="N432" s="42">
        <f>IF($C432="","",IF($I432="","추정 ESTIMATE","실제 ACTUAL"))</f>
      </c>
      <c r="O432" s="41">
        <f>IF($A432="","",SUMIFS('입금 Payments'!$C$3:$C$1002,'입금 Payments'!$B$3:$B$1002,$A432))</f>
      </c>
      <c r="P432" s="41">
        <f>IF($C432="","",ROUND($H432*(1+IF('설정 Settings'!$C$24="YES",'설정 Settings'!$C$26,0)),2)-N($O432))</f>
      </c>
      <c r="Q432" s="42">
        <f>IF($A432="","","INV-"&amp;$A432)</f>
      </c>
      <c r="R432" s="42">
        <f>IF($H432="","",IF($H432&gt;'설정 Settings'!$C$36,"$2,000 초과: e-Transfer 나눠 받기 (F36)",""))</f>
      </c>
    </row>
    <row r="433" spans="12:18" x14ac:dyDescent="0.25">
      <c r="L433" s="41">
        <f>IF($C433="","",IF($I433="",ROUND(IFERROR($H433*VLOOKUP($F433,'설정 Settings'!$A$122:$F$130,4,0)+VLOOKUP($F433,'설정 Settings'!$A$122:$F$130,5,0),0),2),$I433))</f>
      </c>
      <c r="M433" s="41">
        <f>IF($C433="","",$H433-$L433)</f>
      </c>
      <c r="N433" s="42">
        <f>IF($C433="","",IF($I433="","추정 ESTIMATE","실제 ACTUAL"))</f>
      </c>
      <c r="O433" s="41">
        <f>IF($A433="","",SUMIFS('입금 Payments'!$C$3:$C$1002,'입금 Payments'!$B$3:$B$1002,$A433))</f>
      </c>
      <c r="P433" s="41">
        <f>IF($C433="","",ROUND($H433*(1+IF('설정 Settings'!$C$24="YES",'설정 Settings'!$C$26,0)),2)-N($O433))</f>
      </c>
      <c r="Q433" s="42">
        <f>IF($A433="","","INV-"&amp;$A433)</f>
      </c>
      <c r="R433" s="42">
        <f>IF($H433="","",IF($H433&gt;'설정 Settings'!$C$36,"$2,000 초과: e-Transfer 나눠 받기 (F36)",""))</f>
      </c>
    </row>
    <row r="434" spans="12:18" x14ac:dyDescent="0.25">
      <c r="L434" s="41">
        <f>IF($C434="","",IF($I434="",ROUND(IFERROR($H434*VLOOKUP($F434,'설정 Settings'!$A$122:$F$130,4,0)+VLOOKUP($F434,'설정 Settings'!$A$122:$F$130,5,0),0),2),$I434))</f>
      </c>
      <c r="M434" s="41">
        <f>IF($C434="","",$H434-$L434)</f>
      </c>
      <c r="N434" s="42">
        <f>IF($C434="","",IF($I434="","추정 ESTIMATE","실제 ACTUAL"))</f>
      </c>
      <c r="O434" s="41">
        <f>IF($A434="","",SUMIFS('입금 Payments'!$C$3:$C$1002,'입금 Payments'!$B$3:$B$1002,$A434))</f>
      </c>
      <c r="P434" s="41">
        <f>IF($C434="","",ROUND($H434*(1+IF('설정 Settings'!$C$24="YES",'설정 Settings'!$C$26,0)),2)-N($O434))</f>
      </c>
      <c r="Q434" s="42">
        <f>IF($A434="","","INV-"&amp;$A434)</f>
      </c>
      <c r="R434" s="42">
        <f>IF($H434="","",IF($H434&gt;'설정 Settings'!$C$36,"$2,000 초과: e-Transfer 나눠 받기 (F36)",""))</f>
      </c>
    </row>
    <row r="435" spans="12:18" x14ac:dyDescent="0.25">
      <c r="L435" s="41">
        <f>IF($C435="","",IF($I435="",ROUND(IFERROR($H435*VLOOKUP($F435,'설정 Settings'!$A$122:$F$130,4,0)+VLOOKUP($F435,'설정 Settings'!$A$122:$F$130,5,0),0),2),$I435))</f>
      </c>
      <c r="M435" s="41">
        <f>IF($C435="","",$H435-$L435)</f>
      </c>
      <c r="N435" s="42">
        <f>IF($C435="","",IF($I435="","추정 ESTIMATE","실제 ACTUAL"))</f>
      </c>
      <c r="O435" s="41">
        <f>IF($A435="","",SUMIFS('입금 Payments'!$C$3:$C$1002,'입금 Payments'!$B$3:$B$1002,$A435))</f>
      </c>
      <c r="P435" s="41">
        <f>IF($C435="","",ROUND($H435*(1+IF('설정 Settings'!$C$24="YES",'설정 Settings'!$C$26,0)),2)-N($O435))</f>
      </c>
      <c r="Q435" s="42">
        <f>IF($A435="","","INV-"&amp;$A435)</f>
      </c>
      <c r="R435" s="42">
        <f>IF($H435="","",IF($H435&gt;'설정 Settings'!$C$36,"$2,000 초과: e-Transfer 나눠 받기 (F36)",""))</f>
      </c>
    </row>
    <row r="436" spans="12:18" x14ac:dyDescent="0.25">
      <c r="L436" s="41">
        <f>IF($C436="","",IF($I436="",ROUND(IFERROR($H436*VLOOKUP($F436,'설정 Settings'!$A$122:$F$130,4,0)+VLOOKUP($F436,'설정 Settings'!$A$122:$F$130,5,0),0),2),$I436))</f>
      </c>
      <c r="M436" s="41">
        <f>IF($C436="","",$H436-$L436)</f>
      </c>
      <c r="N436" s="42">
        <f>IF($C436="","",IF($I436="","추정 ESTIMATE","실제 ACTUAL"))</f>
      </c>
      <c r="O436" s="41">
        <f>IF($A436="","",SUMIFS('입금 Payments'!$C$3:$C$1002,'입금 Payments'!$B$3:$B$1002,$A436))</f>
      </c>
      <c r="P436" s="41">
        <f>IF($C436="","",ROUND($H436*(1+IF('설정 Settings'!$C$24="YES",'설정 Settings'!$C$26,0)),2)-N($O436))</f>
      </c>
      <c r="Q436" s="42">
        <f>IF($A436="","","INV-"&amp;$A436)</f>
      </c>
      <c r="R436" s="42">
        <f>IF($H436="","",IF($H436&gt;'설정 Settings'!$C$36,"$2,000 초과: e-Transfer 나눠 받기 (F36)",""))</f>
      </c>
    </row>
    <row r="437" spans="12:18" x14ac:dyDescent="0.25">
      <c r="L437" s="41">
        <f>IF($C437="","",IF($I437="",ROUND(IFERROR($H437*VLOOKUP($F437,'설정 Settings'!$A$122:$F$130,4,0)+VLOOKUP($F437,'설정 Settings'!$A$122:$F$130,5,0),0),2),$I437))</f>
      </c>
      <c r="M437" s="41">
        <f>IF($C437="","",$H437-$L437)</f>
      </c>
      <c r="N437" s="42">
        <f>IF($C437="","",IF($I437="","추정 ESTIMATE","실제 ACTUAL"))</f>
      </c>
      <c r="O437" s="41">
        <f>IF($A437="","",SUMIFS('입금 Payments'!$C$3:$C$1002,'입금 Payments'!$B$3:$B$1002,$A437))</f>
      </c>
      <c r="P437" s="41">
        <f>IF($C437="","",ROUND($H437*(1+IF('설정 Settings'!$C$24="YES",'설정 Settings'!$C$26,0)),2)-N($O437))</f>
      </c>
      <c r="Q437" s="42">
        <f>IF($A437="","","INV-"&amp;$A437)</f>
      </c>
      <c r="R437" s="42">
        <f>IF($H437="","",IF($H437&gt;'설정 Settings'!$C$36,"$2,000 초과: e-Transfer 나눠 받기 (F36)",""))</f>
      </c>
    </row>
    <row r="438" spans="12:18" x14ac:dyDescent="0.25">
      <c r="L438" s="41">
        <f>IF($C438="","",IF($I438="",ROUND(IFERROR($H438*VLOOKUP($F438,'설정 Settings'!$A$122:$F$130,4,0)+VLOOKUP($F438,'설정 Settings'!$A$122:$F$130,5,0),0),2),$I438))</f>
      </c>
      <c r="M438" s="41">
        <f>IF($C438="","",$H438-$L438)</f>
      </c>
      <c r="N438" s="42">
        <f>IF($C438="","",IF($I438="","추정 ESTIMATE","실제 ACTUAL"))</f>
      </c>
      <c r="O438" s="41">
        <f>IF($A438="","",SUMIFS('입금 Payments'!$C$3:$C$1002,'입금 Payments'!$B$3:$B$1002,$A438))</f>
      </c>
      <c r="P438" s="41">
        <f>IF($C438="","",ROUND($H438*(1+IF('설정 Settings'!$C$24="YES",'설정 Settings'!$C$26,0)),2)-N($O438))</f>
      </c>
      <c r="Q438" s="42">
        <f>IF($A438="","","INV-"&amp;$A438)</f>
      </c>
      <c r="R438" s="42">
        <f>IF($H438="","",IF($H438&gt;'설정 Settings'!$C$36,"$2,000 초과: e-Transfer 나눠 받기 (F36)",""))</f>
      </c>
    </row>
    <row r="439" spans="12:18" x14ac:dyDescent="0.25">
      <c r="L439" s="41">
        <f>IF($C439="","",IF($I439="",ROUND(IFERROR($H439*VLOOKUP($F439,'설정 Settings'!$A$122:$F$130,4,0)+VLOOKUP($F439,'설정 Settings'!$A$122:$F$130,5,0),0),2),$I439))</f>
      </c>
      <c r="M439" s="41">
        <f>IF($C439="","",$H439-$L439)</f>
      </c>
      <c r="N439" s="42">
        <f>IF($C439="","",IF($I439="","추정 ESTIMATE","실제 ACTUAL"))</f>
      </c>
      <c r="O439" s="41">
        <f>IF($A439="","",SUMIFS('입금 Payments'!$C$3:$C$1002,'입금 Payments'!$B$3:$B$1002,$A439))</f>
      </c>
      <c r="P439" s="41">
        <f>IF($C439="","",ROUND($H439*(1+IF('설정 Settings'!$C$24="YES",'설정 Settings'!$C$26,0)),2)-N($O439))</f>
      </c>
      <c r="Q439" s="42">
        <f>IF($A439="","","INV-"&amp;$A439)</f>
      </c>
      <c r="R439" s="42">
        <f>IF($H439="","",IF($H439&gt;'설정 Settings'!$C$36,"$2,000 초과: e-Transfer 나눠 받기 (F36)",""))</f>
      </c>
    </row>
    <row r="440" spans="12:18" x14ac:dyDescent="0.25">
      <c r="L440" s="41">
        <f>IF($C440="","",IF($I440="",ROUND(IFERROR($H440*VLOOKUP($F440,'설정 Settings'!$A$122:$F$130,4,0)+VLOOKUP($F440,'설정 Settings'!$A$122:$F$130,5,0),0),2),$I440))</f>
      </c>
      <c r="M440" s="41">
        <f>IF($C440="","",$H440-$L440)</f>
      </c>
      <c r="N440" s="42">
        <f>IF($C440="","",IF($I440="","추정 ESTIMATE","실제 ACTUAL"))</f>
      </c>
      <c r="O440" s="41">
        <f>IF($A440="","",SUMIFS('입금 Payments'!$C$3:$C$1002,'입금 Payments'!$B$3:$B$1002,$A440))</f>
      </c>
      <c r="P440" s="41">
        <f>IF($C440="","",ROUND($H440*(1+IF('설정 Settings'!$C$24="YES",'설정 Settings'!$C$26,0)),2)-N($O440))</f>
      </c>
      <c r="Q440" s="42">
        <f>IF($A440="","","INV-"&amp;$A440)</f>
      </c>
      <c r="R440" s="42">
        <f>IF($H440="","",IF($H440&gt;'설정 Settings'!$C$36,"$2,000 초과: e-Transfer 나눠 받기 (F36)",""))</f>
      </c>
    </row>
    <row r="441" spans="12:18" x14ac:dyDescent="0.25">
      <c r="L441" s="41">
        <f>IF($C441="","",IF($I441="",ROUND(IFERROR($H441*VLOOKUP($F441,'설정 Settings'!$A$122:$F$130,4,0)+VLOOKUP($F441,'설정 Settings'!$A$122:$F$130,5,0),0),2),$I441))</f>
      </c>
      <c r="M441" s="41">
        <f>IF($C441="","",$H441-$L441)</f>
      </c>
      <c r="N441" s="42">
        <f>IF($C441="","",IF($I441="","추정 ESTIMATE","실제 ACTUAL"))</f>
      </c>
      <c r="O441" s="41">
        <f>IF($A441="","",SUMIFS('입금 Payments'!$C$3:$C$1002,'입금 Payments'!$B$3:$B$1002,$A441))</f>
      </c>
      <c r="P441" s="41">
        <f>IF($C441="","",ROUND($H441*(1+IF('설정 Settings'!$C$24="YES",'설정 Settings'!$C$26,0)),2)-N($O441))</f>
      </c>
      <c r="Q441" s="42">
        <f>IF($A441="","","INV-"&amp;$A441)</f>
      </c>
      <c r="R441" s="42">
        <f>IF($H441="","",IF($H441&gt;'설정 Settings'!$C$36,"$2,000 초과: e-Transfer 나눠 받기 (F36)",""))</f>
      </c>
    </row>
    <row r="442" spans="12:18" x14ac:dyDescent="0.25">
      <c r="L442" s="41">
        <f>IF($C442="","",IF($I442="",ROUND(IFERROR($H442*VLOOKUP($F442,'설정 Settings'!$A$122:$F$130,4,0)+VLOOKUP($F442,'설정 Settings'!$A$122:$F$130,5,0),0),2),$I442))</f>
      </c>
      <c r="M442" s="41">
        <f>IF($C442="","",$H442-$L442)</f>
      </c>
      <c r="N442" s="42">
        <f>IF($C442="","",IF($I442="","추정 ESTIMATE","실제 ACTUAL"))</f>
      </c>
      <c r="O442" s="41">
        <f>IF($A442="","",SUMIFS('입금 Payments'!$C$3:$C$1002,'입금 Payments'!$B$3:$B$1002,$A442))</f>
      </c>
      <c r="P442" s="41">
        <f>IF($C442="","",ROUND($H442*(1+IF('설정 Settings'!$C$24="YES",'설정 Settings'!$C$26,0)),2)-N($O442))</f>
      </c>
      <c r="Q442" s="42">
        <f>IF($A442="","","INV-"&amp;$A442)</f>
      </c>
      <c r="R442" s="42">
        <f>IF($H442="","",IF($H442&gt;'설정 Settings'!$C$36,"$2,000 초과: e-Transfer 나눠 받기 (F36)",""))</f>
      </c>
    </row>
    <row r="443" spans="12:18" x14ac:dyDescent="0.25">
      <c r="L443" s="41">
        <f>IF($C443="","",IF($I443="",ROUND(IFERROR($H443*VLOOKUP($F443,'설정 Settings'!$A$122:$F$130,4,0)+VLOOKUP($F443,'설정 Settings'!$A$122:$F$130,5,0),0),2),$I443))</f>
      </c>
      <c r="M443" s="41">
        <f>IF($C443="","",$H443-$L443)</f>
      </c>
      <c r="N443" s="42">
        <f>IF($C443="","",IF($I443="","추정 ESTIMATE","실제 ACTUAL"))</f>
      </c>
      <c r="O443" s="41">
        <f>IF($A443="","",SUMIFS('입금 Payments'!$C$3:$C$1002,'입금 Payments'!$B$3:$B$1002,$A443))</f>
      </c>
      <c r="P443" s="41">
        <f>IF($C443="","",ROUND($H443*(1+IF('설정 Settings'!$C$24="YES",'설정 Settings'!$C$26,0)),2)-N($O443))</f>
      </c>
      <c r="Q443" s="42">
        <f>IF($A443="","","INV-"&amp;$A443)</f>
      </c>
      <c r="R443" s="42">
        <f>IF($H443="","",IF($H443&gt;'설정 Settings'!$C$36,"$2,000 초과: e-Transfer 나눠 받기 (F36)",""))</f>
      </c>
    </row>
    <row r="444" spans="12:18" x14ac:dyDescent="0.25">
      <c r="L444" s="41">
        <f>IF($C444="","",IF($I444="",ROUND(IFERROR($H444*VLOOKUP($F444,'설정 Settings'!$A$122:$F$130,4,0)+VLOOKUP($F444,'설정 Settings'!$A$122:$F$130,5,0),0),2),$I444))</f>
      </c>
      <c r="M444" s="41">
        <f>IF($C444="","",$H444-$L444)</f>
      </c>
      <c r="N444" s="42">
        <f>IF($C444="","",IF($I444="","추정 ESTIMATE","실제 ACTUAL"))</f>
      </c>
      <c r="O444" s="41">
        <f>IF($A444="","",SUMIFS('입금 Payments'!$C$3:$C$1002,'입금 Payments'!$B$3:$B$1002,$A444))</f>
      </c>
      <c r="P444" s="41">
        <f>IF($C444="","",ROUND($H444*(1+IF('설정 Settings'!$C$24="YES",'설정 Settings'!$C$26,0)),2)-N($O444))</f>
      </c>
      <c r="Q444" s="42">
        <f>IF($A444="","","INV-"&amp;$A444)</f>
      </c>
      <c r="R444" s="42">
        <f>IF($H444="","",IF($H444&gt;'설정 Settings'!$C$36,"$2,000 초과: e-Transfer 나눠 받기 (F36)",""))</f>
      </c>
    </row>
    <row r="445" spans="12:18" x14ac:dyDescent="0.25">
      <c r="L445" s="41">
        <f>IF($C445="","",IF($I445="",ROUND(IFERROR($H445*VLOOKUP($F445,'설정 Settings'!$A$122:$F$130,4,0)+VLOOKUP($F445,'설정 Settings'!$A$122:$F$130,5,0),0),2),$I445))</f>
      </c>
      <c r="M445" s="41">
        <f>IF($C445="","",$H445-$L445)</f>
      </c>
      <c r="N445" s="42">
        <f>IF($C445="","",IF($I445="","추정 ESTIMATE","실제 ACTUAL"))</f>
      </c>
      <c r="O445" s="41">
        <f>IF($A445="","",SUMIFS('입금 Payments'!$C$3:$C$1002,'입금 Payments'!$B$3:$B$1002,$A445))</f>
      </c>
      <c r="P445" s="41">
        <f>IF($C445="","",ROUND($H445*(1+IF('설정 Settings'!$C$24="YES",'설정 Settings'!$C$26,0)),2)-N($O445))</f>
      </c>
      <c r="Q445" s="42">
        <f>IF($A445="","","INV-"&amp;$A445)</f>
      </c>
      <c r="R445" s="42">
        <f>IF($H445="","",IF($H445&gt;'설정 Settings'!$C$36,"$2,000 초과: e-Transfer 나눠 받기 (F36)",""))</f>
      </c>
    </row>
    <row r="446" spans="12:18" x14ac:dyDescent="0.25">
      <c r="L446" s="41">
        <f>IF($C446="","",IF($I446="",ROUND(IFERROR($H446*VLOOKUP($F446,'설정 Settings'!$A$122:$F$130,4,0)+VLOOKUP($F446,'설정 Settings'!$A$122:$F$130,5,0),0),2),$I446))</f>
      </c>
      <c r="M446" s="41">
        <f>IF($C446="","",$H446-$L446)</f>
      </c>
      <c r="N446" s="42">
        <f>IF($C446="","",IF($I446="","추정 ESTIMATE","실제 ACTUAL"))</f>
      </c>
      <c r="O446" s="41">
        <f>IF($A446="","",SUMIFS('입금 Payments'!$C$3:$C$1002,'입금 Payments'!$B$3:$B$1002,$A446))</f>
      </c>
      <c r="P446" s="41">
        <f>IF($C446="","",ROUND($H446*(1+IF('설정 Settings'!$C$24="YES",'설정 Settings'!$C$26,0)),2)-N($O446))</f>
      </c>
      <c r="Q446" s="42">
        <f>IF($A446="","","INV-"&amp;$A446)</f>
      </c>
      <c r="R446" s="42">
        <f>IF($H446="","",IF($H446&gt;'설정 Settings'!$C$36,"$2,000 초과: e-Transfer 나눠 받기 (F36)",""))</f>
      </c>
    </row>
    <row r="447" spans="12:18" x14ac:dyDescent="0.25">
      <c r="L447" s="41">
        <f>IF($C447="","",IF($I447="",ROUND(IFERROR($H447*VLOOKUP($F447,'설정 Settings'!$A$122:$F$130,4,0)+VLOOKUP($F447,'설정 Settings'!$A$122:$F$130,5,0),0),2),$I447))</f>
      </c>
      <c r="M447" s="41">
        <f>IF($C447="","",$H447-$L447)</f>
      </c>
      <c r="N447" s="42">
        <f>IF($C447="","",IF($I447="","추정 ESTIMATE","실제 ACTUAL"))</f>
      </c>
      <c r="O447" s="41">
        <f>IF($A447="","",SUMIFS('입금 Payments'!$C$3:$C$1002,'입금 Payments'!$B$3:$B$1002,$A447))</f>
      </c>
      <c r="P447" s="41">
        <f>IF($C447="","",ROUND($H447*(1+IF('설정 Settings'!$C$24="YES",'설정 Settings'!$C$26,0)),2)-N($O447))</f>
      </c>
      <c r="Q447" s="42">
        <f>IF($A447="","","INV-"&amp;$A447)</f>
      </c>
      <c r="R447" s="42">
        <f>IF($H447="","",IF($H447&gt;'설정 Settings'!$C$36,"$2,000 초과: e-Transfer 나눠 받기 (F36)",""))</f>
      </c>
    </row>
    <row r="448" spans="12:18" x14ac:dyDescent="0.25">
      <c r="L448" s="41">
        <f>IF($C448="","",IF($I448="",ROUND(IFERROR($H448*VLOOKUP($F448,'설정 Settings'!$A$122:$F$130,4,0)+VLOOKUP($F448,'설정 Settings'!$A$122:$F$130,5,0),0),2),$I448))</f>
      </c>
      <c r="M448" s="41">
        <f>IF($C448="","",$H448-$L448)</f>
      </c>
      <c r="N448" s="42">
        <f>IF($C448="","",IF($I448="","추정 ESTIMATE","실제 ACTUAL"))</f>
      </c>
      <c r="O448" s="41">
        <f>IF($A448="","",SUMIFS('입금 Payments'!$C$3:$C$1002,'입금 Payments'!$B$3:$B$1002,$A448))</f>
      </c>
      <c r="P448" s="41">
        <f>IF($C448="","",ROUND($H448*(1+IF('설정 Settings'!$C$24="YES",'설정 Settings'!$C$26,0)),2)-N($O448))</f>
      </c>
      <c r="Q448" s="42">
        <f>IF($A448="","","INV-"&amp;$A448)</f>
      </c>
      <c r="R448" s="42">
        <f>IF($H448="","",IF($H448&gt;'설정 Settings'!$C$36,"$2,000 초과: e-Transfer 나눠 받기 (F36)",""))</f>
      </c>
    </row>
    <row r="449" spans="12:18" x14ac:dyDescent="0.25">
      <c r="L449" s="41">
        <f>IF($C449="","",IF($I449="",ROUND(IFERROR($H449*VLOOKUP($F449,'설정 Settings'!$A$122:$F$130,4,0)+VLOOKUP($F449,'설정 Settings'!$A$122:$F$130,5,0),0),2),$I449))</f>
      </c>
      <c r="M449" s="41">
        <f>IF($C449="","",$H449-$L449)</f>
      </c>
      <c r="N449" s="42">
        <f>IF($C449="","",IF($I449="","추정 ESTIMATE","실제 ACTUAL"))</f>
      </c>
      <c r="O449" s="41">
        <f>IF($A449="","",SUMIFS('입금 Payments'!$C$3:$C$1002,'입금 Payments'!$B$3:$B$1002,$A449))</f>
      </c>
      <c r="P449" s="41">
        <f>IF($C449="","",ROUND($H449*(1+IF('설정 Settings'!$C$24="YES",'설정 Settings'!$C$26,0)),2)-N($O449))</f>
      </c>
      <c r="Q449" s="42">
        <f>IF($A449="","","INV-"&amp;$A449)</f>
      </c>
      <c r="R449" s="42">
        <f>IF($H449="","",IF($H449&gt;'설정 Settings'!$C$36,"$2,000 초과: e-Transfer 나눠 받기 (F36)",""))</f>
      </c>
    </row>
    <row r="450" spans="12:18" x14ac:dyDescent="0.25">
      <c r="L450" s="41">
        <f>IF($C450="","",IF($I450="",ROUND(IFERROR($H450*VLOOKUP($F450,'설정 Settings'!$A$122:$F$130,4,0)+VLOOKUP($F450,'설정 Settings'!$A$122:$F$130,5,0),0),2),$I450))</f>
      </c>
      <c r="M450" s="41">
        <f>IF($C450="","",$H450-$L450)</f>
      </c>
      <c r="N450" s="42">
        <f>IF($C450="","",IF($I450="","추정 ESTIMATE","실제 ACTUAL"))</f>
      </c>
      <c r="O450" s="41">
        <f>IF($A450="","",SUMIFS('입금 Payments'!$C$3:$C$1002,'입금 Payments'!$B$3:$B$1002,$A450))</f>
      </c>
      <c r="P450" s="41">
        <f>IF($C450="","",ROUND($H450*(1+IF('설정 Settings'!$C$24="YES",'설정 Settings'!$C$26,0)),2)-N($O450))</f>
      </c>
      <c r="Q450" s="42">
        <f>IF($A450="","","INV-"&amp;$A450)</f>
      </c>
      <c r="R450" s="42">
        <f>IF($H450="","",IF($H450&gt;'설정 Settings'!$C$36,"$2,000 초과: e-Transfer 나눠 받기 (F36)",""))</f>
      </c>
    </row>
    <row r="451" spans="12:18" x14ac:dyDescent="0.25">
      <c r="L451" s="41">
        <f>IF($C451="","",IF($I451="",ROUND(IFERROR($H451*VLOOKUP($F451,'설정 Settings'!$A$122:$F$130,4,0)+VLOOKUP($F451,'설정 Settings'!$A$122:$F$130,5,0),0),2),$I451))</f>
      </c>
      <c r="M451" s="41">
        <f>IF($C451="","",$H451-$L451)</f>
      </c>
      <c r="N451" s="42">
        <f>IF($C451="","",IF($I451="","추정 ESTIMATE","실제 ACTUAL"))</f>
      </c>
      <c r="O451" s="41">
        <f>IF($A451="","",SUMIFS('입금 Payments'!$C$3:$C$1002,'입금 Payments'!$B$3:$B$1002,$A451))</f>
      </c>
      <c r="P451" s="41">
        <f>IF($C451="","",ROUND($H451*(1+IF('설정 Settings'!$C$24="YES",'설정 Settings'!$C$26,0)),2)-N($O451))</f>
      </c>
      <c r="Q451" s="42">
        <f>IF($A451="","","INV-"&amp;$A451)</f>
      </c>
      <c r="R451" s="42">
        <f>IF($H451="","",IF($H451&gt;'설정 Settings'!$C$36,"$2,000 초과: e-Transfer 나눠 받기 (F36)",""))</f>
      </c>
    </row>
    <row r="452" spans="12:18" x14ac:dyDescent="0.25">
      <c r="L452" s="41">
        <f>IF($C452="","",IF($I452="",ROUND(IFERROR($H452*VLOOKUP($F452,'설정 Settings'!$A$122:$F$130,4,0)+VLOOKUP($F452,'설정 Settings'!$A$122:$F$130,5,0),0),2),$I452))</f>
      </c>
      <c r="M452" s="41">
        <f>IF($C452="","",$H452-$L452)</f>
      </c>
      <c r="N452" s="42">
        <f>IF($C452="","",IF($I452="","추정 ESTIMATE","실제 ACTUAL"))</f>
      </c>
      <c r="O452" s="41">
        <f>IF($A452="","",SUMIFS('입금 Payments'!$C$3:$C$1002,'입금 Payments'!$B$3:$B$1002,$A452))</f>
      </c>
      <c r="P452" s="41">
        <f>IF($C452="","",ROUND($H452*(1+IF('설정 Settings'!$C$24="YES",'설정 Settings'!$C$26,0)),2)-N($O452))</f>
      </c>
      <c r="Q452" s="42">
        <f>IF($A452="","","INV-"&amp;$A452)</f>
      </c>
      <c r="R452" s="42">
        <f>IF($H452="","",IF($H452&gt;'설정 Settings'!$C$36,"$2,000 초과: e-Transfer 나눠 받기 (F36)",""))</f>
      </c>
    </row>
    <row r="453" spans="12:18" x14ac:dyDescent="0.25">
      <c r="L453" s="41">
        <f>IF($C453="","",IF($I453="",ROUND(IFERROR($H453*VLOOKUP($F453,'설정 Settings'!$A$122:$F$130,4,0)+VLOOKUP($F453,'설정 Settings'!$A$122:$F$130,5,0),0),2),$I453))</f>
      </c>
      <c r="M453" s="41">
        <f>IF($C453="","",$H453-$L453)</f>
      </c>
      <c r="N453" s="42">
        <f>IF($C453="","",IF($I453="","추정 ESTIMATE","실제 ACTUAL"))</f>
      </c>
      <c r="O453" s="41">
        <f>IF($A453="","",SUMIFS('입금 Payments'!$C$3:$C$1002,'입금 Payments'!$B$3:$B$1002,$A453))</f>
      </c>
      <c r="P453" s="41">
        <f>IF($C453="","",ROUND($H453*(1+IF('설정 Settings'!$C$24="YES",'설정 Settings'!$C$26,0)),2)-N($O453))</f>
      </c>
      <c r="Q453" s="42">
        <f>IF($A453="","","INV-"&amp;$A453)</f>
      </c>
      <c r="R453" s="42">
        <f>IF($H453="","",IF($H453&gt;'설정 Settings'!$C$36,"$2,000 초과: e-Transfer 나눠 받기 (F36)",""))</f>
      </c>
    </row>
    <row r="454" spans="12:18" x14ac:dyDescent="0.25">
      <c r="L454" s="41">
        <f>IF($C454="","",IF($I454="",ROUND(IFERROR($H454*VLOOKUP($F454,'설정 Settings'!$A$122:$F$130,4,0)+VLOOKUP($F454,'설정 Settings'!$A$122:$F$130,5,0),0),2),$I454))</f>
      </c>
      <c r="M454" s="41">
        <f>IF($C454="","",$H454-$L454)</f>
      </c>
      <c r="N454" s="42">
        <f>IF($C454="","",IF($I454="","추정 ESTIMATE","실제 ACTUAL"))</f>
      </c>
      <c r="O454" s="41">
        <f>IF($A454="","",SUMIFS('입금 Payments'!$C$3:$C$1002,'입금 Payments'!$B$3:$B$1002,$A454))</f>
      </c>
      <c r="P454" s="41">
        <f>IF($C454="","",ROUND($H454*(1+IF('설정 Settings'!$C$24="YES",'설정 Settings'!$C$26,0)),2)-N($O454))</f>
      </c>
      <c r="Q454" s="42">
        <f>IF($A454="","","INV-"&amp;$A454)</f>
      </c>
      <c r="R454" s="42">
        <f>IF($H454="","",IF($H454&gt;'설정 Settings'!$C$36,"$2,000 초과: e-Transfer 나눠 받기 (F36)",""))</f>
      </c>
    </row>
    <row r="455" spans="12:18" x14ac:dyDescent="0.25">
      <c r="L455" s="41">
        <f>IF($C455="","",IF($I455="",ROUND(IFERROR($H455*VLOOKUP($F455,'설정 Settings'!$A$122:$F$130,4,0)+VLOOKUP($F455,'설정 Settings'!$A$122:$F$130,5,0),0),2),$I455))</f>
      </c>
      <c r="M455" s="41">
        <f>IF($C455="","",$H455-$L455)</f>
      </c>
      <c r="N455" s="42">
        <f>IF($C455="","",IF($I455="","추정 ESTIMATE","실제 ACTUAL"))</f>
      </c>
      <c r="O455" s="41">
        <f>IF($A455="","",SUMIFS('입금 Payments'!$C$3:$C$1002,'입금 Payments'!$B$3:$B$1002,$A455))</f>
      </c>
      <c r="P455" s="41">
        <f>IF($C455="","",ROUND($H455*(1+IF('설정 Settings'!$C$24="YES",'설정 Settings'!$C$26,0)),2)-N($O455))</f>
      </c>
      <c r="Q455" s="42">
        <f>IF($A455="","","INV-"&amp;$A455)</f>
      </c>
      <c r="R455" s="42">
        <f>IF($H455="","",IF($H455&gt;'설정 Settings'!$C$36,"$2,000 초과: e-Transfer 나눠 받기 (F36)",""))</f>
      </c>
    </row>
    <row r="456" spans="12:18" x14ac:dyDescent="0.25">
      <c r="L456" s="41">
        <f>IF($C456="","",IF($I456="",ROUND(IFERROR($H456*VLOOKUP($F456,'설정 Settings'!$A$122:$F$130,4,0)+VLOOKUP($F456,'설정 Settings'!$A$122:$F$130,5,0),0),2),$I456))</f>
      </c>
      <c r="M456" s="41">
        <f>IF($C456="","",$H456-$L456)</f>
      </c>
      <c r="N456" s="42">
        <f>IF($C456="","",IF($I456="","추정 ESTIMATE","실제 ACTUAL"))</f>
      </c>
      <c r="O456" s="41">
        <f>IF($A456="","",SUMIFS('입금 Payments'!$C$3:$C$1002,'입금 Payments'!$B$3:$B$1002,$A456))</f>
      </c>
      <c r="P456" s="41">
        <f>IF($C456="","",ROUND($H456*(1+IF('설정 Settings'!$C$24="YES",'설정 Settings'!$C$26,0)),2)-N($O456))</f>
      </c>
      <c r="Q456" s="42">
        <f>IF($A456="","","INV-"&amp;$A456)</f>
      </c>
      <c r="R456" s="42">
        <f>IF($H456="","",IF($H456&gt;'설정 Settings'!$C$36,"$2,000 초과: e-Transfer 나눠 받기 (F36)",""))</f>
      </c>
    </row>
    <row r="457" spans="12:18" x14ac:dyDescent="0.25">
      <c r="L457" s="41">
        <f>IF($C457="","",IF($I457="",ROUND(IFERROR($H457*VLOOKUP($F457,'설정 Settings'!$A$122:$F$130,4,0)+VLOOKUP($F457,'설정 Settings'!$A$122:$F$130,5,0),0),2),$I457))</f>
      </c>
      <c r="M457" s="41">
        <f>IF($C457="","",$H457-$L457)</f>
      </c>
      <c r="N457" s="42">
        <f>IF($C457="","",IF($I457="","추정 ESTIMATE","실제 ACTUAL"))</f>
      </c>
      <c r="O457" s="41">
        <f>IF($A457="","",SUMIFS('입금 Payments'!$C$3:$C$1002,'입금 Payments'!$B$3:$B$1002,$A457))</f>
      </c>
      <c r="P457" s="41">
        <f>IF($C457="","",ROUND($H457*(1+IF('설정 Settings'!$C$24="YES",'설정 Settings'!$C$26,0)),2)-N($O457))</f>
      </c>
      <c r="Q457" s="42">
        <f>IF($A457="","","INV-"&amp;$A457)</f>
      </c>
      <c r="R457" s="42">
        <f>IF($H457="","",IF($H457&gt;'설정 Settings'!$C$36,"$2,000 초과: e-Transfer 나눠 받기 (F36)",""))</f>
      </c>
    </row>
    <row r="458" spans="12:18" x14ac:dyDescent="0.25">
      <c r="L458" s="41">
        <f>IF($C458="","",IF($I458="",ROUND(IFERROR($H458*VLOOKUP($F458,'설정 Settings'!$A$122:$F$130,4,0)+VLOOKUP($F458,'설정 Settings'!$A$122:$F$130,5,0),0),2),$I458))</f>
      </c>
      <c r="M458" s="41">
        <f>IF($C458="","",$H458-$L458)</f>
      </c>
      <c r="N458" s="42">
        <f>IF($C458="","",IF($I458="","추정 ESTIMATE","실제 ACTUAL"))</f>
      </c>
      <c r="O458" s="41">
        <f>IF($A458="","",SUMIFS('입금 Payments'!$C$3:$C$1002,'입금 Payments'!$B$3:$B$1002,$A458))</f>
      </c>
      <c r="P458" s="41">
        <f>IF($C458="","",ROUND($H458*(1+IF('설정 Settings'!$C$24="YES",'설정 Settings'!$C$26,0)),2)-N($O458))</f>
      </c>
      <c r="Q458" s="42">
        <f>IF($A458="","","INV-"&amp;$A458)</f>
      </c>
      <c r="R458" s="42">
        <f>IF($H458="","",IF($H458&gt;'설정 Settings'!$C$36,"$2,000 초과: e-Transfer 나눠 받기 (F36)",""))</f>
      </c>
    </row>
    <row r="459" spans="12:18" x14ac:dyDescent="0.25">
      <c r="L459" s="41">
        <f>IF($C459="","",IF($I459="",ROUND(IFERROR($H459*VLOOKUP($F459,'설정 Settings'!$A$122:$F$130,4,0)+VLOOKUP($F459,'설정 Settings'!$A$122:$F$130,5,0),0),2),$I459))</f>
      </c>
      <c r="M459" s="41">
        <f>IF($C459="","",$H459-$L459)</f>
      </c>
      <c r="N459" s="42">
        <f>IF($C459="","",IF($I459="","추정 ESTIMATE","실제 ACTUAL"))</f>
      </c>
      <c r="O459" s="41">
        <f>IF($A459="","",SUMIFS('입금 Payments'!$C$3:$C$1002,'입금 Payments'!$B$3:$B$1002,$A459))</f>
      </c>
      <c r="P459" s="41">
        <f>IF($C459="","",ROUND($H459*(1+IF('설정 Settings'!$C$24="YES",'설정 Settings'!$C$26,0)),2)-N($O459))</f>
      </c>
      <c r="Q459" s="42">
        <f>IF($A459="","","INV-"&amp;$A459)</f>
      </c>
      <c r="R459" s="42">
        <f>IF($H459="","",IF($H459&gt;'설정 Settings'!$C$36,"$2,000 초과: e-Transfer 나눠 받기 (F36)",""))</f>
      </c>
    </row>
    <row r="460" spans="12:18" x14ac:dyDescent="0.25">
      <c r="L460" s="41">
        <f>IF($C460="","",IF($I460="",ROUND(IFERROR($H460*VLOOKUP($F460,'설정 Settings'!$A$122:$F$130,4,0)+VLOOKUP($F460,'설정 Settings'!$A$122:$F$130,5,0),0),2),$I460))</f>
      </c>
      <c r="M460" s="41">
        <f>IF($C460="","",$H460-$L460)</f>
      </c>
      <c r="N460" s="42">
        <f>IF($C460="","",IF($I460="","추정 ESTIMATE","실제 ACTUAL"))</f>
      </c>
      <c r="O460" s="41">
        <f>IF($A460="","",SUMIFS('입금 Payments'!$C$3:$C$1002,'입금 Payments'!$B$3:$B$1002,$A460))</f>
      </c>
      <c r="P460" s="41">
        <f>IF($C460="","",ROUND($H460*(1+IF('설정 Settings'!$C$24="YES",'설정 Settings'!$C$26,0)),2)-N($O460))</f>
      </c>
      <c r="Q460" s="42">
        <f>IF($A460="","","INV-"&amp;$A460)</f>
      </c>
      <c r="R460" s="42">
        <f>IF($H460="","",IF($H460&gt;'설정 Settings'!$C$36,"$2,000 초과: e-Transfer 나눠 받기 (F36)",""))</f>
      </c>
    </row>
    <row r="461" spans="12:18" x14ac:dyDescent="0.25">
      <c r="L461" s="41">
        <f>IF($C461="","",IF($I461="",ROUND(IFERROR($H461*VLOOKUP($F461,'설정 Settings'!$A$122:$F$130,4,0)+VLOOKUP($F461,'설정 Settings'!$A$122:$F$130,5,0),0),2),$I461))</f>
      </c>
      <c r="M461" s="41">
        <f>IF($C461="","",$H461-$L461)</f>
      </c>
      <c r="N461" s="42">
        <f>IF($C461="","",IF($I461="","추정 ESTIMATE","실제 ACTUAL"))</f>
      </c>
      <c r="O461" s="41">
        <f>IF($A461="","",SUMIFS('입금 Payments'!$C$3:$C$1002,'입금 Payments'!$B$3:$B$1002,$A461))</f>
      </c>
      <c r="P461" s="41">
        <f>IF($C461="","",ROUND($H461*(1+IF('설정 Settings'!$C$24="YES",'설정 Settings'!$C$26,0)),2)-N($O461))</f>
      </c>
      <c r="Q461" s="42">
        <f>IF($A461="","","INV-"&amp;$A461)</f>
      </c>
      <c r="R461" s="42">
        <f>IF($H461="","",IF($H461&gt;'설정 Settings'!$C$36,"$2,000 초과: e-Transfer 나눠 받기 (F36)",""))</f>
      </c>
    </row>
    <row r="462" spans="12:18" x14ac:dyDescent="0.25">
      <c r="L462" s="41">
        <f>IF($C462="","",IF($I462="",ROUND(IFERROR($H462*VLOOKUP($F462,'설정 Settings'!$A$122:$F$130,4,0)+VLOOKUP($F462,'설정 Settings'!$A$122:$F$130,5,0),0),2),$I462))</f>
      </c>
      <c r="M462" s="41">
        <f>IF($C462="","",$H462-$L462)</f>
      </c>
      <c r="N462" s="42">
        <f>IF($C462="","",IF($I462="","추정 ESTIMATE","실제 ACTUAL"))</f>
      </c>
      <c r="O462" s="41">
        <f>IF($A462="","",SUMIFS('입금 Payments'!$C$3:$C$1002,'입금 Payments'!$B$3:$B$1002,$A462))</f>
      </c>
      <c r="P462" s="41">
        <f>IF($C462="","",ROUND($H462*(1+IF('설정 Settings'!$C$24="YES",'설정 Settings'!$C$26,0)),2)-N($O462))</f>
      </c>
      <c r="Q462" s="42">
        <f>IF($A462="","","INV-"&amp;$A462)</f>
      </c>
      <c r="R462" s="42">
        <f>IF($H462="","",IF($H462&gt;'설정 Settings'!$C$36,"$2,000 초과: e-Transfer 나눠 받기 (F36)",""))</f>
      </c>
    </row>
    <row r="463" spans="12:18" x14ac:dyDescent="0.25">
      <c r="L463" s="41">
        <f>IF($C463="","",IF($I463="",ROUND(IFERROR($H463*VLOOKUP($F463,'설정 Settings'!$A$122:$F$130,4,0)+VLOOKUP($F463,'설정 Settings'!$A$122:$F$130,5,0),0),2),$I463))</f>
      </c>
      <c r="M463" s="41">
        <f>IF($C463="","",$H463-$L463)</f>
      </c>
      <c r="N463" s="42">
        <f>IF($C463="","",IF($I463="","추정 ESTIMATE","실제 ACTUAL"))</f>
      </c>
      <c r="O463" s="41">
        <f>IF($A463="","",SUMIFS('입금 Payments'!$C$3:$C$1002,'입금 Payments'!$B$3:$B$1002,$A463))</f>
      </c>
      <c r="P463" s="41">
        <f>IF($C463="","",ROUND($H463*(1+IF('설정 Settings'!$C$24="YES",'설정 Settings'!$C$26,0)),2)-N($O463))</f>
      </c>
      <c r="Q463" s="42">
        <f>IF($A463="","","INV-"&amp;$A463)</f>
      </c>
      <c r="R463" s="42">
        <f>IF($H463="","",IF($H463&gt;'설정 Settings'!$C$36,"$2,000 초과: e-Transfer 나눠 받기 (F36)",""))</f>
      </c>
    </row>
    <row r="464" spans="12:18" x14ac:dyDescent="0.25">
      <c r="L464" s="41">
        <f>IF($C464="","",IF($I464="",ROUND(IFERROR($H464*VLOOKUP($F464,'설정 Settings'!$A$122:$F$130,4,0)+VLOOKUP($F464,'설정 Settings'!$A$122:$F$130,5,0),0),2),$I464))</f>
      </c>
      <c r="M464" s="41">
        <f>IF($C464="","",$H464-$L464)</f>
      </c>
      <c r="N464" s="42">
        <f>IF($C464="","",IF($I464="","추정 ESTIMATE","실제 ACTUAL"))</f>
      </c>
      <c r="O464" s="41">
        <f>IF($A464="","",SUMIFS('입금 Payments'!$C$3:$C$1002,'입금 Payments'!$B$3:$B$1002,$A464))</f>
      </c>
      <c r="P464" s="41">
        <f>IF($C464="","",ROUND($H464*(1+IF('설정 Settings'!$C$24="YES",'설정 Settings'!$C$26,0)),2)-N($O464))</f>
      </c>
      <c r="Q464" s="42">
        <f>IF($A464="","","INV-"&amp;$A464)</f>
      </c>
      <c r="R464" s="42">
        <f>IF($H464="","",IF($H464&gt;'설정 Settings'!$C$36,"$2,000 초과: e-Transfer 나눠 받기 (F36)",""))</f>
      </c>
    </row>
    <row r="465" spans="12:18" x14ac:dyDescent="0.25">
      <c r="L465" s="41">
        <f>IF($C465="","",IF($I465="",ROUND(IFERROR($H465*VLOOKUP($F465,'설정 Settings'!$A$122:$F$130,4,0)+VLOOKUP($F465,'설정 Settings'!$A$122:$F$130,5,0),0),2),$I465))</f>
      </c>
      <c r="M465" s="41">
        <f>IF($C465="","",$H465-$L465)</f>
      </c>
      <c r="N465" s="42">
        <f>IF($C465="","",IF($I465="","추정 ESTIMATE","실제 ACTUAL"))</f>
      </c>
      <c r="O465" s="41">
        <f>IF($A465="","",SUMIFS('입금 Payments'!$C$3:$C$1002,'입금 Payments'!$B$3:$B$1002,$A465))</f>
      </c>
      <c r="P465" s="41">
        <f>IF($C465="","",ROUND($H465*(1+IF('설정 Settings'!$C$24="YES",'설정 Settings'!$C$26,0)),2)-N($O465))</f>
      </c>
      <c r="Q465" s="42">
        <f>IF($A465="","","INV-"&amp;$A465)</f>
      </c>
      <c r="R465" s="42">
        <f>IF($H465="","",IF($H465&gt;'설정 Settings'!$C$36,"$2,000 초과: e-Transfer 나눠 받기 (F36)",""))</f>
      </c>
    </row>
    <row r="466" spans="12:18" x14ac:dyDescent="0.25">
      <c r="L466" s="41">
        <f>IF($C466="","",IF($I466="",ROUND(IFERROR($H466*VLOOKUP($F466,'설정 Settings'!$A$122:$F$130,4,0)+VLOOKUP($F466,'설정 Settings'!$A$122:$F$130,5,0),0),2),$I466))</f>
      </c>
      <c r="M466" s="41">
        <f>IF($C466="","",$H466-$L466)</f>
      </c>
      <c r="N466" s="42">
        <f>IF($C466="","",IF($I466="","추정 ESTIMATE","실제 ACTUAL"))</f>
      </c>
      <c r="O466" s="41">
        <f>IF($A466="","",SUMIFS('입금 Payments'!$C$3:$C$1002,'입금 Payments'!$B$3:$B$1002,$A466))</f>
      </c>
      <c r="P466" s="41">
        <f>IF($C466="","",ROUND($H466*(1+IF('설정 Settings'!$C$24="YES",'설정 Settings'!$C$26,0)),2)-N($O466))</f>
      </c>
      <c r="Q466" s="42">
        <f>IF($A466="","","INV-"&amp;$A466)</f>
      </c>
      <c r="R466" s="42">
        <f>IF($H466="","",IF($H466&gt;'설정 Settings'!$C$36,"$2,000 초과: e-Transfer 나눠 받기 (F36)",""))</f>
      </c>
    </row>
    <row r="467" spans="12:18" x14ac:dyDescent="0.25">
      <c r="L467" s="41">
        <f>IF($C467="","",IF($I467="",ROUND(IFERROR($H467*VLOOKUP($F467,'설정 Settings'!$A$122:$F$130,4,0)+VLOOKUP($F467,'설정 Settings'!$A$122:$F$130,5,0),0),2),$I467))</f>
      </c>
      <c r="M467" s="41">
        <f>IF($C467="","",$H467-$L467)</f>
      </c>
      <c r="N467" s="42">
        <f>IF($C467="","",IF($I467="","추정 ESTIMATE","실제 ACTUAL"))</f>
      </c>
      <c r="O467" s="41">
        <f>IF($A467="","",SUMIFS('입금 Payments'!$C$3:$C$1002,'입금 Payments'!$B$3:$B$1002,$A467))</f>
      </c>
      <c r="P467" s="41">
        <f>IF($C467="","",ROUND($H467*(1+IF('설정 Settings'!$C$24="YES",'설정 Settings'!$C$26,0)),2)-N($O467))</f>
      </c>
      <c r="Q467" s="42">
        <f>IF($A467="","","INV-"&amp;$A467)</f>
      </c>
      <c r="R467" s="42">
        <f>IF($H467="","",IF($H467&gt;'설정 Settings'!$C$36,"$2,000 초과: e-Transfer 나눠 받기 (F36)",""))</f>
      </c>
    </row>
    <row r="468" spans="12:18" x14ac:dyDescent="0.25">
      <c r="L468" s="41">
        <f>IF($C468="","",IF($I468="",ROUND(IFERROR($H468*VLOOKUP($F468,'설정 Settings'!$A$122:$F$130,4,0)+VLOOKUP($F468,'설정 Settings'!$A$122:$F$130,5,0),0),2),$I468))</f>
      </c>
      <c r="M468" s="41">
        <f>IF($C468="","",$H468-$L468)</f>
      </c>
      <c r="N468" s="42">
        <f>IF($C468="","",IF($I468="","추정 ESTIMATE","실제 ACTUAL"))</f>
      </c>
      <c r="O468" s="41">
        <f>IF($A468="","",SUMIFS('입금 Payments'!$C$3:$C$1002,'입금 Payments'!$B$3:$B$1002,$A468))</f>
      </c>
      <c r="P468" s="41">
        <f>IF($C468="","",ROUND($H468*(1+IF('설정 Settings'!$C$24="YES",'설정 Settings'!$C$26,0)),2)-N($O468))</f>
      </c>
      <c r="Q468" s="42">
        <f>IF($A468="","","INV-"&amp;$A468)</f>
      </c>
      <c r="R468" s="42">
        <f>IF($H468="","",IF($H468&gt;'설정 Settings'!$C$36,"$2,000 초과: e-Transfer 나눠 받기 (F36)",""))</f>
      </c>
    </row>
    <row r="469" spans="12:18" x14ac:dyDescent="0.25">
      <c r="L469" s="41">
        <f>IF($C469="","",IF($I469="",ROUND(IFERROR($H469*VLOOKUP($F469,'설정 Settings'!$A$122:$F$130,4,0)+VLOOKUP($F469,'설정 Settings'!$A$122:$F$130,5,0),0),2),$I469))</f>
      </c>
      <c r="M469" s="41">
        <f>IF($C469="","",$H469-$L469)</f>
      </c>
      <c r="N469" s="42">
        <f>IF($C469="","",IF($I469="","추정 ESTIMATE","실제 ACTUAL"))</f>
      </c>
      <c r="O469" s="41">
        <f>IF($A469="","",SUMIFS('입금 Payments'!$C$3:$C$1002,'입금 Payments'!$B$3:$B$1002,$A469))</f>
      </c>
      <c r="P469" s="41">
        <f>IF($C469="","",ROUND($H469*(1+IF('설정 Settings'!$C$24="YES",'설정 Settings'!$C$26,0)),2)-N($O469))</f>
      </c>
      <c r="Q469" s="42">
        <f>IF($A469="","","INV-"&amp;$A469)</f>
      </c>
      <c r="R469" s="42">
        <f>IF($H469="","",IF($H469&gt;'설정 Settings'!$C$36,"$2,000 초과: e-Transfer 나눠 받기 (F36)",""))</f>
      </c>
    </row>
    <row r="470" spans="12:18" x14ac:dyDescent="0.25">
      <c r="L470" s="41">
        <f>IF($C470="","",IF($I470="",ROUND(IFERROR($H470*VLOOKUP($F470,'설정 Settings'!$A$122:$F$130,4,0)+VLOOKUP($F470,'설정 Settings'!$A$122:$F$130,5,0),0),2),$I470))</f>
      </c>
      <c r="M470" s="41">
        <f>IF($C470="","",$H470-$L470)</f>
      </c>
      <c r="N470" s="42">
        <f>IF($C470="","",IF($I470="","추정 ESTIMATE","실제 ACTUAL"))</f>
      </c>
      <c r="O470" s="41">
        <f>IF($A470="","",SUMIFS('입금 Payments'!$C$3:$C$1002,'입금 Payments'!$B$3:$B$1002,$A470))</f>
      </c>
      <c r="P470" s="41">
        <f>IF($C470="","",ROUND($H470*(1+IF('설정 Settings'!$C$24="YES",'설정 Settings'!$C$26,0)),2)-N($O470))</f>
      </c>
      <c r="Q470" s="42">
        <f>IF($A470="","","INV-"&amp;$A470)</f>
      </c>
      <c r="R470" s="42">
        <f>IF($H470="","",IF($H470&gt;'설정 Settings'!$C$36,"$2,000 초과: e-Transfer 나눠 받기 (F36)",""))</f>
      </c>
    </row>
    <row r="471" spans="12:18" x14ac:dyDescent="0.25">
      <c r="L471" s="41">
        <f>IF($C471="","",IF($I471="",ROUND(IFERROR($H471*VLOOKUP($F471,'설정 Settings'!$A$122:$F$130,4,0)+VLOOKUP($F471,'설정 Settings'!$A$122:$F$130,5,0),0),2),$I471))</f>
      </c>
      <c r="M471" s="41">
        <f>IF($C471="","",$H471-$L471)</f>
      </c>
      <c r="N471" s="42">
        <f>IF($C471="","",IF($I471="","추정 ESTIMATE","실제 ACTUAL"))</f>
      </c>
      <c r="O471" s="41">
        <f>IF($A471="","",SUMIFS('입금 Payments'!$C$3:$C$1002,'입금 Payments'!$B$3:$B$1002,$A471))</f>
      </c>
      <c r="P471" s="41">
        <f>IF($C471="","",ROUND($H471*(1+IF('설정 Settings'!$C$24="YES",'설정 Settings'!$C$26,0)),2)-N($O471))</f>
      </c>
      <c r="Q471" s="42">
        <f>IF($A471="","","INV-"&amp;$A471)</f>
      </c>
      <c r="R471" s="42">
        <f>IF($H471="","",IF($H471&gt;'설정 Settings'!$C$36,"$2,000 초과: e-Transfer 나눠 받기 (F36)",""))</f>
      </c>
    </row>
    <row r="472" spans="12:18" x14ac:dyDescent="0.25">
      <c r="L472" s="41">
        <f>IF($C472="","",IF($I472="",ROUND(IFERROR($H472*VLOOKUP($F472,'설정 Settings'!$A$122:$F$130,4,0)+VLOOKUP($F472,'설정 Settings'!$A$122:$F$130,5,0),0),2),$I472))</f>
      </c>
      <c r="M472" s="41">
        <f>IF($C472="","",$H472-$L472)</f>
      </c>
      <c r="N472" s="42">
        <f>IF($C472="","",IF($I472="","추정 ESTIMATE","실제 ACTUAL"))</f>
      </c>
      <c r="O472" s="41">
        <f>IF($A472="","",SUMIFS('입금 Payments'!$C$3:$C$1002,'입금 Payments'!$B$3:$B$1002,$A472))</f>
      </c>
      <c r="P472" s="41">
        <f>IF($C472="","",ROUND($H472*(1+IF('설정 Settings'!$C$24="YES",'설정 Settings'!$C$26,0)),2)-N($O472))</f>
      </c>
      <c r="Q472" s="42">
        <f>IF($A472="","","INV-"&amp;$A472)</f>
      </c>
      <c r="R472" s="42">
        <f>IF($H472="","",IF($H472&gt;'설정 Settings'!$C$36,"$2,000 초과: e-Transfer 나눠 받기 (F36)",""))</f>
      </c>
    </row>
    <row r="473" spans="12:18" x14ac:dyDescent="0.25">
      <c r="L473" s="41">
        <f>IF($C473="","",IF($I473="",ROUND(IFERROR($H473*VLOOKUP($F473,'설정 Settings'!$A$122:$F$130,4,0)+VLOOKUP($F473,'설정 Settings'!$A$122:$F$130,5,0),0),2),$I473))</f>
      </c>
      <c r="M473" s="41">
        <f>IF($C473="","",$H473-$L473)</f>
      </c>
      <c r="N473" s="42">
        <f>IF($C473="","",IF($I473="","추정 ESTIMATE","실제 ACTUAL"))</f>
      </c>
      <c r="O473" s="41">
        <f>IF($A473="","",SUMIFS('입금 Payments'!$C$3:$C$1002,'입금 Payments'!$B$3:$B$1002,$A473))</f>
      </c>
      <c r="P473" s="41">
        <f>IF($C473="","",ROUND($H473*(1+IF('설정 Settings'!$C$24="YES",'설정 Settings'!$C$26,0)),2)-N($O473))</f>
      </c>
      <c r="Q473" s="42">
        <f>IF($A473="","","INV-"&amp;$A473)</f>
      </c>
      <c r="R473" s="42">
        <f>IF($H473="","",IF($H473&gt;'설정 Settings'!$C$36,"$2,000 초과: e-Transfer 나눠 받기 (F36)",""))</f>
      </c>
    </row>
    <row r="474" spans="12:18" x14ac:dyDescent="0.25">
      <c r="L474" s="41">
        <f>IF($C474="","",IF($I474="",ROUND(IFERROR($H474*VLOOKUP($F474,'설정 Settings'!$A$122:$F$130,4,0)+VLOOKUP($F474,'설정 Settings'!$A$122:$F$130,5,0),0),2),$I474))</f>
      </c>
      <c r="M474" s="41">
        <f>IF($C474="","",$H474-$L474)</f>
      </c>
      <c r="N474" s="42">
        <f>IF($C474="","",IF($I474="","추정 ESTIMATE","실제 ACTUAL"))</f>
      </c>
      <c r="O474" s="41">
        <f>IF($A474="","",SUMIFS('입금 Payments'!$C$3:$C$1002,'입금 Payments'!$B$3:$B$1002,$A474))</f>
      </c>
      <c r="P474" s="41">
        <f>IF($C474="","",ROUND($H474*(1+IF('설정 Settings'!$C$24="YES",'설정 Settings'!$C$26,0)),2)-N($O474))</f>
      </c>
      <c r="Q474" s="42">
        <f>IF($A474="","","INV-"&amp;$A474)</f>
      </c>
      <c r="R474" s="42">
        <f>IF($H474="","",IF($H474&gt;'설정 Settings'!$C$36,"$2,000 초과: e-Transfer 나눠 받기 (F36)",""))</f>
      </c>
    </row>
    <row r="475" spans="12:18" x14ac:dyDescent="0.25">
      <c r="L475" s="41">
        <f>IF($C475="","",IF($I475="",ROUND(IFERROR($H475*VLOOKUP($F475,'설정 Settings'!$A$122:$F$130,4,0)+VLOOKUP($F475,'설정 Settings'!$A$122:$F$130,5,0),0),2),$I475))</f>
      </c>
      <c r="M475" s="41">
        <f>IF($C475="","",$H475-$L475)</f>
      </c>
      <c r="N475" s="42">
        <f>IF($C475="","",IF($I475="","추정 ESTIMATE","실제 ACTUAL"))</f>
      </c>
      <c r="O475" s="41">
        <f>IF($A475="","",SUMIFS('입금 Payments'!$C$3:$C$1002,'입금 Payments'!$B$3:$B$1002,$A475))</f>
      </c>
      <c r="P475" s="41">
        <f>IF($C475="","",ROUND($H475*(1+IF('설정 Settings'!$C$24="YES",'설정 Settings'!$C$26,0)),2)-N($O475))</f>
      </c>
      <c r="Q475" s="42">
        <f>IF($A475="","","INV-"&amp;$A475)</f>
      </c>
      <c r="R475" s="42">
        <f>IF($H475="","",IF($H475&gt;'설정 Settings'!$C$36,"$2,000 초과: e-Transfer 나눠 받기 (F36)",""))</f>
      </c>
    </row>
    <row r="476" spans="12:18" x14ac:dyDescent="0.25">
      <c r="L476" s="41">
        <f>IF($C476="","",IF($I476="",ROUND(IFERROR($H476*VLOOKUP($F476,'설정 Settings'!$A$122:$F$130,4,0)+VLOOKUP($F476,'설정 Settings'!$A$122:$F$130,5,0),0),2),$I476))</f>
      </c>
      <c r="M476" s="41">
        <f>IF($C476="","",$H476-$L476)</f>
      </c>
      <c r="N476" s="42">
        <f>IF($C476="","",IF($I476="","추정 ESTIMATE","실제 ACTUAL"))</f>
      </c>
      <c r="O476" s="41">
        <f>IF($A476="","",SUMIFS('입금 Payments'!$C$3:$C$1002,'입금 Payments'!$B$3:$B$1002,$A476))</f>
      </c>
      <c r="P476" s="41">
        <f>IF($C476="","",ROUND($H476*(1+IF('설정 Settings'!$C$24="YES",'설정 Settings'!$C$26,0)),2)-N($O476))</f>
      </c>
      <c r="Q476" s="42">
        <f>IF($A476="","","INV-"&amp;$A476)</f>
      </c>
      <c r="R476" s="42">
        <f>IF($H476="","",IF($H476&gt;'설정 Settings'!$C$36,"$2,000 초과: e-Transfer 나눠 받기 (F36)",""))</f>
      </c>
    </row>
    <row r="477" spans="12:18" x14ac:dyDescent="0.25">
      <c r="L477" s="41">
        <f>IF($C477="","",IF($I477="",ROUND(IFERROR($H477*VLOOKUP($F477,'설정 Settings'!$A$122:$F$130,4,0)+VLOOKUP($F477,'설정 Settings'!$A$122:$F$130,5,0),0),2),$I477))</f>
      </c>
      <c r="M477" s="41">
        <f>IF($C477="","",$H477-$L477)</f>
      </c>
      <c r="N477" s="42">
        <f>IF($C477="","",IF($I477="","추정 ESTIMATE","실제 ACTUAL"))</f>
      </c>
      <c r="O477" s="41">
        <f>IF($A477="","",SUMIFS('입금 Payments'!$C$3:$C$1002,'입금 Payments'!$B$3:$B$1002,$A477))</f>
      </c>
      <c r="P477" s="41">
        <f>IF($C477="","",ROUND($H477*(1+IF('설정 Settings'!$C$24="YES",'설정 Settings'!$C$26,0)),2)-N($O477))</f>
      </c>
      <c r="Q477" s="42">
        <f>IF($A477="","","INV-"&amp;$A477)</f>
      </c>
      <c r="R477" s="42">
        <f>IF($H477="","",IF($H477&gt;'설정 Settings'!$C$36,"$2,000 초과: e-Transfer 나눠 받기 (F36)",""))</f>
      </c>
    </row>
    <row r="478" spans="12:18" x14ac:dyDescent="0.25">
      <c r="L478" s="41">
        <f>IF($C478="","",IF($I478="",ROUND(IFERROR($H478*VLOOKUP($F478,'설정 Settings'!$A$122:$F$130,4,0)+VLOOKUP($F478,'설정 Settings'!$A$122:$F$130,5,0),0),2),$I478))</f>
      </c>
      <c r="M478" s="41">
        <f>IF($C478="","",$H478-$L478)</f>
      </c>
      <c r="N478" s="42">
        <f>IF($C478="","",IF($I478="","추정 ESTIMATE","실제 ACTUAL"))</f>
      </c>
      <c r="O478" s="41">
        <f>IF($A478="","",SUMIFS('입금 Payments'!$C$3:$C$1002,'입금 Payments'!$B$3:$B$1002,$A478))</f>
      </c>
      <c r="P478" s="41">
        <f>IF($C478="","",ROUND($H478*(1+IF('설정 Settings'!$C$24="YES",'설정 Settings'!$C$26,0)),2)-N($O478))</f>
      </c>
      <c r="Q478" s="42">
        <f>IF($A478="","","INV-"&amp;$A478)</f>
      </c>
      <c r="R478" s="42">
        <f>IF($H478="","",IF($H478&gt;'설정 Settings'!$C$36,"$2,000 초과: e-Transfer 나눠 받기 (F36)",""))</f>
      </c>
    </row>
    <row r="479" spans="12:18" x14ac:dyDescent="0.25">
      <c r="L479" s="41">
        <f>IF($C479="","",IF($I479="",ROUND(IFERROR($H479*VLOOKUP($F479,'설정 Settings'!$A$122:$F$130,4,0)+VLOOKUP($F479,'설정 Settings'!$A$122:$F$130,5,0),0),2),$I479))</f>
      </c>
      <c r="M479" s="41">
        <f>IF($C479="","",$H479-$L479)</f>
      </c>
      <c r="N479" s="42">
        <f>IF($C479="","",IF($I479="","추정 ESTIMATE","실제 ACTUAL"))</f>
      </c>
      <c r="O479" s="41">
        <f>IF($A479="","",SUMIFS('입금 Payments'!$C$3:$C$1002,'입금 Payments'!$B$3:$B$1002,$A479))</f>
      </c>
      <c r="P479" s="41">
        <f>IF($C479="","",ROUND($H479*(1+IF('설정 Settings'!$C$24="YES",'설정 Settings'!$C$26,0)),2)-N($O479))</f>
      </c>
      <c r="Q479" s="42">
        <f>IF($A479="","","INV-"&amp;$A479)</f>
      </c>
      <c r="R479" s="42">
        <f>IF($H479="","",IF($H479&gt;'설정 Settings'!$C$36,"$2,000 초과: e-Transfer 나눠 받기 (F36)",""))</f>
      </c>
    </row>
    <row r="480" spans="12:18" x14ac:dyDescent="0.25">
      <c r="L480" s="41">
        <f>IF($C480="","",IF($I480="",ROUND(IFERROR($H480*VLOOKUP($F480,'설정 Settings'!$A$122:$F$130,4,0)+VLOOKUP($F480,'설정 Settings'!$A$122:$F$130,5,0),0),2),$I480))</f>
      </c>
      <c r="M480" s="41">
        <f>IF($C480="","",$H480-$L480)</f>
      </c>
      <c r="N480" s="42">
        <f>IF($C480="","",IF($I480="","추정 ESTIMATE","실제 ACTUAL"))</f>
      </c>
      <c r="O480" s="41">
        <f>IF($A480="","",SUMIFS('입금 Payments'!$C$3:$C$1002,'입금 Payments'!$B$3:$B$1002,$A480))</f>
      </c>
      <c r="P480" s="41">
        <f>IF($C480="","",ROUND($H480*(1+IF('설정 Settings'!$C$24="YES",'설정 Settings'!$C$26,0)),2)-N($O480))</f>
      </c>
      <c r="Q480" s="42">
        <f>IF($A480="","","INV-"&amp;$A480)</f>
      </c>
      <c r="R480" s="42">
        <f>IF($H480="","",IF($H480&gt;'설정 Settings'!$C$36,"$2,000 초과: e-Transfer 나눠 받기 (F36)",""))</f>
      </c>
    </row>
    <row r="481" spans="12:18" x14ac:dyDescent="0.25">
      <c r="L481" s="41">
        <f>IF($C481="","",IF($I481="",ROUND(IFERROR($H481*VLOOKUP($F481,'설정 Settings'!$A$122:$F$130,4,0)+VLOOKUP($F481,'설정 Settings'!$A$122:$F$130,5,0),0),2),$I481))</f>
      </c>
      <c r="M481" s="41">
        <f>IF($C481="","",$H481-$L481)</f>
      </c>
      <c r="N481" s="42">
        <f>IF($C481="","",IF($I481="","추정 ESTIMATE","실제 ACTUAL"))</f>
      </c>
      <c r="O481" s="41">
        <f>IF($A481="","",SUMIFS('입금 Payments'!$C$3:$C$1002,'입금 Payments'!$B$3:$B$1002,$A481))</f>
      </c>
      <c r="P481" s="41">
        <f>IF($C481="","",ROUND($H481*(1+IF('설정 Settings'!$C$24="YES",'설정 Settings'!$C$26,0)),2)-N($O481))</f>
      </c>
      <c r="Q481" s="42">
        <f>IF($A481="","","INV-"&amp;$A481)</f>
      </c>
      <c r="R481" s="42">
        <f>IF($H481="","",IF($H481&gt;'설정 Settings'!$C$36,"$2,000 초과: e-Transfer 나눠 받기 (F36)",""))</f>
      </c>
    </row>
    <row r="482" spans="12:18" x14ac:dyDescent="0.25">
      <c r="L482" s="41">
        <f>IF($C482="","",IF($I482="",ROUND(IFERROR($H482*VLOOKUP($F482,'설정 Settings'!$A$122:$F$130,4,0)+VLOOKUP($F482,'설정 Settings'!$A$122:$F$130,5,0),0),2),$I482))</f>
      </c>
      <c r="M482" s="41">
        <f>IF($C482="","",$H482-$L482)</f>
      </c>
      <c r="N482" s="42">
        <f>IF($C482="","",IF($I482="","추정 ESTIMATE","실제 ACTUAL"))</f>
      </c>
      <c r="O482" s="41">
        <f>IF($A482="","",SUMIFS('입금 Payments'!$C$3:$C$1002,'입금 Payments'!$B$3:$B$1002,$A482))</f>
      </c>
      <c r="P482" s="41">
        <f>IF($C482="","",ROUND($H482*(1+IF('설정 Settings'!$C$24="YES",'설정 Settings'!$C$26,0)),2)-N($O482))</f>
      </c>
      <c r="Q482" s="42">
        <f>IF($A482="","","INV-"&amp;$A482)</f>
      </c>
      <c r="R482" s="42">
        <f>IF($H482="","",IF($H482&gt;'설정 Settings'!$C$36,"$2,000 초과: e-Transfer 나눠 받기 (F36)",""))</f>
      </c>
    </row>
    <row r="483" spans="12:18" x14ac:dyDescent="0.25">
      <c r="L483" s="41">
        <f>IF($C483="","",IF($I483="",ROUND(IFERROR($H483*VLOOKUP($F483,'설정 Settings'!$A$122:$F$130,4,0)+VLOOKUP($F483,'설정 Settings'!$A$122:$F$130,5,0),0),2),$I483))</f>
      </c>
      <c r="M483" s="41">
        <f>IF($C483="","",$H483-$L483)</f>
      </c>
      <c r="N483" s="42">
        <f>IF($C483="","",IF($I483="","추정 ESTIMATE","실제 ACTUAL"))</f>
      </c>
      <c r="O483" s="41">
        <f>IF($A483="","",SUMIFS('입금 Payments'!$C$3:$C$1002,'입금 Payments'!$B$3:$B$1002,$A483))</f>
      </c>
      <c r="P483" s="41">
        <f>IF($C483="","",ROUND($H483*(1+IF('설정 Settings'!$C$24="YES",'설정 Settings'!$C$26,0)),2)-N($O483))</f>
      </c>
      <c r="Q483" s="42">
        <f>IF($A483="","","INV-"&amp;$A483)</f>
      </c>
      <c r="R483" s="42">
        <f>IF($H483="","",IF($H483&gt;'설정 Settings'!$C$36,"$2,000 초과: e-Transfer 나눠 받기 (F36)",""))</f>
      </c>
    </row>
    <row r="484" spans="12:18" x14ac:dyDescent="0.25">
      <c r="L484" s="41">
        <f>IF($C484="","",IF($I484="",ROUND(IFERROR($H484*VLOOKUP($F484,'설정 Settings'!$A$122:$F$130,4,0)+VLOOKUP($F484,'설정 Settings'!$A$122:$F$130,5,0),0),2),$I484))</f>
      </c>
      <c r="M484" s="41">
        <f>IF($C484="","",$H484-$L484)</f>
      </c>
      <c r="N484" s="42">
        <f>IF($C484="","",IF($I484="","추정 ESTIMATE","실제 ACTUAL"))</f>
      </c>
      <c r="O484" s="41">
        <f>IF($A484="","",SUMIFS('입금 Payments'!$C$3:$C$1002,'입금 Payments'!$B$3:$B$1002,$A484))</f>
      </c>
      <c r="P484" s="41">
        <f>IF($C484="","",ROUND($H484*(1+IF('설정 Settings'!$C$24="YES",'설정 Settings'!$C$26,0)),2)-N($O484))</f>
      </c>
      <c r="Q484" s="42">
        <f>IF($A484="","","INV-"&amp;$A484)</f>
      </c>
      <c r="R484" s="42">
        <f>IF($H484="","",IF($H484&gt;'설정 Settings'!$C$36,"$2,000 초과: e-Transfer 나눠 받기 (F36)",""))</f>
      </c>
    </row>
    <row r="485" spans="12:18" x14ac:dyDescent="0.25">
      <c r="L485" s="41">
        <f>IF($C485="","",IF($I485="",ROUND(IFERROR($H485*VLOOKUP($F485,'설정 Settings'!$A$122:$F$130,4,0)+VLOOKUP($F485,'설정 Settings'!$A$122:$F$130,5,0),0),2),$I485))</f>
      </c>
      <c r="M485" s="41">
        <f>IF($C485="","",$H485-$L485)</f>
      </c>
      <c r="N485" s="42">
        <f>IF($C485="","",IF($I485="","추정 ESTIMATE","실제 ACTUAL"))</f>
      </c>
      <c r="O485" s="41">
        <f>IF($A485="","",SUMIFS('입금 Payments'!$C$3:$C$1002,'입금 Payments'!$B$3:$B$1002,$A485))</f>
      </c>
      <c r="P485" s="41">
        <f>IF($C485="","",ROUND($H485*(1+IF('설정 Settings'!$C$24="YES",'설정 Settings'!$C$26,0)),2)-N($O485))</f>
      </c>
      <c r="Q485" s="42">
        <f>IF($A485="","","INV-"&amp;$A485)</f>
      </c>
      <c r="R485" s="42">
        <f>IF($H485="","",IF($H485&gt;'설정 Settings'!$C$36,"$2,000 초과: e-Transfer 나눠 받기 (F36)",""))</f>
      </c>
    </row>
    <row r="486" spans="12:18" x14ac:dyDescent="0.25">
      <c r="L486" s="41">
        <f>IF($C486="","",IF($I486="",ROUND(IFERROR($H486*VLOOKUP($F486,'설정 Settings'!$A$122:$F$130,4,0)+VLOOKUP($F486,'설정 Settings'!$A$122:$F$130,5,0),0),2),$I486))</f>
      </c>
      <c r="M486" s="41">
        <f>IF($C486="","",$H486-$L486)</f>
      </c>
      <c r="N486" s="42">
        <f>IF($C486="","",IF($I486="","추정 ESTIMATE","실제 ACTUAL"))</f>
      </c>
      <c r="O486" s="41">
        <f>IF($A486="","",SUMIFS('입금 Payments'!$C$3:$C$1002,'입금 Payments'!$B$3:$B$1002,$A486))</f>
      </c>
      <c r="P486" s="41">
        <f>IF($C486="","",ROUND($H486*(1+IF('설정 Settings'!$C$24="YES",'설정 Settings'!$C$26,0)),2)-N($O486))</f>
      </c>
      <c r="Q486" s="42">
        <f>IF($A486="","","INV-"&amp;$A486)</f>
      </c>
      <c r="R486" s="42">
        <f>IF($H486="","",IF($H486&gt;'설정 Settings'!$C$36,"$2,000 초과: e-Transfer 나눠 받기 (F36)",""))</f>
      </c>
    </row>
    <row r="487" spans="12:18" x14ac:dyDescent="0.25">
      <c r="L487" s="41">
        <f>IF($C487="","",IF($I487="",ROUND(IFERROR($H487*VLOOKUP($F487,'설정 Settings'!$A$122:$F$130,4,0)+VLOOKUP($F487,'설정 Settings'!$A$122:$F$130,5,0),0),2),$I487))</f>
      </c>
      <c r="M487" s="41">
        <f>IF($C487="","",$H487-$L487)</f>
      </c>
      <c r="N487" s="42">
        <f>IF($C487="","",IF($I487="","추정 ESTIMATE","실제 ACTUAL"))</f>
      </c>
      <c r="O487" s="41">
        <f>IF($A487="","",SUMIFS('입금 Payments'!$C$3:$C$1002,'입금 Payments'!$B$3:$B$1002,$A487))</f>
      </c>
      <c r="P487" s="41">
        <f>IF($C487="","",ROUND($H487*(1+IF('설정 Settings'!$C$24="YES",'설정 Settings'!$C$26,0)),2)-N($O487))</f>
      </c>
      <c r="Q487" s="42">
        <f>IF($A487="","","INV-"&amp;$A487)</f>
      </c>
      <c r="R487" s="42">
        <f>IF($H487="","",IF($H487&gt;'설정 Settings'!$C$36,"$2,000 초과: e-Transfer 나눠 받기 (F36)",""))</f>
      </c>
    </row>
    <row r="488" spans="12:18" x14ac:dyDescent="0.25">
      <c r="L488" s="41">
        <f>IF($C488="","",IF($I488="",ROUND(IFERROR($H488*VLOOKUP($F488,'설정 Settings'!$A$122:$F$130,4,0)+VLOOKUP($F488,'설정 Settings'!$A$122:$F$130,5,0),0),2),$I488))</f>
      </c>
      <c r="M488" s="41">
        <f>IF($C488="","",$H488-$L488)</f>
      </c>
      <c r="N488" s="42">
        <f>IF($C488="","",IF($I488="","추정 ESTIMATE","실제 ACTUAL"))</f>
      </c>
      <c r="O488" s="41">
        <f>IF($A488="","",SUMIFS('입금 Payments'!$C$3:$C$1002,'입금 Payments'!$B$3:$B$1002,$A488))</f>
      </c>
      <c r="P488" s="41">
        <f>IF($C488="","",ROUND($H488*(1+IF('설정 Settings'!$C$24="YES",'설정 Settings'!$C$26,0)),2)-N($O488))</f>
      </c>
      <c r="Q488" s="42">
        <f>IF($A488="","","INV-"&amp;$A488)</f>
      </c>
      <c r="R488" s="42">
        <f>IF($H488="","",IF($H488&gt;'설정 Settings'!$C$36,"$2,000 초과: e-Transfer 나눠 받기 (F36)",""))</f>
      </c>
    </row>
    <row r="489" spans="12:18" x14ac:dyDescent="0.25">
      <c r="L489" s="41">
        <f>IF($C489="","",IF($I489="",ROUND(IFERROR($H489*VLOOKUP($F489,'설정 Settings'!$A$122:$F$130,4,0)+VLOOKUP($F489,'설정 Settings'!$A$122:$F$130,5,0),0),2),$I489))</f>
      </c>
      <c r="M489" s="41">
        <f>IF($C489="","",$H489-$L489)</f>
      </c>
      <c r="N489" s="42">
        <f>IF($C489="","",IF($I489="","추정 ESTIMATE","실제 ACTUAL"))</f>
      </c>
      <c r="O489" s="41">
        <f>IF($A489="","",SUMIFS('입금 Payments'!$C$3:$C$1002,'입금 Payments'!$B$3:$B$1002,$A489))</f>
      </c>
      <c r="P489" s="41">
        <f>IF($C489="","",ROUND($H489*(1+IF('설정 Settings'!$C$24="YES",'설정 Settings'!$C$26,0)),2)-N($O489))</f>
      </c>
      <c r="Q489" s="42">
        <f>IF($A489="","","INV-"&amp;$A489)</f>
      </c>
      <c r="R489" s="42">
        <f>IF($H489="","",IF($H489&gt;'설정 Settings'!$C$36,"$2,000 초과: e-Transfer 나눠 받기 (F36)",""))</f>
      </c>
    </row>
    <row r="490" spans="12:18" x14ac:dyDescent="0.25">
      <c r="L490" s="41">
        <f>IF($C490="","",IF($I490="",ROUND(IFERROR($H490*VLOOKUP($F490,'설정 Settings'!$A$122:$F$130,4,0)+VLOOKUP($F490,'설정 Settings'!$A$122:$F$130,5,0),0),2),$I490))</f>
      </c>
      <c r="M490" s="41">
        <f>IF($C490="","",$H490-$L490)</f>
      </c>
      <c r="N490" s="42">
        <f>IF($C490="","",IF($I490="","추정 ESTIMATE","실제 ACTUAL"))</f>
      </c>
      <c r="O490" s="41">
        <f>IF($A490="","",SUMIFS('입금 Payments'!$C$3:$C$1002,'입금 Payments'!$B$3:$B$1002,$A490))</f>
      </c>
      <c r="P490" s="41">
        <f>IF($C490="","",ROUND($H490*(1+IF('설정 Settings'!$C$24="YES",'설정 Settings'!$C$26,0)),2)-N($O490))</f>
      </c>
      <c r="Q490" s="42">
        <f>IF($A490="","","INV-"&amp;$A490)</f>
      </c>
      <c r="R490" s="42">
        <f>IF($H490="","",IF($H490&gt;'설정 Settings'!$C$36,"$2,000 초과: e-Transfer 나눠 받기 (F36)",""))</f>
      </c>
    </row>
    <row r="491" spans="12:18" x14ac:dyDescent="0.25">
      <c r="L491" s="41">
        <f>IF($C491="","",IF($I491="",ROUND(IFERROR($H491*VLOOKUP($F491,'설정 Settings'!$A$122:$F$130,4,0)+VLOOKUP($F491,'설정 Settings'!$A$122:$F$130,5,0),0),2),$I491))</f>
      </c>
      <c r="M491" s="41">
        <f>IF($C491="","",$H491-$L491)</f>
      </c>
      <c r="N491" s="42">
        <f>IF($C491="","",IF($I491="","추정 ESTIMATE","실제 ACTUAL"))</f>
      </c>
      <c r="O491" s="41">
        <f>IF($A491="","",SUMIFS('입금 Payments'!$C$3:$C$1002,'입금 Payments'!$B$3:$B$1002,$A491))</f>
      </c>
      <c r="P491" s="41">
        <f>IF($C491="","",ROUND($H491*(1+IF('설정 Settings'!$C$24="YES",'설정 Settings'!$C$26,0)),2)-N($O491))</f>
      </c>
      <c r="Q491" s="42">
        <f>IF($A491="","","INV-"&amp;$A491)</f>
      </c>
      <c r="R491" s="42">
        <f>IF($H491="","",IF($H491&gt;'설정 Settings'!$C$36,"$2,000 초과: e-Transfer 나눠 받기 (F36)",""))</f>
      </c>
    </row>
    <row r="492" spans="12:18" x14ac:dyDescent="0.25">
      <c r="L492" s="41">
        <f>IF($C492="","",IF($I492="",ROUND(IFERROR($H492*VLOOKUP($F492,'설정 Settings'!$A$122:$F$130,4,0)+VLOOKUP($F492,'설정 Settings'!$A$122:$F$130,5,0),0),2),$I492))</f>
      </c>
      <c r="M492" s="41">
        <f>IF($C492="","",$H492-$L492)</f>
      </c>
      <c r="N492" s="42">
        <f>IF($C492="","",IF($I492="","추정 ESTIMATE","실제 ACTUAL"))</f>
      </c>
      <c r="O492" s="41">
        <f>IF($A492="","",SUMIFS('입금 Payments'!$C$3:$C$1002,'입금 Payments'!$B$3:$B$1002,$A492))</f>
      </c>
      <c r="P492" s="41">
        <f>IF($C492="","",ROUND($H492*(1+IF('설정 Settings'!$C$24="YES",'설정 Settings'!$C$26,0)),2)-N($O492))</f>
      </c>
      <c r="Q492" s="42">
        <f>IF($A492="","","INV-"&amp;$A492)</f>
      </c>
      <c r="R492" s="42">
        <f>IF($H492="","",IF($H492&gt;'설정 Settings'!$C$36,"$2,000 초과: e-Transfer 나눠 받기 (F36)",""))</f>
      </c>
    </row>
    <row r="493" spans="12:18" x14ac:dyDescent="0.25">
      <c r="L493" s="41">
        <f>IF($C493="","",IF($I493="",ROUND(IFERROR($H493*VLOOKUP($F493,'설정 Settings'!$A$122:$F$130,4,0)+VLOOKUP($F493,'설정 Settings'!$A$122:$F$130,5,0),0),2),$I493))</f>
      </c>
      <c r="M493" s="41">
        <f>IF($C493="","",$H493-$L493)</f>
      </c>
      <c r="N493" s="42">
        <f>IF($C493="","",IF($I493="","추정 ESTIMATE","실제 ACTUAL"))</f>
      </c>
      <c r="O493" s="41">
        <f>IF($A493="","",SUMIFS('입금 Payments'!$C$3:$C$1002,'입금 Payments'!$B$3:$B$1002,$A493))</f>
      </c>
      <c r="P493" s="41">
        <f>IF($C493="","",ROUND($H493*(1+IF('설정 Settings'!$C$24="YES",'설정 Settings'!$C$26,0)),2)-N($O493))</f>
      </c>
      <c r="Q493" s="42">
        <f>IF($A493="","","INV-"&amp;$A493)</f>
      </c>
      <c r="R493" s="42">
        <f>IF($H493="","",IF($H493&gt;'설정 Settings'!$C$36,"$2,000 초과: e-Transfer 나눠 받기 (F36)",""))</f>
      </c>
    </row>
    <row r="494" spans="12:18" x14ac:dyDescent="0.25">
      <c r="L494" s="41">
        <f>IF($C494="","",IF($I494="",ROUND(IFERROR($H494*VLOOKUP($F494,'설정 Settings'!$A$122:$F$130,4,0)+VLOOKUP($F494,'설정 Settings'!$A$122:$F$130,5,0),0),2),$I494))</f>
      </c>
      <c r="M494" s="41">
        <f>IF($C494="","",$H494-$L494)</f>
      </c>
      <c r="N494" s="42">
        <f>IF($C494="","",IF($I494="","추정 ESTIMATE","실제 ACTUAL"))</f>
      </c>
      <c r="O494" s="41">
        <f>IF($A494="","",SUMIFS('입금 Payments'!$C$3:$C$1002,'입금 Payments'!$B$3:$B$1002,$A494))</f>
      </c>
      <c r="P494" s="41">
        <f>IF($C494="","",ROUND($H494*(1+IF('설정 Settings'!$C$24="YES",'설정 Settings'!$C$26,0)),2)-N($O494))</f>
      </c>
      <c r="Q494" s="42">
        <f>IF($A494="","","INV-"&amp;$A494)</f>
      </c>
      <c r="R494" s="42">
        <f>IF($H494="","",IF($H494&gt;'설정 Settings'!$C$36,"$2,000 초과: e-Transfer 나눠 받기 (F36)",""))</f>
      </c>
    </row>
    <row r="495" spans="12:18" x14ac:dyDescent="0.25">
      <c r="L495" s="41">
        <f>IF($C495="","",IF($I495="",ROUND(IFERROR($H495*VLOOKUP($F495,'설정 Settings'!$A$122:$F$130,4,0)+VLOOKUP($F495,'설정 Settings'!$A$122:$F$130,5,0),0),2),$I495))</f>
      </c>
      <c r="M495" s="41">
        <f>IF($C495="","",$H495-$L495)</f>
      </c>
      <c r="N495" s="42">
        <f>IF($C495="","",IF($I495="","추정 ESTIMATE","실제 ACTUAL"))</f>
      </c>
      <c r="O495" s="41">
        <f>IF($A495="","",SUMIFS('입금 Payments'!$C$3:$C$1002,'입금 Payments'!$B$3:$B$1002,$A495))</f>
      </c>
      <c r="P495" s="41">
        <f>IF($C495="","",ROUND($H495*(1+IF('설정 Settings'!$C$24="YES",'설정 Settings'!$C$26,0)),2)-N($O495))</f>
      </c>
      <c r="Q495" s="42">
        <f>IF($A495="","","INV-"&amp;$A495)</f>
      </c>
      <c r="R495" s="42">
        <f>IF($H495="","",IF($H495&gt;'설정 Settings'!$C$36,"$2,000 초과: e-Transfer 나눠 받기 (F36)",""))</f>
      </c>
    </row>
    <row r="496" spans="12:18" x14ac:dyDescent="0.25">
      <c r="L496" s="41">
        <f>IF($C496="","",IF($I496="",ROUND(IFERROR($H496*VLOOKUP($F496,'설정 Settings'!$A$122:$F$130,4,0)+VLOOKUP($F496,'설정 Settings'!$A$122:$F$130,5,0),0),2),$I496))</f>
      </c>
      <c r="M496" s="41">
        <f>IF($C496="","",$H496-$L496)</f>
      </c>
      <c r="N496" s="42">
        <f>IF($C496="","",IF($I496="","추정 ESTIMATE","실제 ACTUAL"))</f>
      </c>
      <c r="O496" s="41">
        <f>IF($A496="","",SUMIFS('입금 Payments'!$C$3:$C$1002,'입금 Payments'!$B$3:$B$1002,$A496))</f>
      </c>
      <c r="P496" s="41">
        <f>IF($C496="","",ROUND($H496*(1+IF('설정 Settings'!$C$24="YES",'설정 Settings'!$C$26,0)),2)-N($O496))</f>
      </c>
      <c r="Q496" s="42">
        <f>IF($A496="","","INV-"&amp;$A496)</f>
      </c>
      <c r="R496" s="42">
        <f>IF($H496="","",IF($H496&gt;'설정 Settings'!$C$36,"$2,000 초과: e-Transfer 나눠 받기 (F36)",""))</f>
      </c>
    </row>
    <row r="497" spans="12:18" x14ac:dyDescent="0.25">
      <c r="L497" s="41">
        <f>IF($C497="","",IF($I497="",ROUND(IFERROR($H497*VLOOKUP($F497,'설정 Settings'!$A$122:$F$130,4,0)+VLOOKUP($F497,'설정 Settings'!$A$122:$F$130,5,0),0),2),$I497))</f>
      </c>
      <c r="M497" s="41">
        <f>IF($C497="","",$H497-$L497)</f>
      </c>
      <c r="N497" s="42">
        <f>IF($C497="","",IF($I497="","추정 ESTIMATE","실제 ACTUAL"))</f>
      </c>
      <c r="O497" s="41">
        <f>IF($A497="","",SUMIFS('입금 Payments'!$C$3:$C$1002,'입금 Payments'!$B$3:$B$1002,$A497))</f>
      </c>
      <c r="P497" s="41">
        <f>IF($C497="","",ROUND($H497*(1+IF('설정 Settings'!$C$24="YES",'설정 Settings'!$C$26,0)),2)-N($O497))</f>
      </c>
      <c r="Q497" s="42">
        <f>IF($A497="","","INV-"&amp;$A497)</f>
      </c>
      <c r="R497" s="42">
        <f>IF($H497="","",IF($H497&gt;'설정 Settings'!$C$36,"$2,000 초과: e-Transfer 나눠 받기 (F36)",""))</f>
      </c>
    </row>
    <row r="498" spans="12:18" x14ac:dyDescent="0.25">
      <c r="L498" s="41">
        <f>IF($C498="","",IF($I498="",ROUND(IFERROR($H498*VLOOKUP($F498,'설정 Settings'!$A$122:$F$130,4,0)+VLOOKUP($F498,'설정 Settings'!$A$122:$F$130,5,0),0),2),$I498))</f>
      </c>
      <c r="M498" s="41">
        <f>IF($C498="","",$H498-$L498)</f>
      </c>
      <c r="N498" s="42">
        <f>IF($C498="","",IF($I498="","추정 ESTIMATE","실제 ACTUAL"))</f>
      </c>
      <c r="O498" s="41">
        <f>IF($A498="","",SUMIFS('입금 Payments'!$C$3:$C$1002,'입금 Payments'!$B$3:$B$1002,$A498))</f>
      </c>
      <c r="P498" s="41">
        <f>IF($C498="","",ROUND($H498*(1+IF('설정 Settings'!$C$24="YES",'설정 Settings'!$C$26,0)),2)-N($O498))</f>
      </c>
      <c r="Q498" s="42">
        <f>IF($A498="","","INV-"&amp;$A498)</f>
      </c>
      <c r="R498" s="42">
        <f>IF($H498="","",IF($H498&gt;'설정 Settings'!$C$36,"$2,000 초과: e-Transfer 나눠 받기 (F36)",""))</f>
      </c>
    </row>
    <row r="499" spans="12:18" x14ac:dyDescent="0.25">
      <c r="L499" s="41">
        <f>IF($C499="","",IF($I499="",ROUND(IFERROR($H499*VLOOKUP($F499,'설정 Settings'!$A$122:$F$130,4,0)+VLOOKUP($F499,'설정 Settings'!$A$122:$F$130,5,0),0),2),$I499))</f>
      </c>
      <c r="M499" s="41">
        <f>IF($C499="","",$H499-$L499)</f>
      </c>
      <c r="N499" s="42">
        <f>IF($C499="","",IF($I499="","추정 ESTIMATE","실제 ACTUAL"))</f>
      </c>
      <c r="O499" s="41">
        <f>IF($A499="","",SUMIFS('입금 Payments'!$C$3:$C$1002,'입금 Payments'!$B$3:$B$1002,$A499))</f>
      </c>
      <c r="P499" s="41">
        <f>IF($C499="","",ROUND($H499*(1+IF('설정 Settings'!$C$24="YES",'설정 Settings'!$C$26,0)),2)-N($O499))</f>
      </c>
      <c r="Q499" s="42">
        <f>IF($A499="","","INV-"&amp;$A499)</f>
      </c>
      <c r="R499" s="42">
        <f>IF($H499="","",IF($H499&gt;'설정 Settings'!$C$36,"$2,000 초과: e-Transfer 나눠 받기 (F36)",""))</f>
      </c>
    </row>
    <row r="500" spans="12:18" x14ac:dyDescent="0.25">
      <c r="L500" s="41">
        <f>IF($C500="","",IF($I500="",ROUND(IFERROR($H500*VLOOKUP($F500,'설정 Settings'!$A$122:$F$130,4,0)+VLOOKUP($F500,'설정 Settings'!$A$122:$F$130,5,0),0),2),$I500))</f>
      </c>
      <c r="M500" s="41">
        <f>IF($C500="","",$H500-$L500)</f>
      </c>
      <c r="N500" s="42">
        <f>IF($C500="","",IF($I500="","추정 ESTIMATE","실제 ACTUAL"))</f>
      </c>
      <c r="O500" s="41">
        <f>IF($A500="","",SUMIFS('입금 Payments'!$C$3:$C$1002,'입금 Payments'!$B$3:$B$1002,$A500))</f>
      </c>
      <c r="P500" s="41">
        <f>IF($C500="","",ROUND($H500*(1+IF('설정 Settings'!$C$24="YES",'설정 Settings'!$C$26,0)),2)-N($O500))</f>
      </c>
      <c r="Q500" s="42">
        <f>IF($A500="","","INV-"&amp;$A500)</f>
      </c>
      <c r="R500" s="42">
        <f>IF($H500="","",IF($H500&gt;'설정 Settings'!$C$36,"$2,000 초과: e-Transfer 나눠 받기 (F36)",""))</f>
      </c>
    </row>
    <row r="501" spans="12:18" x14ac:dyDescent="0.25">
      <c r="L501" s="41">
        <f>IF($C501="","",IF($I501="",ROUND(IFERROR($H501*VLOOKUP($F501,'설정 Settings'!$A$122:$F$130,4,0)+VLOOKUP($F501,'설정 Settings'!$A$122:$F$130,5,0),0),2),$I501))</f>
      </c>
      <c r="M501" s="41">
        <f>IF($C501="","",$H501-$L501)</f>
      </c>
      <c r="N501" s="42">
        <f>IF($C501="","",IF($I501="","추정 ESTIMATE","실제 ACTUAL"))</f>
      </c>
      <c r="O501" s="41">
        <f>IF($A501="","",SUMIFS('입금 Payments'!$C$3:$C$1002,'입금 Payments'!$B$3:$B$1002,$A501))</f>
      </c>
      <c r="P501" s="41">
        <f>IF($C501="","",ROUND($H501*(1+IF('설정 Settings'!$C$24="YES",'설정 Settings'!$C$26,0)),2)-N($O501))</f>
      </c>
      <c r="Q501" s="42">
        <f>IF($A501="","","INV-"&amp;$A501)</f>
      </c>
      <c r="R501" s="42">
        <f>IF($H501="","",IF($H501&gt;'설정 Settings'!$C$36,"$2,000 초과: e-Transfer 나눠 받기 (F36)",""))</f>
      </c>
    </row>
    <row r="502" spans="12:18" x14ac:dyDescent="0.25">
      <c r="L502" s="41">
        <f>IF($C502="","",IF($I502="",ROUND(IFERROR($H502*VLOOKUP($F502,'설정 Settings'!$A$122:$F$130,4,0)+VLOOKUP($F502,'설정 Settings'!$A$122:$F$130,5,0),0),2),$I502))</f>
      </c>
      <c r="M502" s="41">
        <f>IF($C502="","",$H502-$L502)</f>
      </c>
      <c r="N502" s="42">
        <f>IF($C502="","",IF($I502="","추정 ESTIMATE","실제 ACTUAL"))</f>
      </c>
      <c r="O502" s="41">
        <f>IF($A502="","",SUMIFS('입금 Payments'!$C$3:$C$1002,'입금 Payments'!$B$3:$B$1002,$A502))</f>
      </c>
      <c r="P502" s="41">
        <f>IF($C502="","",ROUND($H502*(1+IF('설정 Settings'!$C$24="YES",'설정 Settings'!$C$26,0)),2)-N($O502))</f>
      </c>
      <c r="Q502" s="42">
        <f>IF($A502="","","INV-"&amp;$A502)</f>
      </c>
      <c r="R502" s="42">
        <f>IF($H502="","",IF($H502&gt;'설정 Settings'!$C$36,"$2,000 초과: e-Transfer 나눠 받기 (F36)",""))</f>
      </c>
    </row>
    <row r="503" spans="12:18" x14ac:dyDescent="0.25">
      <c r="L503" s="41">
        <f>IF($C503="","",IF($I503="",ROUND(IFERROR($H503*VLOOKUP($F503,'설정 Settings'!$A$122:$F$130,4,0)+VLOOKUP($F503,'설정 Settings'!$A$122:$F$130,5,0),0),2),$I503))</f>
      </c>
      <c r="M503" s="41">
        <f>IF($C503="","",$H503-$L503)</f>
      </c>
      <c r="N503" s="42">
        <f>IF($C503="","",IF($I503="","추정 ESTIMATE","실제 ACTUAL"))</f>
      </c>
      <c r="O503" s="41">
        <f>IF($A503="","",SUMIFS('입금 Payments'!$C$3:$C$1002,'입금 Payments'!$B$3:$B$1002,$A503))</f>
      </c>
      <c r="P503" s="41">
        <f>IF($C503="","",ROUND($H503*(1+IF('설정 Settings'!$C$24="YES",'설정 Settings'!$C$26,0)),2)-N($O503))</f>
      </c>
      <c r="Q503" s="42">
        <f>IF($A503="","","INV-"&amp;$A503)</f>
      </c>
      <c r="R503" s="42">
        <f>IF($H503="","",IF($H503&gt;'설정 Settings'!$C$36,"$2,000 초과: e-Transfer 나눠 받기 (F36)",""))</f>
      </c>
    </row>
    <row r="504" spans="12:18" x14ac:dyDescent="0.25">
      <c r="L504" s="41">
        <f>IF($C504="","",IF($I504="",ROUND(IFERROR($H504*VLOOKUP($F504,'설정 Settings'!$A$122:$F$130,4,0)+VLOOKUP($F504,'설정 Settings'!$A$122:$F$130,5,0),0),2),$I504))</f>
      </c>
      <c r="M504" s="41">
        <f>IF($C504="","",$H504-$L504)</f>
      </c>
      <c r="N504" s="42">
        <f>IF($C504="","",IF($I504="","추정 ESTIMATE","실제 ACTUAL"))</f>
      </c>
      <c r="O504" s="41">
        <f>IF($A504="","",SUMIFS('입금 Payments'!$C$3:$C$1002,'입금 Payments'!$B$3:$B$1002,$A504))</f>
      </c>
      <c r="P504" s="41">
        <f>IF($C504="","",ROUND($H504*(1+IF('설정 Settings'!$C$24="YES",'설정 Settings'!$C$26,0)),2)-N($O504))</f>
      </c>
      <c r="Q504" s="42">
        <f>IF($A504="","","INV-"&amp;$A504)</f>
      </c>
      <c r="R504" s="42">
        <f>IF($H504="","",IF($H504&gt;'설정 Settings'!$C$36,"$2,000 초과: e-Transfer 나눠 받기 (F36)",""))</f>
      </c>
    </row>
    <row r="505" spans="12:18" x14ac:dyDescent="0.25">
      <c r="L505" s="41">
        <f>IF($C505="","",IF($I505="",ROUND(IFERROR($H505*VLOOKUP($F505,'설정 Settings'!$A$122:$F$130,4,0)+VLOOKUP($F505,'설정 Settings'!$A$122:$F$130,5,0),0),2),$I505))</f>
      </c>
      <c r="M505" s="41">
        <f>IF($C505="","",$H505-$L505)</f>
      </c>
      <c r="N505" s="42">
        <f>IF($C505="","",IF($I505="","추정 ESTIMATE","실제 ACTUAL"))</f>
      </c>
      <c r="O505" s="41">
        <f>IF($A505="","",SUMIFS('입금 Payments'!$C$3:$C$1002,'입금 Payments'!$B$3:$B$1002,$A505))</f>
      </c>
      <c r="P505" s="41">
        <f>IF($C505="","",ROUND($H505*(1+IF('설정 Settings'!$C$24="YES",'설정 Settings'!$C$26,0)),2)-N($O505))</f>
      </c>
      <c r="Q505" s="42">
        <f>IF($A505="","","INV-"&amp;$A505)</f>
      </c>
      <c r="R505" s="42">
        <f>IF($H505="","",IF($H505&gt;'설정 Settings'!$C$36,"$2,000 초과: e-Transfer 나눠 받기 (F36)",""))</f>
      </c>
    </row>
    <row r="506" spans="12:18" x14ac:dyDescent="0.25">
      <c r="L506" s="41">
        <f>IF($C506="","",IF($I506="",ROUND(IFERROR($H506*VLOOKUP($F506,'설정 Settings'!$A$122:$F$130,4,0)+VLOOKUP($F506,'설정 Settings'!$A$122:$F$130,5,0),0),2),$I506))</f>
      </c>
      <c r="M506" s="41">
        <f>IF($C506="","",$H506-$L506)</f>
      </c>
      <c r="N506" s="42">
        <f>IF($C506="","",IF($I506="","추정 ESTIMATE","실제 ACTUAL"))</f>
      </c>
      <c r="O506" s="41">
        <f>IF($A506="","",SUMIFS('입금 Payments'!$C$3:$C$1002,'입금 Payments'!$B$3:$B$1002,$A506))</f>
      </c>
      <c r="P506" s="41">
        <f>IF($C506="","",ROUND($H506*(1+IF('설정 Settings'!$C$24="YES",'설정 Settings'!$C$26,0)),2)-N($O506))</f>
      </c>
      <c r="Q506" s="42">
        <f>IF($A506="","","INV-"&amp;$A506)</f>
      </c>
      <c r="R506" s="42">
        <f>IF($H506="","",IF($H506&gt;'설정 Settings'!$C$36,"$2,000 초과: e-Transfer 나눠 받기 (F36)",""))</f>
      </c>
    </row>
    <row r="507" spans="12:18" x14ac:dyDescent="0.25">
      <c r="L507" s="41">
        <f>IF($C507="","",IF($I507="",ROUND(IFERROR($H507*VLOOKUP($F507,'설정 Settings'!$A$122:$F$130,4,0)+VLOOKUP($F507,'설정 Settings'!$A$122:$F$130,5,0),0),2),$I507))</f>
      </c>
      <c r="M507" s="41">
        <f>IF($C507="","",$H507-$L507)</f>
      </c>
      <c r="N507" s="42">
        <f>IF($C507="","",IF($I507="","추정 ESTIMATE","실제 ACTUAL"))</f>
      </c>
      <c r="O507" s="41">
        <f>IF($A507="","",SUMIFS('입금 Payments'!$C$3:$C$1002,'입금 Payments'!$B$3:$B$1002,$A507))</f>
      </c>
      <c r="P507" s="41">
        <f>IF($C507="","",ROUND($H507*(1+IF('설정 Settings'!$C$24="YES",'설정 Settings'!$C$26,0)),2)-N($O507))</f>
      </c>
      <c r="Q507" s="42">
        <f>IF($A507="","","INV-"&amp;$A507)</f>
      </c>
      <c r="R507" s="42">
        <f>IF($H507="","",IF($H507&gt;'설정 Settings'!$C$36,"$2,000 초과: e-Transfer 나눠 받기 (F36)",""))</f>
      </c>
    </row>
    <row r="508" spans="12:18" x14ac:dyDescent="0.25">
      <c r="L508" s="41">
        <f>IF($C508="","",IF($I508="",ROUND(IFERROR($H508*VLOOKUP($F508,'설정 Settings'!$A$122:$F$130,4,0)+VLOOKUP($F508,'설정 Settings'!$A$122:$F$130,5,0),0),2),$I508))</f>
      </c>
      <c r="M508" s="41">
        <f>IF($C508="","",$H508-$L508)</f>
      </c>
      <c r="N508" s="42">
        <f>IF($C508="","",IF($I508="","추정 ESTIMATE","실제 ACTUAL"))</f>
      </c>
      <c r="O508" s="41">
        <f>IF($A508="","",SUMIFS('입금 Payments'!$C$3:$C$1002,'입금 Payments'!$B$3:$B$1002,$A508))</f>
      </c>
      <c r="P508" s="41">
        <f>IF($C508="","",ROUND($H508*(1+IF('설정 Settings'!$C$24="YES",'설정 Settings'!$C$26,0)),2)-N($O508))</f>
      </c>
      <c r="Q508" s="42">
        <f>IF($A508="","","INV-"&amp;$A508)</f>
      </c>
      <c r="R508" s="42">
        <f>IF($H508="","",IF($H508&gt;'설정 Settings'!$C$36,"$2,000 초과: e-Transfer 나눠 받기 (F36)",""))</f>
      </c>
    </row>
    <row r="509" spans="12:18" x14ac:dyDescent="0.25">
      <c r="L509" s="41">
        <f>IF($C509="","",IF($I509="",ROUND(IFERROR($H509*VLOOKUP($F509,'설정 Settings'!$A$122:$F$130,4,0)+VLOOKUP($F509,'설정 Settings'!$A$122:$F$130,5,0),0),2),$I509))</f>
      </c>
      <c r="M509" s="41">
        <f>IF($C509="","",$H509-$L509)</f>
      </c>
      <c r="N509" s="42">
        <f>IF($C509="","",IF($I509="","추정 ESTIMATE","실제 ACTUAL"))</f>
      </c>
      <c r="O509" s="41">
        <f>IF($A509="","",SUMIFS('입금 Payments'!$C$3:$C$1002,'입금 Payments'!$B$3:$B$1002,$A509))</f>
      </c>
      <c r="P509" s="41">
        <f>IF($C509="","",ROUND($H509*(1+IF('설정 Settings'!$C$24="YES",'설정 Settings'!$C$26,0)),2)-N($O509))</f>
      </c>
      <c r="Q509" s="42">
        <f>IF($A509="","","INV-"&amp;$A509)</f>
      </c>
      <c r="R509" s="42">
        <f>IF($H509="","",IF($H509&gt;'설정 Settings'!$C$36,"$2,000 초과: e-Transfer 나눠 받기 (F36)",""))</f>
      </c>
    </row>
    <row r="510" spans="12:18" x14ac:dyDescent="0.25">
      <c r="L510" s="41">
        <f>IF($C510="","",IF($I510="",ROUND(IFERROR($H510*VLOOKUP($F510,'설정 Settings'!$A$122:$F$130,4,0)+VLOOKUP($F510,'설정 Settings'!$A$122:$F$130,5,0),0),2),$I510))</f>
      </c>
      <c r="M510" s="41">
        <f>IF($C510="","",$H510-$L510)</f>
      </c>
      <c r="N510" s="42">
        <f>IF($C510="","",IF($I510="","추정 ESTIMATE","실제 ACTUAL"))</f>
      </c>
      <c r="O510" s="41">
        <f>IF($A510="","",SUMIFS('입금 Payments'!$C$3:$C$1002,'입금 Payments'!$B$3:$B$1002,$A510))</f>
      </c>
      <c r="P510" s="41">
        <f>IF($C510="","",ROUND($H510*(1+IF('설정 Settings'!$C$24="YES",'설정 Settings'!$C$26,0)),2)-N($O510))</f>
      </c>
      <c r="Q510" s="42">
        <f>IF($A510="","","INV-"&amp;$A510)</f>
      </c>
      <c r="R510" s="42">
        <f>IF($H510="","",IF($H510&gt;'설정 Settings'!$C$36,"$2,000 초과: e-Transfer 나눠 받기 (F36)",""))</f>
      </c>
    </row>
    <row r="511" spans="12:18" x14ac:dyDescent="0.25">
      <c r="L511" s="41">
        <f>IF($C511="","",IF($I511="",ROUND(IFERROR($H511*VLOOKUP($F511,'설정 Settings'!$A$122:$F$130,4,0)+VLOOKUP($F511,'설정 Settings'!$A$122:$F$130,5,0),0),2),$I511))</f>
      </c>
      <c r="M511" s="41">
        <f>IF($C511="","",$H511-$L511)</f>
      </c>
      <c r="N511" s="42">
        <f>IF($C511="","",IF($I511="","추정 ESTIMATE","실제 ACTUAL"))</f>
      </c>
      <c r="O511" s="41">
        <f>IF($A511="","",SUMIFS('입금 Payments'!$C$3:$C$1002,'입금 Payments'!$B$3:$B$1002,$A511))</f>
      </c>
      <c r="P511" s="41">
        <f>IF($C511="","",ROUND($H511*(1+IF('설정 Settings'!$C$24="YES",'설정 Settings'!$C$26,0)),2)-N($O511))</f>
      </c>
      <c r="Q511" s="42">
        <f>IF($A511="","","INV-"&amp;$A511)</f>
      </c>
      <c r="R511" s="42">
        <f>IF($H511="","",IF($H511&gt;'설정 Settings'!$C$36,"$2,000 초과: e-Transfer 나눠 받기 (F36)",""))</f>
      </c>
    </row>
    <row r="512" spans="12:18" x14ac:dyDescent="0.25">
      <c r="L512" s="41">
        <f>IF($C512="","",IF($I512="",ROUND(IFERROR($H512*VLOOKUP($F512,'설정 Settings'!$A$122:$F$130,4,0)+VLOOKUP($F512,'설정 Settings'!$A$122:$F$130,5,0),0),2),$I512))</f>
      </c>
      <c r="M512" s="41">
        <f>IF($C512="","",$H512-$L512)</f>
      </c>
      <c r="N512" s="42">
        <f>IF($C512="","",IF($I512="","추정 ESTIMATE","실제 ACTUAL"))</f>
      </c>
      <c r="O512" s="41">
        <f>IF($A512="","",SUMIFS('입금 Payments'!$C$3:$C$1002,'입금 Payments'!$B$3:$B$1002,$A512))</f>
      </c>
      <c r="P512" s="41">
        <f>IF($C512="","",ROUND($H512*(1+IF('설정 Settings'!$C$24="YES",'설정 Settings'!$C$26,0)),2)-N($O512))</f>
      </c>
      <c r="Q512" s="42">
        <f>IF($A512="","","INV-"&amp;$A512)</f>
      </c>
      <c r="R512" s="42">
        <f>IF($H512="","",IF($H512&gt;'설정 Settings'!$C$36,"$2,000 초과: e-Transfer 나눠 받기 (F36)",""))</f>
      </c>
    </row>
    <row r="513" spans="12:18" x14ac:dyDescent="0.25">
      <c r="L513" s="41">
        <f>IF($C513="","",IF($I513="",ROUND(IFERROR($H513*VLOOKUP($F513,'설정 Settings'!$A$122:$F$130,4,0)+VLOOKUP($F513,'설정 Settings'!$A$122:$F$130,5,0),0),2),$I513))</f>
      </c>
      <c r="M513" s="41">
        <f>IF($C513="","",$H513-$L513)</f>
      </c>
      <c r="N513" s="42">
        <f>IF($C513="","",IF($I513="","추정 ESTIMATE","실제 ACTUAL"))</f>
      </c>
      <c r="O513" s="41">
        <f>IF($A513="","",SUMIFS('입금 Payments'!$C$3:$C$1002,'입금 Payments'!$B$3:$B$1002,$A513))</f>
      </c>
      <c r="P513" s="41">
        <f>IF($C513="","",ROUND($H513*(1+IF('설정 Settings'!$C$24="YES",'설정 Settings'!$C$26,0)),2)-N($O513))</f>
      </c>
      <c r="Q513" s="42">
        <f>IF($A513="","","INV-"&amp;$A513)</f>
      </c>
      <c r="R513" s="42">
        <f>IF($H513="","",IF($H513&gt;'설정 Settings'!$C$36,"$2,000 초과: e-Transfer 나눠 받기 (F36)",""))</f>
      </c>
    </row>
    <row r="514" spans="12:18" x14ac:dyDescent="0.25">
      <c r="L514" s="41">
        <f>IF($C514="","",IF($I514="",ROUND(IFERROR($H514*VLOOKUP($F514,'설정 Settings'!$A$122:$F$130,4,0)+VLOOKUP($F514,'설정 Settings'!$A$122:$F$130,5,0),0),2),$I514))</f>
      </c>
      <c r="M514" s="41">
        <f>IF($C514="","",$H514-$L514)</f>
      </c>
      <c r="N514" s="42">
        <f>IF($C514="","",IF($I514="","추정 ESTIMATE","실제 ACTUAL"))</f>
      </c>
      <c r="O514" s="41">
        <f>IF($A514="","",SUMIFS('입금 Payments'!$C$3:$C$1002,'입금 Payments'!$B$3:$B$1002,$A514))</f>
      </c>
      <c r="P514" s="41">
        <f>IF($C514="","",ROUND($H514*(1+IF('설정 Settings'!$C$24="YES",'설정 Settings'!$C$26,0)),2)-N($O514))</f>
      </c>
      <c r="Q514" s="42">
        <f>IF($A514="","","INV-"&amp;$A514)</f>
      </c>
      <c r="R514" s="42">
        <f>IF($H514="","",IF($H514&gt;'설정 Settings'!$C$36,"$2,000 초과: e-Transfer 나눠 받기 (F36)",""))</f>
      </c>
    </row>
    <row r="515" spans="12:18" x14ac:dyDescent="0.25">
      <c r="L515" s="41">
        <f>IF($C515="","",IF($I515="",ROUND(IFERROR($H515*VLOOKUP($F515,'설정 Settings'!$A$122:$F$130,4,0)+VLOOKUP($F515,'설정 Settings'!$A$122:$F$130,5,0),0),2),$I515))</f>
      </c>
      <c r="M515" s="41">
        <f>IF($C515="","",$H515-$L515)</f>
      </c>
      <c r="N515" s="42">
        <f>IF($C515="","",IF($I515="","추정 ESTIMATE","실제 ACTUAL"))</f>
      </c>
      <c r="O515" s="41">
        <f>IF($A515="","",SUMIFS('입금 Payments'!$C$3:$C$1002,'입금 Payments'!$B$3:$B$1002,$A515))</f>
      </c>
      <c r="P515" s="41">
        <f>IF($C515="","",ROUND($H515*(1+IF('설정 Settings'!$C$24="YES",'설정 Settings'!$C$26,0)),2)-N($O515))</f>
      </c>
      <c r="Q515" s="42">
        <f>IF($A515="","","INV-"&amp;$A515)</f>
      </c>
      <c r="R515" s="42">
        <f>IF($H515="","",IF($H515&gt;'설정 Settings'!$C$36,"$2,000 초과: e-Transfer 나눠 받기 (F36)",""))</f>
      </c>
    </row>
    <row r="516" spans="12:18" x14ac:dyDescent="0.25">
      <c r="L516" s="41">
        <f>IF($C516="","",IF($I516="",ROUND(IFERROR($H516*VLOOKUP($F516,'설정 Settings'!$A$122:$F$130,4,0)+VLOOKUP($F516,'설정 Settings'!$A$122:$F$130,5,0),0),2),$I516))</f>
      </c>
      <c r="M516" s="41">
        <f>IF($C516="","",$H516-$L516)</f>
      </c>
      <c r="N516" s="42">
        <f>IF($C516="","",IF($I516="","추정 ESTIMATE","실제 ACTUAL"))</f>
      </c>
      <c r="O516" s="41">
        <f>IF($A516="","",SUMIFS('입금 Payments'!$C$3:$C$1002,'입금 Payments'!$B$3:$B$1002,$A516))</f>
      </c>
      <c r="P516" s="41">
        <f>IF($C516="","",ROUND($H516*(1+IF('설정 Settings'!$C$24="YES",'설정 Settings'!$C$26,0)),2)-N($O516))</f>
      </c>
      <c r="Q516" s="42">
        <f>IF($A516="","","INV-"&amp;$A516)</f>
      </c>
      <c r="R516" s="42">
        <f>IF($H516="","",IF($H516&gt;'설정 Settings'!$C$36,"$2,000 초과: e-Transfer 나눠 받기 (F36)",""))</f>
      </c>
    </row>
    <row r="517" spans="12:18" x14ac:dyDescent="0.25">
      <c r="L517" s="41">
        <f>IF($C517="","",IF($I517="",ROUND(IFERROR($H517*VLOOKUP($F517,'설정 Settings'!$A$122:$F$130,4,0)+VLOOKUP($F517,'설정 Settings'!$A$122:$F$130,5,0),0),2),$I517))</f>
      </c>
      <c r="M517" s="41">
        <f>IF($C517="","",$H517-$L517)</f>
      </c>
      <c r="N517" s="42">
        <f>IF($C517="","",IF($I517="","추정 ESTIMATE","실제 ACTUAL"))</f>
      </c>
      <c r="O517" s="41">
        <f>IF($A517="","",SUMIFS('입금 Payments'!$C$3:$C$1002,'입금 Payments'!$B$3:$B$1002,$A517))</f>
      </c>
      <c r="P517" s="41">
        <f>IF($C517="","",ROUND($H517*(1+IF('설정 Settings'!$C$24="YES",'설정 Settings'!$C$26,0)),2)-N($O517))</f>
      </c>
      <c r="Q517" s="42">
        <f>IF($A517="","","INV-"&amp;$A517)</f>
      </c>
      <c r="R517" s="42">
        <f>IF($H517="","",IF($H517&gt;'설정 Settings'!$C$36,"$2,000 초과: e-Transfer 나눠 받기 (F36)",""))</f>
      </c>
    </row>
    <row r="518" spans="12:18" x14ac:dyDescent="0.25">
      <c r="L518" s="41">
        <f>IF($C518="","",IF($I518="",ROUND(IFERROR($H518*VLOOKUP($F518,'설정 Settings'!$A$122:$F$130,4,0)+VLOOKUP($F518,'설정 Settings'!$A$122:$F$130,5,0),0),2),$I518))</f>
      </c>
      <c r="M518" s="41">
        <f>IF($C518="","",$H518-$L518)</f>
      </c>
      <c r="N518" s="42">
        <f>IF($C518="","",IF($I518="","추정 ESTIMATE","실제 ACTUAL"))</f>
      </c>
      <c r="O518" s="41">
        <f>IF($A518="","",SUMIFS('입금 Payments'!$C$3:$C$1002,'입금 Payments'!$B$3:$B$1002,$A518))</f>
      </c>
      <c r="P518" s="41">
        <f>IF($C518="","",ROUND($H518*(1+IF('설정 Settings'!$C$24="YES",'설정 Settings'!$C$26,0)),2)-N($O518))</f>
      </c>
      <c r="Q518" s="42">
        <f>IF($A518="","","INV-"&amp;$A518)</f>
      </c>
      <c r="R518" s="42">
        <f>IF($H518="","",IF($H518&gt;'설정 Settings'!$C$36,"$2,000 초과: e-Transfer 나눠 받기 (F36)",""))</f>
      </c>
    </row>
    <row r="519" spans="12:18" x14ac:dyDescent="0.25">
      <c r="L519" s="41">
        <f>IF($C519="","",IF($I519="",ROUND(IFERROR($H519*VLOOKUP($F519,'설정 Settings'!$A$122:$F$130,4,0)+VLOOKUP($F519,'설정 Settings'!$A$122:$F$130,5,0),0),2),$I519))</f>
      </c>
      <c r="M519" s="41">
        <f>IF($C519="","",$H519-$L519)</f>
      </c>
      <c r="N519" s="42">
        <f>IF($C519="","",IF($I519="","추정 ESTIMATE","실제 ACTUAL"))</f>
      </c>
      <c r="O519" s="41">
        <f>IF($A519="","",SUMIFS('입금 Payments'!$C$3:$C$1002,'입금 Payments'!$B$3:$B$1002,$A519))</f>
      </c>
      <c r="P519" s="41">
        <f>IF($C519="","",ROUND($H519*(1+IF('설정 Settings'!$C$24="YES",'설정 Settings'!$C$26,0)),2)-N($O519))</f>
      </c>
      <c r="Q519" s="42">
        <f>IF($A519="","","INV-"&amp;$A519)</f>
      </c>
      <c r="R519" s="42">
        <f>IF($H519="","",IF($H519&gt;'설정 Settings'!$C$36,"$2,000 초과: e-Transfer 나눠 받기 (F36)",""))</f>
      </c>
    </row>
    <row r="520" spans="12:18" x14ac:dyDescent="0.25">
      <c r="L520" s="41">
        <f>IF($C520="","",IF($I520="",ROUND(IFERROR($H520*VLOOKUP($F520,'설정 Settings'!$A$122:$F$130,4,0)+VLOOKUP($F520,'설정 Settings'!$A$122:$F$130,5,0),0),2),$I520))</f>
      </c>
      <c r="M520" s="41">
        <f>IF($C520="","",$H520-$L520)</f>
      </c>
      <c r="N520" s="42">
        <f>IF($C520="","",IF($I520="","추정 ESTIMATE","실제 ACTUAL"))</f>
      </c>
      <c r="O520" s="41">
        <f>IF($A520="","",SUMIFS('입금 Payments'!$C$3:$C$1002,'입금 Payments'!$B$3:$B$1002,$A520))</f>
      </c>
      <c r="P520" s="41">
        <f>IF($C520="","",ROUND($H520*(1+IF('설정 Settings'!$C$24="YES",'설정 Settings'!$C$26,0)),2)-N($O520))</f>
      </c>
      <c r="Q520" s="42">
        <f>IF($A520="","","INV-"&amp;$A520)</f>
      </c>
      <c r="R520" s="42">
        <f>IF($H520="","",IF($H520&gt;'설정 Settings'!$C$36,"$2,000 초과: e-Transfer 나눠 받기 (F36)",""))</f>
      </c>
    </row>
    <row r="521" spans="12:18" x14ac:dyDescent="0.25">
      <c r="L521" s="41">
        <f>IF($C521="","",IF($I521="",ROUND(IFERROR($H521*VLOOKUP($F521,'설정 Settings'!$A$122:$F$130,4,0)+VLOOKUP($F521,'설정 Settings'!$A$122:$F$130,5,0),0),2),$I521))</f>
      </c>
      <c r="M521" s="41">
        <f>IF($C521="","",$H521-$L521)</f>
      </c>
      <c r="N521" s="42">
        <f>IF($C521="","",IF($I521="","추정 ESTIMATE","실제 ACTUAL"))</f>
      </c>
      <c r="O521" s="41">
        <f>IF($A521="","",SUMIFS('입금 Payments'!$C$3:$C$1002,'입금 Payments'!$B$3:$B$1002,$A521))</f>
      </c>
      <c r="P521" s="41">
        <f>IF($C521="","",ROUND($H521*(1+IF('설정 Settings'!$C$24="YES",'설정 Settings'!$C$26,0)),2)-N($O521))</f>
      </c>
      <c r="Q521" s="42">
        <f>IF($A521="","","INV-"&amp;$A521)</f>
      </c>
      <c r="R521" s="42">
        <f>IF($H521="","",IF($H521&gt;'설정 Settings'!$C$36,"$2,000 초과: e-Transfer 나눠 받기 (F36)",""))</f>
      </c>
    </row>
    <row r="522" spans="12:18" x14ac:dyDescent="0.25">
      <c r="L522" s="41">
        <f>IF($C522="","",IF($I522="",ROUND(IFERROR($H522*VLOOKUP($F522,'설정 Settings'!$A$122:$F$130,4,0)+VLOOKUP($F522,'설정 Settings'!$A$122:$F$130,5,0),0),2),$I522))</f>
      </c>
      <c r="M522" s="41">
        <f>IF($C522="","",$H522-$L522)</f>
      </c>
      <c r="N522" s="42">
        <f>IF($C522="","",IF($I522="","추정 ESTIMATE","실제 ACTUAL"))</f>
      </c>
      <c r="O522" s="41">
        <f>IF($A522="","",SUMIFS('입금 Payments'!$C$3:$C$1002,'입금 Payments'!$B$3:$B$1002,$A522))</f>
      </c>
      <c r="P522" s="41">
        <f>IF($C522="","",ROUND($H522*(1+IF('설정 Settings'!$C$24="YES",'설정 Settings'!$C$26,0)),2)-N($O522))</f>
      </c>
      <c r="Q522" s="42">
        <f>IF($A522="","","INV-"&amp;$A522)</f>
      </c>
      <c r="R522" s="42">
        <f>IF($H522="","",IF($H522&gt;'설정 Settings'!$C$36,"$2,000 초과: e-Transfer 나눠 받기 (F36)",""))</f>
      </c>
    </row>
    <row r="523" spans="12:18" x14ac:dyDescent="0.25">
      <c r="L523" s="41">
        <f>IF($C523="","",IF($I523="",ROUND(IFERROR($H523*VLOOKUP($F523,'설정 Settings'!$A$122:$F$130,4,0)+VLOOKUP($F523,'설정 Settings'!$A$122:$F$130,5,0),0),2),$I523))</f>
      </c>
      <c r="M523" s="41">
        <f>IF($C523="","",$H523-$L523)</f>
      </c>
      <c r="N523" s="42">
        <f>IF($C523="","",IF($I523="","추정 ESTIMATE","실제 ACTUAL"))</f>
      </c>
      <c r="O523" s="41">
        <f>IF($A523="","",SUMIFS('입금 Payments'!$C$3:$C$1002,'입금 Payments'!$B$3:$B$1002,$A523))</f>
      </c>
      <c r="P523" s="41">
        <f>IF($C523="","",ROUND($H523*(1+IF('설정 Settings'!$C$24="YES",'설정 Settings'!$C$26,0)),2)-N($O523))</f>
      </c>
      <c r="Q523" s="42">
        <f>IF($A523="","","INV-"&amp;$A523)</f>
      </c>
      <c r="R523" s="42">
        <f>IF($H523="","",IF($H523&gt;'설정 Settings'!$C$36,"$2,000 초과: e-Transfer 나눠 받기 (F36)",""))</f>
      </c>
    </row>
    <row r="524" spans="12:18" x14ac:dyDescent="0.25">
      <c r="L524" s="41">
        <f>IF($C524="","",IF($I524="",ROUND(IFERROR($H524*VLOOKUP($F524,'설정 Settings'!$A$122:$F$130,4,0)+VLOOKUP($F524,'설정 Settings'!$A$122:$F$130,5,0),0),2),$I524))</f>
      </c>
      <c r="M524" s="41">
        <f>IF($C524="","",$H524-$L524)</f>
      </c>
      <c r="N524" s="42">
        <f>IF($C524="","",IF($I524="","추정 ESTIMATE","실제 ACTUAL"))</f>
      </c>
      <c r="O524" s="41">
        <f>IF($A524="","",SUMIFS('입금 Payments'!$C$3:$C$1002,'입금 Payments'!$B$3:$B$1002,$A524))</f>
      </c>
      <c r="P524" s="41">
        <f>IF($C524="","",ROUND($H524*(1+IF('설정 Settings'!$C$24="YES",'설정 Settings'!$C$26,0)),2)-N($O524))</f>
      </c>
      <c r="Q524" s="42">
        <f>IF($A524="","","INV-"&amp;$A524)</f>
      </c>
      <c r="R524" s="42">
        <f>IF($H524="","",IF($H524&gt;'설정 Settings'!$C$36,"$2,000 초과: e-Transfer 나눠 받기 (F36)",""))</f>
      </c>
    </row>
    <row r="525" spans="12:18" x14ac:dyDescent="0.25">
      <c r="L525" s="41">
        <f>IF($C525="","",IF($I525="",ROUND(IFERROR($H525*VLOOKUP($F525,'설정 Settings'!$A$122:$F$130,4,0)+VLOOKUP($F525,'설정 Settings'!$A$122:$F$130,5,0),0),2),$I525))</f>
      </c>
      <c r="M525" s="41">
        <f>IF($C525="","",$H525-$L525)</f>
      </c>
      <c r="N525" s="42">
        <f>IF($C525="","",IF($I525="","추정 ESTIMATE","실제 ACTUAL"))</f>
      </c>
      <c r="O525" s="41">
        <f>IF($A525="","",SUMIFS('입금 Payments'!$C$3:$C$1002,'입금 Payments'!$B$3:$B$1002,$A525))</f>
      </c>
      <c r="P525" s="41">
        <f>IF($C525="","",ROUND($H525*(1+IF('설정 Settings'!$C$24="YES",'설정 Settings'!$C$26,0)),2)-N($O525))</f>
      </c>
      <c r="Q525" s="42">
        <f>IF($A525="","","INV-"&amp;$A525)</f>
      </c>
      <c r="R525" s="42">
        <f>IF($H525="","",IF($H525&gt;'설정 Settings'!$C$36,"$2,000 초과: e-Transfer 나눠 받기 (F36)",""))</f>
      </c>
    </row>
    <row r="526" spans="12:18" x14ac:dyDescent="0.25">
      <c r="L526" s="41">
        <f>IF($C526="","",IF($I526="",ROUND(IFERROR($H526*VLOOKUP($F526,'설정 Settings'!$A$122:$F$130,4,0)+VLOOKUP($F526,'설정 Settings'!$A$122:$F$130,5,0),0),2),$I526))</f>
      </c>
      <c r="M526" s="41">
        <f>IF($C526="","",$H526-$L526)</f>
      </c>
      <c r="N526" s="42">
        <f>IF($C526="","",IF($I526="","추정 ESTIMATE","실제 ACTUAL"))</f>
      </c>
      <c r="O526" s="41">
        <f>IF($A526="","",SUMIFS('입금 Payments'!$C$3:$C$1002,'입금 Payments'!$B$3:$B$1002,$A526))</f>
      </c>
      <c r="P526" s="41">
        <f>IF($C526="","",ROUND($H526*(1+IF('설정 Settings'!$C$24="YES",'설정 Settings'!$C$26,0)),2)-N($O526))</f>
      </c>
      <c r="Q526" s="42">
        <f>IF($A526="","","INV-"&amp;$A526)</f>
      </c>
      <c r="R526" s="42">
        <f>IF($H526="","",IF($H526&gt;'설정 Settings'!$C$36,"$2,000 초과: e-Transfer 나눠 받기 (F36)",""))</f>
      </c>
    </row>
    <row r="527" spans="12:18" x14ac:dyDescent="0.25">
      <c r="L527" s="41">
        <f>IF($C527="","",IF($I527="",ROUND(IFERROR($H527*VLOOKUP($F527,'설정 Settings'!$A$122:$F$130,4,0)+VLOOKUP($F527,'설정 Settings'!$A$122:$F$130,5,0),0),2),$I527))</f>
      </c>
      <c r="M527" s="41">
        <f>IF($C527="","",$H527-$L527)</f>
      </c>
      <c r="N527" s="42">
        <f>IF($C527="","",IF($I527="","추정 ESTIMATE","실제 ACTUAL"))</f>
      </c>
      <c r="O527" s="41">
        <f>IF($A527="","",SUMIFS('입금 Payments'!$C$3:$C$1002,'입금 Payments'!$B$3:$B$1002,$A527))</f>
      </c>
      <c r="P527" s="41">
        <f>IF($C527="","",ROUND($H527*(1+IF('설정 Settings'!$C$24="YES",'설정 Settings'!$C$26,0)),2)-N($O527))</f>
      </c>
      <c r="Q527" s="42">
        <f>IF($A527="","","INV-"&amp;$A527)</f>
      </c>
      <c r="R527" s="42">
        <f>IF($H527="","",IF($H527&gt;'설정 Settings'!$C$36,"$2,000 초과: e-Transfer 나눠 받기 (F36)",""))</f>
      </c>
    </row>
    <row r="528" spans="12:18" x14ac:dyDescent="0.25">
      <c r="L528" s="41">
        <f>IF($C528="","",IF($I528="",ROUND(IFERROR($H528*VLOOKUP($F528,'설정 Settings'!$A$122:$F$130,4,0)+VLOOKUP($F528,'설정 Settings'!$A$122:$F$130,5,0),0),2),$I528))</f>
      </c>
      <c r="M528" s="41">
        <f>IF($C528="","",$H528-$L528)</f>
      </c>
      <c r="N528" s="42">
        <f>IF($C528="","",IF($I528="","추정 ESTIMATE","실제 ACTUAL"))</f>
      </c>
      <c r="O528" s="41">
        <f>IF($A528="","",SUMIFS('입금 Payments'!$C$3:$C$1002,'입금 Payments'!$B$3:$B$1002,$A528))</f>
      </c>
      <c r="P528" s="41">
        <f>IF($C528="","",ROUND($H528*(1+IF('설정 Settings'!$C$24="YES",'설정 Settings'!$C$26,0)),2)-N($O528))</f>
      </c>
      <c r="Q528" s="42">
        <f>IF($A528="","","INV-"&amp;$A528)</f>
      </c>
      <c r="R528" s="42">
        <f>IF($H528="","",IF($H528&gt;'설정 Settings'!$C$36,"$2,000 초과: e-Transfer 나눠 받기 (F36)",""))</f>
      </c>
    </row>
    <row r="529" spans="12:18" x14ac:dyDescent="0.25">
      <c r="L529" s="41">
        <f>IF($C529="","",IF($I529="",ROUND(IFERROR($H529*VLOOKUP($F529,'설정 Settings'!$A$122:$F$130,4,0)+VLOOKUP($F529,'설정 Settings'!$A$122:$F$130,5,0),0),2),$I529))</f>
      </c>
      <c r="M529" s="41">
        <f>IF($C529="","",$H529-$L529)</f>
      </c>
      <c r="N529" s="42">
        <f>IF($C529="","",IF($I529="","추정 ESTIMATE","실제 ACTUAL"))</f>
      </c>
      <c r="O529" s="41">
        <f>IF($A529="","",SUMIFS('입금 Payments'!$C$3:$C$1002,'입금 Payments'!$B$3:$B$1002,$A529))</f>
      </c>
      <c r="P529" s="41">
        <f>IF($C529="","",ROUND($H529*(1+IF('설정 Settings'!$C$24="YES",'설정 Settings'!$C$26,0)),2)-N($O529))</f>
      </c>
      <c r="Q529" s="42">
        <f>IF($A529="","","INV-"&amp;$A529)</f>
      </c>
      <c r="R529" s="42">
        <f>IF($H529="","",IF($H529&gt;'설정 Settings'!$C$36,"$2,000 초과: e-Transfer 나눠 받기 (F36)",""))</f>
      </c>
    </row>
    <row r="530" spans="12:18" x14ac:dyDescent="0.25">
      <c r="L530" s="41">
        <f>IF($C530="","",IF($I530="",ROUND(IFERROR($H530*VLOOKUP($F530,'설정 Settings'!$A$122:$F$130,4,0)+VLOOKUP($F530,'설정 Settings'!$A$122:$F$130,5,0),0),2),$I530))</f>
      </c>
      <c r="M530" s="41">
        <f>IF($C530="","",$H530-$L530)</f>
      </c>
      <c r="N530" s="42">
        <f>IF($C530="","",IF($I530="","추정 ESTIMATE","실제 ACTUAL"))</f>
      </c>
      <c r="O530" s="41">
        <f>IF($A530="","",SUMIFS('입금 Payments'!$C$3:$C$1002,'입금 Payments'!$B$3:$B$1002,$A530))</f>
      </c>
      <c r="P530" s="41">
        <f>IF($C530="","",ROUND($H530*(1+IF('설정 Settings'!$C$24="YES",'설정 Settings'!$C$26,0)),2)-N($O530))</f>
      </c>
      <c r="Q530" s="42">
        <f>IF($A530="","","INV-"&amp;$A530)</f>
      </c>
      <c r="R530" s="42">
        <f>IF($H530="","",IF($H530&gt;'설정 Settings'!$C$36,"$2,000 초과: e-Transfer 나눠 받기 (F36)",""))</f>
      </c>
    </row>
    <row r="531" spans="12:18" x14ac:dyDescent="0.25">
      <c r="L531" s="41">
        <f>IF($C531="","",IF($I531="",ROUND(IFERROR($H531*VLOOKUP($F531,'설정 Settings'!$A$122:$F$130,4,0)+VLOOKUP($F531,'설정 Settings'!$A$122:$F$130,5,0),0),2),$I531))</f>
      </c>
      <c r="M531" s="41">
        <f>IF($C531="","",$H531-$L531)</f>
      </c>
      <c r="N531" s="42">
        <f>IF($C531="","",IF($I531="","추정 ESTIMATE","실제 ACTUAL"))</f>
      </c>
      <c r="O531" s="41">
        <f>IF($A531="","",SUMIFS('입금 Payments'!$C$3:$C$1002,'입금 Payments'!$B$3:$B$1002,$A531))</f>
      </c>
      <c r="P531" s="41">
        <f>IF($C531="","",ROUND($H531*(1+IF('설정 Settings'!$C$24="YES",'설정 Settings'!$C$26,0)),2)-N($O531))</f>
      </c>
      <c r="Q531" s="42">
        <f>IF($A531="","","INV-"&amp;$A531)</f>
      </c>
      <c r="R531" s="42">
        <f>IF($H531="","",IF($H531&gt;'설정 Settings'!$C$36,"$2,000 초과: e-Transfer 나눠 받기 (F36)",""))</f>
      </c>
    </row>
    <row r="532" spans="12:18" x14ac:dyDescent="0.25">
      <c r="L532" s="41">
        <f>IF($C532="","",IF($I532="",ROUND(IFERROR($H532*VLOOKUP($F532,'설정 Settings'!$A$122:$F$130,4,0)+VLOOKUP($F532,'설정 Settings'!$A$122:$F$130,5,0),0),2),$I532))</f>
      </c>
      <c r="M532" s="41">
        <f>IF($C532="","",$H532-$L532)</f>
      </c>
      <c r="N532" s="42">
        <f>IF($C532="","",IF($I532="","추정 ESTIMATE","실제 ACTUAL"))</f>
      </c>
      <c r="O532" s="41">
        <f>IF($A532="","",SUMIFS('입금 Payments'!$C$3:$C$1002,'입금 Payments'!$B$3:$B$1002,$A532))</f>
      </c>
      <c r="P532" s="41">
        <f>IF($C532="","",ROUND($H532*(1+IF('설정 Settings'!$C$24="YES",'설정 Settings'!$C$26,0)),2)-N($O532))</f>
      </c>
      <c r="Q532" s="42">
        <f>IF($A532="","","INV-"&amp;$A532)</f>
      </c>
      <c r="R532" s="42">
        <f>IF($H532="","",IF($H532&gt;'설정 Settings'!$C$36,"$2,000 초과: e-Transfer 나눠 받기 (F36)",""))</f>
      </c>
    </row>
    <row r="533" spans="12:18" x14ac:dyDescent="0.25">
      <c r="L533" s="41">
        <f>IF($C533="","",IF($I533="",ROUND(IFERROR($H533*VLOOKUP($F533,'설정 Settings'!$A$122:$F$130,4,0)+VLOOKUP($F533,'설정 Settings'!$A$122:$F$130,5,0),0),2),$I533))</f>
      </c>
      <c r="M533" s="41">
        <f>IF($C533="","",$H533-$L533)</f>
      </c>
      <c r="N533" s="42">
        <f>IF($C533="","",IF($I533="","추정 ESTIMATE","실제 ACTUAL"))</f>
      </c>
      <c r="O533" s="41">
        <f>IF($A533="","",SUMIFS('입금 Payments'!$C$3:$C$1002,'입금 Payments'!$B$3:$B$1002,$A533))</f>
      </c>
      <c r="P533" s="41">
        <f>IF($C533="","",ROUND($H533*(1+IF('설정 Settings'!$C$24="YES",'설정 Settings'!$C$26,0)),2)-N($O533))</f>
      </c>
      <c r="Q533" s="42">
        <f>IF($A533="","","INV-"&amp;$A533)</f>
      </c>
      <c r="R533" s="42">
        <f>IF($H533="","",IF($H533&gt;'설정 Settings'!$C$36,"$2,000 초과: e-Transfer 나눠 받기 (F36)",""))</f>
      </c>
    </row>
    <row r="534" spans="12:18" x14ac:dyDescent="0.25">
      <c r="L534" s="41">
        <f>IF($C534="","",IF($I534="",ROUND(IFERROR($H534*VLOOKUP($F534,'설정 Settings'!$A$122:$F$130,4,0)+VLOOKUP($F534,'설정 Settings'!$A$122:$F$130,5,0),0),2),$I534))</f>
      </c>
      <c r="M534" s="41">
        <f>IF($C534="","",$H534-$L534)</f>
      </c>
      <c r="N534" s="42">
        <f>IF($C534="","",IF($I534="","추정 ESTIMATE","실제 ACTUAL"))</f>
      </c>
      <c r="O534" s="41">
        <f>IF($A534="","",SUMIFS('입금 Payments'!$C$3:$C$1002,'입금 Payments'!$B$3:$B$1002,$A534))</f>
      </c>
      <c r="P534" s="41">
        <f>IF($C534="","",ROUND($H534*(1+IF('설정 Settings'!$C$24="YES",'설정 Settings'!$C$26,0)),2)-N($O534))</f>
      </c>
      <c r="Q534" s="42">
        <f>IF($A534="","","INV-"&amp;$A534)</f>
      </c>
      <c r="R534" s="42">
        <f>IF($H534="","",IF($H534&gt;'설정 Settings'!$C$36,"$2,000 초과: e-Transfer 나눠 받기 (F36)",""))</f>
      </c>
    </row>
    <row r="535" spans="12:18" x14ac:dyDescent="0.25">
      <c r="L535" s="41">
        <f>IF($C535="","",IF($I535="",ROUND(IFERROR($H535*VLOOKUP($F535,'설정 Settings'!$A$122:$F$130,4,0)+VLOOKUP($F535,'설정 Settings'!$A$122:$F$130,5,0),0),2),$I535))</f>
      </c>
      <c r="M535" s="41">
        <f>IF($C535="","",$H535-$L535)</f>
      </c>
      <c r="N535" s="42">
        <f>IF($C535="","",IF($I535="","추정 ESTIMATE","실제 ACTUAL"))</f>
      </c>
      <c r="O535" s="41">
        <f>IF($A535="","",SUMIFS('입금 Payments'!$C$3:$C$1002,'입금 Payments'!$B$3:$B$1002,$A535))</f>
      </c>
      <c r="P535" s="41">
        <f>IF($C535="","",ROUND($H535*(1+IF('설정 Settings'!$C$24="YES",'설정 Settings'!$C$26,0)),2)-N($O535))</f>
      </c>
      <c r="Q535" s="42">
        <f>IF($A535="","","INV-"&amp;$A535)</f>
      </c>
      <c r="R535" s="42">
        <f>IF($H535="","",IF($H535&gt;'설정 Settings'!$C$36,"$2,000 초과: e-Transfer 나눠 받기 (F36)",""))</f>
      </c>
    </row>
    <row r="536" spans="12:18" x14ac:dyDescent="0.25">
      <c r="L536" s="41">
        <f>IF($C536="","",IF($I536="",ROUND(IFERROR($H536*VLOOKUP($F536,'설정 Settings'!$A$122:$F$130,4,0)+VLOOKUP($F536,'설정 Settings'!$A$122:$F$130,5,0),0),2),$I536))</f>
      </c>
      <c r="M536" s="41">
        <f>IF($C536="","",$H536-$L536)</f>
      </c>
      <c r="N536" s="42">
        <f>IF($C536="","",IF($I536="","추정 ESTIMATE","실제 ACTUAL"))</f>
      </c>
      <c r="O536" s="41">
        <f>IF($A536="","",SUMIFS('입금 Payments'!$C$3:$C$1002,'입금 Payments'!$B$3:$B$1002,$A536))</f>
      </c>
      <c r="P536" s="41">
        <f>IF($C536="","",ROUND($H536*(1+IF('설정 Settings'!$C$24="YES",'설정 Settings'!$C$26,0)),2)-N($O536))</f>
      </c>
      <c r="Q536" s="42">
        <f>IF($A536="","","INV-"&amp;$A536)</f>
      </c>
      <c r="R536" s="42">
        <f>IF($H536="","",IF($H536&gt;'설정 Settings'!$C$36,"$2,000 초과: e-Transfer 나눠 받기 (F36)",""))</f>
      </c>
    </row>
    <row r="537" spans="12:18" x14ac:dyDescent="0.25">
      <c r="L537" s="41">
        <f>IF($C537="","",IF($I537="",ROUND(IFERROR($H537*VLOOKUP($F537,'설정 Settings'!$A$122:$F$130,4,0)+VLOOKUP($F537,'설정 Settings'!$A$122:$F$130,5,0),0),2),$I537))</f>
      </c>
      <c r="M537" s="41">
        <f>IF($C537="","",$H537-$L537)</f>
      </c>
      <c r="N537" s="42">
        <f>IF($C537="","",IF($I537="","추정 ESTIMATE","실제 ACTUAL"))</f>
      </c>
      <c r="O537" s="41">
        <f>IF($A537="","",SUMIFS('입금 Payments'!$C$3:$C$1002,'입금 Payments'!$B$3:$B$1002,$A537))</f>
      </c>
      <c r="P537" s="41">
        <f>IF($C537="","",ROUND($H537*(1+IF('설정 Settings'!$C$24="YES",'설정 Settings'!$C$26,0)),2)-N($O537))</f>
      </c>
      <c r="Q537" s="42">
        <f>IF($A537="","","INV-"&amp;$A537)</f>
      </c>
      <c r="R537" s="42">
        <f>IF($H537="","",IF($H537&gt;'설정 Settings'!$C$36,"$2,000 초과: e-Transfer 나눠 받기 (F36)",""))</f>
      </c>
    </row>
    <row r="538" spans="12:18" x14ac:dyDescent="0.25">
      <c r="L538" s="41">
        <f>IF($C538="","",IF($I538="",ROUND(IFERROR($H538*VLOOKUP($F538,'설정 Settings'!$A$122:$F$130,4,0)+VLOOKUP($F538,'설정 Settings'!$A$122:$F$130,5,0),0),2),$I538))</f>
      </c>
      <c r="M538" s="41">
        <f>IF($C538="","",$H538-$L538)</f>
      </c>
      <c r="N538" s="42">
        <f>IF($C538="","",IF($I538="","추정 ESTIMATE","실제 ACTUAL"))</f>
      </c>
      <c r="O538" s="41">
        <f>IF($A538="","",SUMIFS('입금 Payments'!$C$3:$C$1002,'입금 Payments'!$B$3:$B$1002,$A538))</f>
      </c>
      <c r="P538" s="41">
        <f>IF($C538="","",ROUND($H538*(1+IF('설정 Settings'!$C$24="YES",'설정 Settings'!$C$26,0)),2)-N($O538))</f>
      </c>
      <c r="Q538" s="42">
        <f>IF($A538="","","INV-"&amp;$A538)</f>
      </c>
      <c r="R538" s="42">
        <f>IF($H538="","",IF($H538&gt;'설정 Settings'!$C$36,"$2,000 초과: e-Transfer 나눠 받기 (F36)",""))</f>
      </c>
    </row>
    <row r="539" spans="12:18" x14ac:dyDescent="0.25">
      <c r="L539" s="41">
        <f>IF($C539="","",IF($I539="",ROUND(IFERROR($H539*VLOOKUP($F539,'설정 Settings'!$A$122:$F$130,4,0)+VLOOKUP($F539,'설정 Settings'!$A$122:$F$130,5,0),0),2),$I539))</f>
      </c>
      <c r="M539" s="41">
        <f>IF($C539="","",$H539-$L539)</f>
      </c>
      <c r="N539" s="42">
        <f>IF($C539="","",IF($I539="","추정 ESTIMATE","실제 ACTUAL"))</f>
      </c>
      <c r="O539" s="41">
        <f>IF($A539="","",SUMIFS('입금 Payments'!$C$3:$C$1002,'입금 Payments'!$B$3:$B$1002,$A539))</f>
      </c>
      <c r="P539" s="41">
        <f>IF($C539="","",ROUND($H539*(1+IF('설정 Settings'!$C$24="YES",'설정 Settings'!$C$26,0)),2)-N($O539))</f>
      </c>
      <c r="Q539" s="42">
        <f>IF($A539="","","INV-"&amp;$A539)</f>
      </c>
      <c r="R539" s="42">
        <f>IF($H539="","",IF($H539&gt;'설정 Settings'!$C$36,"$2,000 초과: e-Transfer 나눠 받기 (F36)",""))</f>
      </c>
    </row>
    <row r="540" spans="12:18" x14ac:dyDescent="0.25">
      <c r="L540" s="41">
        <f>IF($C540="","",IF($I540="",ROUND(IFERROR($H540*VLOOKUP($F540,'설정 Settings'!$A$122:$F$130,4,0)+VLOOKUP($F540,'설정 Settings'!$A$122:$F$130,5,0),0),2),$I540))</f>
      </c>
      <c r="M540" s="41">
        <f>IF($C540="","",$H540-$L540)</f>
      </c>
      <c r="N540" s="42">
        <f>IF($C540="","",IF($I540="","추정 ESTIMATE","실제 ACTUAL"))</f>
      </c>
      <c r="O540" s="41">
        <f>IF($A540="","",SUMIFS('입금 Payments'!$C$3:$C$1002,'입금 Payments'!$B$3:$B$1002,$A540))</f>
      </c>
      <c r="P540" s="41">
        <f>IF($C540="","",ROUND($H540*(1+IF('설정 Settings'!$C$24="YES",'설정 Settings'!$C$26,0)),2)-N($O540))</f>
      </c>
      <c r="Q540" s="42">
        <f>IF($A540="","","INV-"&amp;$A540)</f>
      </c>
      <c r="R540" s="42">
        <f>IF($H540="","",IF($H540&gt;'설정 Settings'!$C$36,"$2,000 초과: e-Transfer 나눠 받기 (F36)",""))</f>
      </c>
    </row>
    <row r="541" spans="12:18" x14ac:dyDescent="0.25">
      <c r="L541" s="41">
        <f>IF($C541="","",IF($I541="",ROUND(IFERROR($H541*VLOOKUP($F541,'설정 Settings'!$A$122:$F$130,4,0)+VLOOKUP($F541,'설정 Settings'!$A$122:$F$130,5,0),0),2),$I541))</f>
      </c>
      <c r="M541" s="41">
        <f>IF($C541="","",$H541-$L541)</f>
      </c>
      <c r="N541" s="42">
        <f>IF($C541="","",IF($I541="","추정 ESTIMATE","실제 ACTUAL"))</f>
      </c>
      <c r="O541" s="41">
        <f>IF($A541="","",SUMIFS('입금 Payments'!$C$3:$C$1002,'입금 Payments'!$B$3:$B$1002,$A541))</f>
      </c>
      <c r="P541" s="41">
        <f>IF($C541="","",ROUND($H541*(1+IF('설정 Settings'!$C$24="YES",'설정 Settings'!$C$26,0)),2)-N($O541))</f>
      </c>
      <c r="Q541" s="42">
        <f>IF($A541="","","INV-"&amp;$A541)</f>
      </c>
      <c r="R541" s="42">
        <f>IF($H541="","",IF($H541&gt;'설정 Settings'!$C$36,"$2,000 초과: e-Transfer 나눠 받기 (F36)",""))</f>
      </c>
    </row>
    <row r="542" spans="12:18" x14ac:dyDescent="0.25">
      <c r="L542" s="41">
        <f>IF($C542="","",IF($I542="",ROUND(IFERROR($H542*VLOOKUP($F542,'설정 Settings'!$A$122:$F$130,4,0)+VLOOKUP($F542,'설정 Settings'!$A$122:$F$130,5,0),0),2),$I542))</f>
      </c>
      <c r="M542" s="41">
        <f>IF($C542="","",$H542-$L542)</f>
      </c>
      <c r="N542" s="42">
        <f>IF($C542="","",IF($I542="","추정 ESTIMATE","실제 ACTUAL"))</f>
      </c>
      <c r="O542" s="41">
        <f>IF($A542="","",SUMIFS('입금 Payments'!$C$3:$C$1002,'입금 Payments'!$B$3:$B$1002,$A542))</f>
      </c>
      <c r="P542" s="41">
        <f>IF($C542="","",ROUND($H542*(1+IF('설정 Settings'!$C$24="YES",'설정 Settings'!$C$26,0)),2)-N($O542))</f>
      </c>
      <c r="Q542" s="42">
        <f>IF($A542="","","INV-"&amp;$A542)</f>
      </c>
      <c r="R542" s="42">
        <f>IF($H542="","",IF($H542&gt;'설정 Settings'!$C$36,"$2,000 초과: e-Transfer 나눠 받기 (F36)",""))</f>
      </c>
    </row>
    <row r="543" spans="12:18" x14ac:dyDescent="0.25">
      <c r="L543" s="41">
        <f>IF($C543="","",IF($I543="",ROUND(IFERROR($H543*VLOOKUP($F543,'설정 Settings'!$A$122:$F$130,4,0)+VLOOKUP($F543,'설정 Settings'!$A$122:$F$130,5,0),0),2),$I543))</f>
      </c>
      <c r="M543" s="41">
        <f>IF($C543="","",$H543-$L543)</f>
      </c>
      <c r="N543" s="42">
        <f>IF($C543="","",IF($I543="","추정 ESTIMATE","실제 ACTUAL"))</f>
      </c>
      <c r="O543" s="41">
        <f>IF($A543="","",SUMIFS('입금 Payments'!$C$3:$C$1002,'입금 Payments'!$B$3:$B$1002,$A543))</f>
      </c>
      <c r="P543" s="41">
        <f>IF($C543="","",ROUND($H543*(1+IF('설정 Settings'!$C$24="YES",'설정 Settings'!$C$26,0)),2)-N($O543))</f>
      </c>
      <c r="Q543" s="42">
        <f>IF($A543="","","INV-"&amp;$A543)</f>
      </c>
      <c r="R543" s="42">
        <f>IF($H543="","",IF($H543&gt;'설정 Settings'!$C$36,"$2,000 초과: e-Transfer 나눠 받기 (F36)",""))</f>
      </c>
    </row>
    <row r="544" spans="12:18" x14ac:dyDescent="0.25">
      <c r="L544" s="41">
        <f>IF($C544="","",IF($I544="",ROUND(IFERROR($H544*VLOOKUP($F544,'설정 Settings'!$A$122:$F$130,4,0)+VLOOKUP($F544,'설정 Settings'!$A$122:$F$130,5,0),0),2),$I544))</f>
      </c>
      <c r="M544" s="41">
        <f>IF($C544="","",$H544-$L544)</f>
      </c>
      <c r="N544" s="42">
        <f>IF($C544="","",IF($I544="","추정 ESTIMATE","실제 ACTUAL"))</f>
      </c>
      <c r="O544" s="41">
        <f>IF($A544="","",SUMIFS('입금 Payments'!$C$3:$C$1002,'입금 Payments'!$B$3:$B$1002,$A544))</f>
      </c>
      <c r="P544" s="41">
        <f>IF($C544="","",ROUND($H544*(1+IF('설정 Settings'!$C$24="YES",'설정 Settings'!$C$26,0)),2)-N($O544))</f>
      </c>
      <c r="Q544" s="42">
        <f>IF($A544="","","INV-"&amp;$A544)</f>
      </c>
      <c r="R544" s="42">
        <f>IF($H544="","",IF($H544&gt;'설정 Settings'!$C$36,"$2,000 초과: e-Transfer 나눠 받기 (F36)",""))</f>
      </c>
    </row>
    <row r="545" spans="12:18" x14ac:dyDescent="0.25">
      <c r="L545" s="41">
        <f>IF($C545="","",IF($I545="",ROUND(IFERROR($H545*VLOOKUP($F545,'설정 Settings'!$A$122:$F$130,4,0)+VLOOKUP($F545,'설정 Settings'!$A$122:$F$130,5,0),0),2),$I545))</f>
      </c>
      <c r="M545" s="41">
        <f>IF($C545="","",$H545-$L545)</f>
      </c>
      <c r="N545" s="42">
        <f>IF($C545="","",IF($I545="","추정 ESTIMATE","실제 ACTUAL"))</f>
      </c>
      <c r="O545" s="41">
        <f>IF($A545="","",SUMIFS('입금 Payments'!$C$3:$C$1002,'입금 Payments'!$B$3:$B$1002,$A545))</f>
      </c>
      <c r="P545" s="41">
        <f>IF($C545="","",ROUND($H545*(1+IF('설정 Settings'!$C$24="YES",'설정 Settings'!$C$26,0)),2)-N($O545))</f>
      </c>
      <c r="Q545" s="42">
        <f>IF($A545="","","INV-"&amp;$A545)</f>
      </c>
      <c r="R545" s="42">
        <f>IF($H545="","",IF($H545&gt;'설정 Settings'!$C$36,"$2,000 초과: e-Transfer 나눠 받기 (F36)",""))</f>
      </c>
    </row>
    <row r="546" spans="12:18" x14ac:dyDescent="0.25">
      <c r="L546" s="41">
        <f>IF($C546="","",IF($I546="",ROUND(IFERROR($H546*VLOOKUP($F546,'설정 Settings'!$A$122:$F$130,4,0)+VLOOKUP($F546,'설정 Settings'!$A$122:$F$130,5,0),0),2),$I546))</f>
      </c>
      <c r="M546" s="41">
        <f>IF($C546="","",$H546-$L546)</f>
      </c>
      <c r="N546" s="42">
        <f>IF($C546="","",IF($I546="","추정 ESTIMATE","실제 ACTUAL"))</f>
      </c>
      <c r="O546" s="41">
        <f>IF($A546="","",SUMIFS('입금 Payments'!$C$3:$C$1002,'입금 Payments'!$B$3:$B$1002,$A546))</f>
      </c>
      <c r="P546" s="41">
        <f>IF($C546="","",ROUND($H546*(1+IF('설정 Settings'!$C$24="YES",'설정 Settings'!$C$26,0)),2)-N($O546))</f>
      </c>
      <c r="Q546" s="42">
        <f>IF($A546="","","INV-"&amp;$A546)</f>
      </c>
      <c r="R546" s="42">
        <f>IF($H546="","",IF($H546&gt;'설정 Settings'!$C$36,"$2,000 초과: e-Transfer 나눠 받기 (F36)",""))</f>
      </c>
    </row>
    <row r="547" spans="12:18" x14ac:dyDescent="0.25">
      <c r="L547" s="41">
        <f>IF($C547="","",IF($I547="",ROUND(IFERROR($H547*VLOOKUP($F547,'설정 Settings'!$A$122:$F$130,4,0)+VLOOKUP($F547,'설정 Settings'!$A$122:$F$130,5,0),0),2),$I547))</f>
      </c>
      <c r="M547" s="41">
        <f>IF($C547="","",$H547-$L547)</f>
      </c>
      <c r="N547" s="42">
        <f>IF($C547="","",IF($I547="","추정 ESTIMATE","실제 ACTUAL"))</f>
      </c>
      <c r="O547" s="41">
        <f>IF($A547="","",SUMIFS('입금 Payments'!$C$3:$C$1002,'입금 Payments'!$B$3:$B$1002,$A547))</f>
      </c>
      <c r="P547" s="41">
        <f>IF($C547="","",ROUND($H547*(1+IF('설정 Settings'!$C$24="YES",'설정 Settings'!$C$26,0)),2)-N($O547))</f>
      </c>
      <c r="Q547" s="42">
        <f>IF($A547="","","INV-"&amp;$A547)</f>
      </c>
      <c r="R547" s="42">
        <f>IF($H547="","",IF($H547&gt;'설정 Settings'!$C$36,"$2,000 초과: e-Transfer 나눠 받기 (F36)",""))</f>
      </c>
    </row>
    <row r="548" spans="12:18" x14ac:dyDescent="0.25">
      <c r="L548" s="41">
        <f>IF($C548="","",IF($I548="",ROUND(IFERROR($H548*VLOOKUP($F548,'설정 Settings'!$A$122:$F$130,4,0)+VLOOKUP($F548,'설정 Settings'!$A$122:$F$130,5,0),0),2),$I548))</f>
      </c>
      <c r="M548" s="41">
        <f>IF($C548="","",$H548-$L548)</f>
      </c>
      <c r="N548" s="42">
        <f>IF($C548="","",IF($I548="","추정 ESTIMATE","실제 ACTUAL"))</f>
      </c>
      <c r="O548" s="41">
        <f>IF($A548="","",SUMIFS('입금 Payments'!$C$3:$C$1002,'입금 Payments'!$B$3:$B$1002,$A548))</f>
      </c>
      <c r="P548" s="41">
        <f>IF($C548="","",ROUND($H548*(1+IF('설정 Settings'!$C$24="YES",'설정 Settings'!$C$26,0)),2)-N($O548))</f>
      </c>
      <c r="Q548" s="42">
        <f>IF($A548="","","INV-"&amp;$A548)</f>
      </c>
      <c r="R548" s="42">
        <f>IF($H548="","",IF($H548&gt;'설정 Settings'!$C$36,"$2,000 초과: e-Transfer 나눠 받기 (F36)",""))</f>
      </c>
    </row>
    <row r="549" spans="12:18" x14ac:dyDescent="0.25">
      <c r="L549" s="41">
        <f>IF($C549="","",IF($I549="",ROUND(IFERROR($H549*VLOOKUP($F549,'설정 Settings'!$A$122:$F$130,4,0)+VLOOKUP($F549,'설정 Settings'!$A$122:$F$130,5,0),0),2),$I549))</f>
      </c>
      <c r="M549" s="41">
        <f>IF($C549="","",$H549-$L549)</f>
      </c>
      <c r="N549" s="42">
        <f>IF($C549="","",IF($I549="","추정 ESTIMATE","실제 ACTUAL"))</f>
      </c>
      <c r="O549" s="41">
        <f>IF($A549="","",SUMIFS('입금 Payments'!$C$3:$C$1002,'입금 Payments'!$B$3:$B$1002,$A549))</f>
      </c>
      <c r="P549" s="41">
        <f>IF($C549="","",ROUND($H549*(1+IF('설정 Settings'!$C$24="YES",'설정 Settings'!$C$26,0)),2)-N($O549))</f>
      </c>
      <c r="Q549" s="42">
        <f>IF($A549="","","INV-"&amp;$A549)</f>
      </c>
      <c r="R549" s="42">
        <f>IF($H549="","",IF($H549&gt;'설정 Settings'!$C$36,"$2,000 초과: e-Transfer 나눠 받기 (F36)",""))</f>
      </c>
    </row>
    <row r="550" spans="12:18" x14ac:dyDescent="0.25">
      <c r="L550" s="41">
        <f>IF($C550="","",IF($I550="",ROUND(IFERROR($H550*VLOOKUP($F550,'설정 Settings'!$A$122:$F$130,4,0)+VLOOKUP($F550,'설정 Settings'!$A$122:$F$130,5,0),0),2),$I550))</f>
      </c>
      <c r="M550" s="41">
        <f>IF($C550="","",$H550-$L550)</f>
      </c>
      <c r="N550" s="42">
        <f>IF($C550="","",IF($I550="","추정 ESTIMATE","실제 ACTUAL"))</f>
      </c>
      <c r="O550" s="41">
        <f>IF($A550="","",SUMIFS('입금 Payments'!$C$3:$C$1002,'입금 Payments'!$B$3:$B$1002,$A550))</f>
      </c>
      <c r="P550" s="41">
        <f>IF($C550="","",ROUND($H550*(1+IF('설정 Settings'!$C$24="YES",'설정 Settings'!$C$26,0)),2)-N($O550))</f>
      </c>
      <c r="Q550" s="42">
        <f>IF($A550="","","INV-"&amp;$A550)</f>
      </c>
      <c r="R550" s="42">
        <f>IF($H550="","",IF($H550&gt;'설정 Settings'!$C$36,"$2,000 초과: e-Transfer 나눠 받기 (F36)",""))</f>
      </c>
    </row>
    <row r="551" spans="12:18" x14ac:dyDescent="0.25">
      <c r="L551" s="41">
        <f>IF($C551="","",IF($I551="",ROUND(IFERROR($H551*VLOOKUP($F551,'설정 Settings'!$A$122:$F$130,4,0)+VLOOKUP($F551,'설정 Settings'!$A$122:$F$130,5,0),0),2),$I551))</f>
      </c>
      <c r="M551" s="41">
        <f>IF($C551="","",$H551-$L551)</f>
      </c>
      <c r="N551" s="42">
        <f>IF($C551="","",IF($I551="","추정 ESTIMATE","실제 ACTUAL"))</f>
      </c>
      <c r="O551" s="41">
        <f>IF($A551="","",SUMIFS('입금 Payments'!$C$3:$C$1002,'입금 Payments'!$B$3:$B$1002,$A551))</f>
      </c>
      <c r="P551" s="41">
        <f>IF($C551="","",ROUND($H551*(1+IF('설정 Settings'!$C$24="YES",'설정 Settings'!$C$26,0)),2)-N($O551))</f>
      </c>
      <c r="Q551" s="42">
        <f>IF($A551="","","INV-"&amp;$A551)</f>
      </c>
      <c r="R551" s="42">
        <f>IF($H551="","",IF($H551&gt;'설정 Settings'!$C$36,"$2,000 초과: e-Transfer 나눠 받기 (F36)",""))</f>
      </c>
    </row>
    <row r="552" spans="12:18" x14ac:dyDescent="0.25">
      <c r="L552" s="41">
        <f>IF($C552="","",IF($I552="",ROUND(IFERROR($H552*VLOOKUP($F552,'설정 Settings'!$A$122:$F$130,4,0)+VLOOKUP($F552,'설정 Settings'!$A$122:$F$130,5,0),0),2),$I552))</f>
      </c>
      <c r="M552" s="41">
        <f>IF($C552="","",$H552-$L552)</f>
      </c>
      <c r="N552" s="42">
        <f>IF($C552="","",IF($I552="","추정 ESTIMATE","실제 ACTUAL"))</f>
      </c>
      <c r="O552" s="41">
        <f>IF($A552="","",SUMIFS('입금 Payments'!$C$3:$C$1002,'입금 Payments'!$B$3:$B$1002,$A552))</f>
      </c>
      <c r="P552" s="41">
        <f>IF($C552="","",ROUND($H552*(1+IF('설정 Settings'!$C$24="YES",'설정 Settings'!$C$26,0)),2)-N($O552))</f>
      </c>
      <c r="Q552" s="42">
        <f>IF($A552="","","INV-"&amp;$A552)</f>
      </c>
      <c r="R552" s="42">
        <f>IF($H552="","",IF($H552&gt;'설정 Settings'!$C$36,"$2,000 초과: e-Transfer 나눠 받기 (F36)",""))</f>
      </c>
    </row>
    <row r="553" spans="12:18" x14ac:dyDescent="0.25">
      <c r="L553" s="41">
        <f>IF($C553="","",IF($I553="",ROUND(IFERROR($H553*VLOOKUP($F553,'설정 Settings'!$A$122:$F$130,4,0)+VLOOKUP($F553,'설정 Settings'!$A$122:$F$130,5,0),0),2),$I553))</f>
      </c>
      <c r="M553" s="41">
        <f>IF($C553="","",$H553-$L553)</f>
      </c>
      <c r="N553" s="42">
        <f>IF($C553="","",IF($I553="","추정 ESTIMATE","실제 ACTUAL"))</f>
      </c>
      <c r="O553" s="41">
        <f>IF($A553="","",SUMIFS('입금 Payments'!$C$3:$C$1002,'입금 Payments'!$B$3:$B$1002,$A553))</f>
      </c>
      <c r="P553" s="41">
        <f>IF($C553="","",ROUND($H553*(1+IF('설정 Settings'!$C$24="YES",'설정 Settings'!$C$26,0)),2)-N($O553))</f>
      </c>
      <c r="Q553" s="42">
        <f>IF($A553="","","INV-"&amp;$A553)</f>
      </c>
      <c r="R553" s="42">
        <f>IF($H553="","",IF($H553&gt;'설정 Settings'!$C$36,"$2,000 초과: e-Transfer 나눠 받기 (F36)",""))</f>
      </c>
    </row>
    <row r="554" spans="12:18" x14ac:dyDescent="0.25">
      <c r="L554" s="41">
        <f>IF($C554="","",IF($I554="",ROUND(IFERROR($H554*VLOOKUP($F554,'설정 Settings'!$A$122:$F$130,4,0)+VLOOKUP($F554,'설정 Settings'!$A$122:$F$130,5,0),0),2),$I554))</f>
      </c>
      <c r="M554" s="41">
        <f>IF($C554="","",$H554-$L554)</f>
      </c>
      <c r="N554" s="42">
        <f>IF($C554="","",IF($I554="","추정 ESTIMATE","실제 ACTUAL"))</f>
      </c>
      <c r="O554" s="41">
        <f>IF($A554="","",SUMIFS('입금 Payments'!$C$3:$C$1002,'입금 Payments'!$B$3:$B$1002,$A554))</f>
      </c>
      <c r="P554" s="41">
        <f>IF($C554="","",ROUND($H554*(1+IF('설정 Settings'!$C$24="YES",'설정 Settings'!$C$26,0)),2)-N($O554))</f>
      </c>
      <c r="Q554" s="42">
        <f>IF($A554="","","INV-"&amp;$A554)</f>
      </c>
      <c r="R554" s="42">
        <f>IF($H554="","",IF($H554&gt;'설정 Settings'!$C$36,"$2,000 초과: e-Transfer 나눠 받기 (F36)",""))</f>
      </c>
    </row>
    <row r="555" spans="12:18" x14ac:dyDescent="0.25">
      <c r="L555" s="41">
        <f>IF($C555="","",IF($I555="",ROUND(IFERROR($H555*VLOOKUP($F555,'설정 Settings'!$A$122:$F$130,4,0)+VLOOKUP($F555,'설정 Settings'!$A$122:$F$130,5,0),0),2),$I555))</f>
      </c>
      <c r="M555" s="41">
        <f>IF($C555="","",$H555-$L555)</f>
      </c>
      <c r="N555" s="42">
        <f>IF($C555="","",IF($I555="","추정 ESTIMATE","실제 ACTUAL"))</f>
      </c>
      <c r="O555" s="41">
        <f>IF($A555="","",SUMIFS('입금 Payments'!$C$3:$C$1002,'입금 Payments'!$B$3:$B$1002,$A555))</f>
      </c>
      <c r="P555" s="41">
        <f>IF($C555="","",ROUND($H555*(1+IF('설정 Settings'!$C$24="YES",'설정 Settings'!$C$26,0)),2)-N($O555))</f>
      </c>
      <c r="Q555" s="42">
        <f>IF($A555="","","INV-"&amp;$A555)</f>
      </c>
      <c r="R555" s="42">
        <f>IF($H555="","",IF($H555&gt;'설정 Settings'!$C$36,"$2,000 초과: e-Transfer 나눠 받기 (F36)",""))</f>
      </c>
    </row>
    <row r="556" spans="12:18" x14ac:dyDescent="0.25">
      <c r="L556" s="41">
        <f>IF($C556="","",IF($I556="",ROUND(IFERROR($H556*VLOOKUP($F556,'설정 Settings'!$A$122:$F$130,4,0)+VLOOKUP($F556,'설정 Settings'!$A$122:$F$130,5,0),0),2),$I556))</f>
      </c>
      <c r="M556" s="41">
        <f>IF($C556="","",$H556-$L556)</f>
      </c>
      <c r="N556" s="42">
        <f>IF($C556="","",IF($I556="","추정 ESTIMATE","실제 ACTUAL"))</f>
      </c>
      <c r="O556" s="41">
        <f>IF($A556="","",SUMIFS('입금 Payments'!$C$3:$C$1002,'입금 Payments'!$B$3:$B$1002,$A556))</f>
      </c>
      <c r="P556" s="41">
        <f>IF($C556="","",ROUND($H556*(1+IF('설정 Settings'!$C$24="YES",'설정 Settings'!$C$26,0)),2)-N($O556))</f>
      </c>
      <c r="Q556" s="42">
        <f>IF($A556="","","INV-"&amp;$A556)</f>
      </c>
      <c r="R556" s="42">
        <f>IF($H556="","",IF($H556&gt;'설정 Settings'!$C$36,"$2,000 초과: e-Transfer 나눠 받기 (F36)",""))</f>
      </c>
    </row>
    <row r="557" spans="12:18" x14ac:dyDescent="0.25">
      <c r="L557" s="41">
        <f>IF($C557="","",IF($I557="",ROUND(IFERROR($H557*VLOOKUP($F557,'설정 Settings'!$A$122:$F$130,4,0)+VLOOKUP($F557,'설정 Settings'!$A$122:$F$130,5,0),0),2),$I557))</f>
      </c>
      <c r="M557" s="41">
        <f>IF($C557="","",$H557-$L557)</f>
      </c>
      <c r="N557" s="42">
        <f>IF($C557="","",IF($I557="","추정 ESTIMATE","실제 ACTUAL"))</f>
      </c>
      <c r="O557" s="41">
        <f>IF($A557="","",SUMIFS('입금 Payments'!$C$3:$C$1002,'입금 Payments'!$B$3:$B$1002,$A557))</f>
      </c>
      <c r="P557" s="41">
        <f>IF($C557="","",ROUND($H557*(1+IF('설정 Settings'!$C$24="YES",'설정 Settings'!$C$26,0)),2)-N($O557))</f>
      </c>
      <c r="Q557" s="42">
        <f>IF($A557="","","INV-"&amp;$A557)</f>
      </c>
      <c r="R557" s="42">
        <f>IF($H557="","",IF($H557&gt;'설정 Settings'!$C$36,"$2,000 초과: e-Transfer 나눠 받기 (F36)",""))</f>
      </c>
    </row>
    <row r="558" spans="12:18" x14ac:dyDescent="0.25">
      <c r="L558" s="41">
        <f>IF($C558="","",IF($I558="",ROUND(IFERROR($H558*VLOOKUP($F558,'설정 Settings'!$A$122:$F$130,4,0)+VLOOKUP($F558,'설정 Settings'!$A$122:$F$130,5,0),0),2),$I558))</f>
      </c>
      <c r="M558" s="41">
        <f>IF($C558="","",$H558-$L558)</f>
      </c>
      <c r="N558" s="42">
        <f>IF($C558="","",IF($I558="","추정 ESTIMATE","실제 ACTUAL"))</f>
      </c>
      <c r="O558" s="41">
        <f>IF($A558="","",SUMIFS('입금 Payments'!$C$3:$C$1002,'입금 Payments'!$B$3:$B$1002,$A558))</f>
      </c>
      <c r="P558" s="41">
        <f>IF($C558="","",ROUND($H558*(1+IF('설정 Settings'!$C$24="YES",'설정 Settings'!$C$26,0)),2)-N($O558))</f>
      </c>
      <c r="Q558" s="42">
        <f>IF($A558="","","INV-"&amp;$A558)</f>
      </c>
      <c r="R558" s="42">
        <f>IF($H558="","",IF($H558&gt;'설정 Settings'!$C$36,"$2,000 초과: e-Transfer 나눠 받기 (F36)",""))</f>
      </c>
    </row>
    <row r="559" spans="12:18" x14ac:dyDescent="0.25">
      <c r="L559" s="41">
        <f>IF($C559="","",IF($I559="",ROUND(IFERROR($H559*VLOOKUP($F559,'설정 Settings'!$A$122:$F$130,4,0)+VLOOKUP($F559,'설정 Settings'!$A$122:$F$130,5,0),0),2),$I559))</f>
      </c>
      <c r="M559" s="41">
        <f>IF($C559="","",$H559-$L559)</f>
      </c>
      <c r="N559" s="42">
        <f>IF($C559="","",IF($I559="","추정 ESTIMATE","실제 ACTUAL"))</f>
      </c>
      <c r="O559" s="41">
        <f>IF($A559="","",SUMIFS('입금 Payments'!$C$3:$C$1002,'입금 Payments'!$B$3:$B$1002,$A559))</f>
      </c>
      <c r="P559" s="41">
        <f>IF($C559="","",ROUND($H559*(1+IF('설정 Settings'!$C$24="YES",'설정 Settings'!$C$26,0)),2)-N($O559))</f>
      </c>
      <c r="Q559" s="42">
        <f>IF($A559="","","INV-"&amp;$A559)</f>
      </c>
      <c r="R559" s="42">
        <f>IF($H559="","",IF($H559&gt;'설정 Settings'!$C$36,"$2,000 초과: e-Transfer 나눠 받기 (F36)",""))</f>
      </c>
    </row>
    <row r="560" spans="12:18" x14ac:dyDescent="0.25">
      <c r="L560" s="41">
        <f>IF($C560="","",IF($I560="",ROUND(IFERROR($H560*VLOOKUP($F560,'설정 Settings'!$A$122:$F$130,4,0)+VLOOKUP($F560,'설정 Settings'!$A$122:$F$130,5,0),0),2),$I560))</f>
      </c>
      <c r="M560" s="41">
        <f>IF($C560="","",$H560-$L560)</f>
      </c>
      <c r="N560" s="42">
        <f>IF($C560="","",IF($I560="","추정 ESTIMATE","실제 ACTUAL"))</f>
      </c>
      <c r="O560" s="41">
        <f>IF($A560="","",SUMIFS('입금 Payments'!$C$3:$C$1002,'입금 Payments'!$B$3:$B$1002,$A560))</f>
      </c>
      <c r="P560" s="41">
        <f>IF($C560="","",ROUND($H560*(1+IF('설정 Settings'!$C$24="YES",'설정 Settings'!$C$26,0)),2)-N($O560))</f>
      </c>
      <c r="Q560" s="42">
        <f>IF($A560="","","INV-"&amp;$A560)</f>
      </c>
      <c r="R560" s="42">
        <f>IF($H560="","",IF($H560&gt;'설정 Settings'!$C$36,"$2,000 초과: e-Transfer 나눠 받기 (F36)",""))</f>
      </c>
    </row>
    <row r="561" spans="12:18" x14ac:dyDescent="0.25">
      <c r="L561" s="41">
        <f>IF($C561="","",IF($I561="",ROUND(IFERROR($H561*VLOOKUP($F561,'설정 Settings'!$A$122:$F$130,4,0)+VLOOKUP($F561,'설정 Settings'!$A$122:$F$130,5,0),0),2),$I561))</f>
      </c>
      <c r="M561" s="41">
        <f>IF($C561="","",$H561-$L561)</f>
      </c>
      <c r="N561" s="42">
        <f>IF($C561="","",IF($I561="","추정 ESTIMATE","실제 ACTUAL"))</f>
      </c>
      <c r="O561" s="41">
        <f>IF($A561="","",SUMIFS('입금 Payments'!$C$3:$C$1002,'입금 Payments'!$B$3:$B$1002,$A561))</f>
      </c>
      <c r="P561" s="41">
        <f>IF($C561="","",ROUND($H561*(1+IF('설정 Settings'!$C$24="YES",'설정 Settings'!$C$26,0)),2)-N($O561))</f>
      </c>
      <c r="Q561" s="42">
        <f>IF($A561="","","INV-"&amp;$A561)</f>
      </c>
      <c r="R561" s="42">
        <f>IF($H561="","",IF($H561&gt;'설정 Settings'!$C$36,"$2,000 초과: e-Transfer 나눠 받기 (F36)",""))</f>
      </c>
    </row>
    <row r="562" spans="12:18" x14ac:dyDescent="0.25">
      <c r="L562" s="41">
        <f>IF($C562="","",IF($I562="",ROUND(IFERROR($H562*VLOOKUP($F562,'설정 Settings'!$A$122:$F$130,4,0)+VLOOKUP($F562,'설정 Settings'!$A$122:$F$130,5,0),0),2),$I562))</f>
      </c>
      <c r="M562" s="41">
        <f>IF($C562="","",$H562-$L562)</f>
      </c>
      <c r="N562" s="42">
        <f>IF($C562="","",IF($I562="","추정 ESTIMATE","실제 ACTUAL"))</f>
      </c>
      <c r="O562" s="41">
        <f>IF($A562="","",SUMIFS('입금 Payments'!$C$3:$C$1002,'입금 Payments'!$B$3:$B$1002,$A562))</f>
      </c>
      <c r="P562" s="41">
        <f>IF($C562="","",ROUND($H562*(1+IF('설정 Settings'!$C$24="YES",'설정 Settings'!$C$26,0)),2)-N($O562))</f>
      </c>
      <c r="Q562" s="42">
        <f>IF($A562="","","INV-"&amp;$A562)</f>
      </c>
      <c r="R562" s="42">
        <f>IF($H562="","",IF($H562&gt;'설정 Settings'!$C$36,"$2,000 초과: e-Transfer 나눠 받기 (F36)",""))</f>
      </c>
    </row>
    <row r="563" spans="12:18" x14ac:dyDescent="0.25">
      <c r="L563" s="41">
        <f>IF($C563="","",IF($I563="",ROUND(IFERROR($H563*VLOOKUP($F563,'설정 Settings'!$A$122:$F$130,4,0)+VLOOKUP($F563,'설정 Settings'!$A$122:$F$130,5,0),0),2),$I563))</f>
      </c>
      <c r="M563" s="41">
        <f>IF($C563="","",$H563-$L563)</f>
      </c>
      <c r="N563" s="42">
        <f>IF($C563="","",IF($I563="","추정 ESTIMATE","실제 ACTUAL"))</f>
      </c>
      <c r="O563" s="41">
        <f>IF($A563="","",SUMIFS('입금 Payments'!$C$3:$C$1002,'입금 Payments'!$B$3:$B$1002,$A563))</f>
      </c>
      <c r="P563" s="41">
        <f>IF($C563="","",ROUND($H563*(1+IF('설정 Settings'!$C$24="YES",'설정 Settings'!$C$26,0)),2)-N($O563))</f>
      </c>
      <c r="Q563" s="42">
        <f>IF($A563="","","INV-"&amp;$A563)</f>
      </c>
      <c r="R563" s="42">
        <f>IF($H563="","",IF($H563&gt;'설정 Settings'!$C$36,"$2,000 초과: e-Transfer 나눠 받기 (F36)",""))</f>
      </c>
    </row>
    <row r="564" spans="12:18" x14ac:dyDescent="0.25">
      <c r="L564" s="41">
        <f>IF($C564="","",IF($I564="",ROUND(IFERROR($H564*VLOOKUP($F564,'설정 Settings'!$A$122:$F$130,4,0)+VLOOKUP($F564,'설정 Settings'!$A$122:$F$130,5,0),0),2),$I564))</f>
      </c>
      <c r="M564" s="41">
        <f>IF($C564="","",$H564-$L564)</f>
      </c>
      <c r="N564" s="42">
        <f>IF($C564="","",IF($I564="","추정 ESTIMATE","실제 ACTUAL"))</f>
      </c>
      <c r="O564" s="41">
        <f>IF($A564="","",SUMIFS('입금 Payments'!$C$3:$C$1002,'입금 Payments'!$B$3:$B$1002,$A564))</f>
      </c>
      <c r="P564" s="41">
        <f>IF($C564="","",ROUND($H564*(1+IF('설정 Settings'!$C$24="YES",'설정 Settings'!$C$26,0)),2)-N($O564))</f>
      </c>
      <c r="Q564" s="42">
        <f>IF($A564="","","INV-"&amp;$A564)</f>
      </c>
      <c r="R564" s="42">
        <f>IF($H564="","",IF($H564&gt;'설정 Settings'!$C$36,"$2,000 초과: e-Transfer 나눠 받기 (F36)",""))</f>
      </c>
    </row>
    <row r="565" spans="12:18" x14ac:dyDescent="0.25">
      <c r="L565" s="41">
        <f>IF($C565="","",IF($I565="",ROUND(IFERROR($H565*VLOOKUP($F565,'설정 Settings'!$A$122:$F$130,4,0)+VLOOKUP($F565,'설정 Settings'!$A$122:$F$130,5,0),0),2),$I565))</f>
      </c>
      <c r="M565" s="41">
        <f>IF($C565="","",$H565-$L565)</f>
      </c>
      <c r="N565" s="42">
        <f>IF($C565="","",IF($I565="","추정 ESTIMATE","실제 ACTUAL"))</f>
      </c>
      <c r="O565" s="41">
        <f>IF($A565="","",SUMIFS('입금 Payments'!$C$3:$C$1002,'입금 Payments'!$B$3:$B$1002,$A565))</f>
      </c>
      <c r="P565" s="41">
        <f>IF($C565="","",ROUND($H565*(1+IF('설정 Settings'!$C$24="YES",'설정 Settings'!$C$26,0)),2)-N($O565))</f>
      </c>
      <c r="Q565" s="42">
        <f>IF($A565="","","INV-"&amp;$A565)</f>
      </c>
      <c r="R565" s="42">
        <f>IF($H565="","",IF($H565&gt;'설정 Settings'!$C$36,"$2,000 초과: e-Transfer 나눠 받기 (F36)",""))</f>
      </c>
    </row>
    <row r="566" spans="12:18" x14ac:dyDescent="0.25">
      <c r="L566" s="41">
        <f>IF($C566="","",IF($I566="",ROUND(IFERROR($H566*VLOOKUP($F566,'설정 Settings'!$A$122:$F$130,4,0)+VLOOKUP($F566,'설정 Settings'!$A$122:$F$130,5,0),0),2),$I566))</f>
      </c>
      <c r="M566" s="41">
        <f>IF($C566="","",$H566-$L566)</f>
      </c>
      <c r="N566" s="42">
        <f>IF($C566="","",IF($I566="","추정 ESTIMATE","실제 ACTUAL"))</f>
      </c>
      <c r="O566" s="41">
        <f>IF($A566="","",SUMIFS('입금 Payments'!$C$3:$C$1002,'입금 Payments'!$B$3:$B$1002,$A566))</f>
      </c>
      <c r="P566" s="41">
        <f>IF($C566="","",ROUND($H566*(1+IF('설정 Settings'!$C$24="YES",'설정 Settings'!$C$26,0)),2)-N($O566))</f>
      </c>
      <c r="Q566" s="42">
        <f>IF($A566="","","INV-"&amp;$A566)</f>
      </c>
      <c r="R566" s="42">
        <f>IF($H566="","",IF($H566&gt;'설정 Settings'!$C$36,"$2,000 초과: e-Transfer 나눠 받기 (F36)",""))</f>
      </c>
    </row>
    <row r="567" spans="12:18" x14ac:dyDescent="0.25">
      <c r="L567" s="41">
        <f>IF($C567="","",IF($I567="",ROUND(IFERROR($H567*VLOOKUP($F567,'설정 Settings'!$A$122:$F$130,4,0)+VLOOKUP($F567,'설정 Settings'!$A$122:$F$130,5,0),0),2),$I567))</f>
      </c>
      <c r="M567" s="41">
        <f>IF($C567="","",$H567-$L567)</f>
      </c>
      <c r="N567" s="42">
        <f>IF($C567="","",IF($I567="","추정 ESTIMATE","실제 ACTUAL"))</f>
      </c>
      <c r="O567" s="41">
        <f>IF($A567="","",SUMIFS('입금 Payments'!$C$3:$C$1002,'입금 Payments'!$B$3:$B$1002,$A567))</f>
      </c>
      <c r="P567" s="41">
        <f>IF($C567="","",ROUND($H567*(1+IF('설정 Settings'!$C$24="YES",'설정 Settings'!$C$26,0)),2)-N($O567))</f>
      </c>
      <c r="Q567" s="42">
        <f>IF($A567="","","INV-"&amp;$A567)</f>
      </c>
      <c r="R567" s="42">
        <f>IF($H567="","",IF($H567&gt;'설정 Settings'!$C$36,"$2,000 초과: e-Transfer 나눠 받기 (F36)",""))</f>
      </c>
    </row>
    <row r="568" spans="12:18" x14ac:dyDescent="0.25">
      <c r="L568" s="41">
        <f>IF($C568="","",IF($I568="",ROUND(IFERROR($H568*VLOOKUP($F568,'설정 Settings'!$A$122:$F$130,4,0)+VLOOKUP($F568,'설정 Settings'!$A$122:$F$130,5,0),0),2),$I568))</f>
      </c>
      <c r="M568" s="41">
        <f>IF($C568="","",$H568-$L568)</f>
      </c>
      <c r="N568" s="42">
        <f>IF($C568="","",IF($I568="","추정 ESTIMATE","실제 ACTUAL"))</f>
      </c>
      <c r="O568" s="41">
        <f>IF($A568="","",SUMIFS('입금 Payments'!$C$3:$C$1002,'입금 Payments'!$B$3:$B$1002,$A568))</f>
      </c>
      <c r="P568" s="41">
        <f>IF($C568="","",ROUND($H568*(1+IF('설정 Settings'!$C$24="YES",'설정 Settings'!$C$26,0)),2)-N($O568))</f>
      </c>
      <c r="Q568" s="42">
        <f>IF($A568="","","INV-"&amp;$A568)</f>
      </c>
      <c r="R568" s="42">
        <f>IF($H568="","",IF($H568&gt;'설정 Settings'!$C$36,"$2,000 초과: e-Transfer 나눠 받기 (F36)",""))</f>
      </c>
    </row>
    <row r="569" spans="12:18" x14ac:dyDescent="0.25">
      <c r="L569" s="41">
        <f>IF($C569="","",IF($I569="",ROUND(IFERROR($H569*VLOOKUP($F569,'설정 Settings'!$A$122:$F$130,4,0)+VLOOKUP($F569,'설정 Settings'!$A$122:$F$130,5,0),0),2),$I569))</f>
      </c>
      <c r="M569" s="41">
        <f>IF($C569="","",$H569-$L569)</f>
      </c>
      <c r="N569" s="42">
        <f>IF($C569="","",IF($I569="","추정 ESTIMATE","실제 ACTUAL"))</f>
      </c>
      <c r="O569" s="41">
        <f>IF($A569="","",SUMIFS('입금 Payments'!$C$3:$C$1002,'입금 Payments'!$B$3:$B$1002,$A569))</f>
      </c>
      <c r="P569" s="41">
        <f>IF($C569="","",ROUND($H569*(1+IF('설정 Settings'!$C$24="YES",'설정 Settings'!$C$26,0)),2)-N($O569))</f>
      </c>
      <c r="Q569" s="42">
        <f>IF($A569="","","INV-"&amp;$A569)</f>
      </c>
      <c r="R569" s="42">
        <f>IF($H569="","",IF($H569&gt;'설정 Settings'!$C$36,"$2,000 초과: e-Transfer 나눠 받기 (F36)",""))</f>
      </c>
    </row>
    <row r="570" spans="12:18" x14ac:dyDescent="0.25">
      <c r="L570" s="41">
        <f>IF($C570="","",IF($I570="",ROUND(IFERROR($H570*VLOOKUP($F570,'설정 Settings'!$A$122:$F$130,4,0)+VLOOKUP($F570,'설정 Settings'!$A$122:$F$130,5,0),0),2),$I570))</f>
      </c>
      <c r="M570" s="41">
        <f>IF($C570="","",$H570-$L570)</f>
      </c>
      <c r="N570" s="42">
        <f>IF($C570="","",IF($I570="","추정 ESTIMATE","실제 ACTUAL"))</f>
      </c>
      <c r="O570" s="41">
        <f>IF($A570="","",SUMIFS('입금 Payments'!$C$3:$C$1002,'입금 Payments'!$B$3:$B$1002,$A570))</f>
      </c>
      <c r="P570" s="41">
        <f>IF($C570="","",ROUND($H570*(1+IF('설정 Settings'!$C$24="YES",'설정 Settings'!$C$26,0)),2)-N($O570))</f>
      </c>
      <c r="Q570" s="42">
        <f>IF($A570="","","INV-"&amp;$A570)</f>
      </c>
      <c r="R570" s="42">
        <f>IF($H570="","",IF($H570&gt;'설정 Settings'!$C$36,"$2,000 초과: e-Transfer 나눠 받기 (F36)",""))</f>
      </c>
    </row>
    <row r="571" spans="12:18" x14ac:dyDescent="0.25">
      <c r="L571" s="41">
        <f>IF($C571="","",IF($I571="",ROUND(IFERROR($H571*VLOOKUP($F571,'설정 Settings'!$A$122:$F$130,4,0)+VLOOKUP($F571,'설정 Settings'!$A$122:$F$130,5,0),0),2),$I571))</f>
      </c>
      <c r="M571" s="41">
        <f>IF($C571="","",$H571-$L571)</f>
      </c>
      <c r="N571" s="42">
        <f>IF($C571="","",IF($I571="","추정 ESTIMATE","실제 ACTUAL"))</f>
      </c>
      <c r="O571" s="41">
        <f>IF($A571="","",SUMIFS('입금 Payments'!$C$3:$C$1002,'입금 Payments'!$B$3:$B$1002,$A571))</f>
      </c>
      <c r="P571" s="41">
        <f>IF($C571="","",ROUND($H571*(1+IF('설정 Settings'!$C$24="YES",'설정 Settings'!$C$26,0)),2)-N($O571))</f>
      </c>
      <c r="Q571" s="42">
        <f>IF($A571="","","INV-"&amp;$A571)</f>
      </c>
      <c r="R571" s="42">
        <f>IF($H571="","",IF($H571&gt;'설정 Settings'!$C$36,"$2,000 초과: e-Transfer 나눠 받기 (F36)",""))</f>
      </c>
    </row>
    <row r="572" spans="12:18" x14ac:dyDescent="0.25">
      <c r="L572" s="41">
        <f>IF($C572="","",IF($I572="",ROUND(IFERROR($H572*VLOOKUP($F572,'설정 Settings'!$A$122:$F$130,4,0)+VLOOKUP($F572,'설정 Settings'!$A$122:$F$130,5,0),0),2),$I572))</f>
      </c>
      <c r="M572" s="41">
        <f>IF($C572="","",$H572-$L572)</f>
      </c>
      <c r="N572" s="42">
        <f>IF($C572="","",IF($I572="","추정 ESTIMATE","실제 ACTUAL"))</f>
      </c>
      <c r="O572" s="41">
        <f>IF($A572="","",SUMIFS('입금 Payments'!$C$3:$C$1002,'입금 Payments'!$B$3:$B$1002,$A572))</f>
      </c>
      <c r="P572" s="41">
        <f>IF($C572="","",ROUND($H572*(1+IF('설정 Settings'!$C$24="YES",'설정 Settings'!$C$26,0)),2)-N($O572))</f>
      </c>
      <c r="Q572" s="42">
        <f>IF($A572="","","INV-"&amp;$A572)</f>
      </c>
      <c r="R572" s="42">
        <f>IF($H572="","",IF($H572&gt;'설정 Settings'!$C$36,"$2,000 초과: e-Transfer 나눠 받기 (F36)",""))</f>
      </c>
    </row>
    <row r="573" spans="12:18" x14ac:dyDescent="0.25">
      <c r="L573" s="41">
        <f>IF($C573="","",IF($I573="",ROUND(IFERROR($H573*VLOOKUP($F573,'설정 Settings'!$A$122:$F$130,4,0)+VLOOKUP($F573,'설정 Settings'!$A$122:$F$130,5,0),0),2),$I573))</f>
      </c>
      <c r="M573" s="41">
        <f>IF($C573="","",$H573-$L573)</f>
      </c>
      <c r="N573" s="42">
        <f>IF($C573="","",IF($I573="","추정 ESTIMATE","실제 ACTUAL"))</f>
      </c>
      <c r="O573" s="41">
        <f>IF($A573="","",SUMIFS('입금 Payments'!$C$3:$C$1002,'입금 Payments'!$B$3:$B$1002,$A573))</f>
      </c>
      <c r="P573" s="41">
        <f>IF($C573="","",ROUND($H573*(1+IF('설정 Settings'!$C$24="YES",'설정 Settings'!$C$26,0)),2)-N($O573))</f>
      </c>
      <c r="Q573" s="42">
        <f>IF($A573="","","INV-"&amp;$A573)</f>
      </c>
      <c r="R573" s="42">
        <f>IF($H573="","",IF($H573&gt;'설정 Settings'!$C$36,"$2,000 초과: e-Transfer 나눠 받기 (F36)",""))</f>
      </c>
    </row>
    <row r="574" spans="12:18" x14ac:dyDescent="0.25">
      <c r="L574" s="41">
        <f>IF($C574="","",IF($I574="",ROUND(IFERROR($H574*VLOOKUP($F574,'설정 Settings'!$A$122:$F$130,4,0)+VLOOKUP($F574,'설정 Settings'!$A$122:$F$130,5,0),0),2),$I574))</f>
      </c>
      <c r="M574" s="41">
        <f>IF($C574="","",$H574-$L574)</f>
      </c>
      <c r="N574" s="42">
        <f>IF($C574="","",IF($I574="","추정 ESTIMATE","실제 ACTUAL"))</f>
      </c>
      <c r="O574" s="41">
        <f>IF($A574="","",SUMIFS('입금 Payments'!$C$3:$C$1002,'입금 Payments'!$B$3:$B$1002,$A574))</f>
      </c>
      <c r="P574" s="41">
        <f>IF($C574="","",ROUND($H574*(1+IF('설정 Settings'!$C$24="YES",'설정 Settings'!$C$26,0)),2)-N($O574))</f>
      </c>
      <c r="Q574" s="42">
        <f>IF($A574="","","INV-"&amp;$A574)</f>
      </c>
      <c r="R574" s="42">
        <f>IF($H574="","",IF($H574&gt;'설정 Settings'!$C$36,"$2,000 초과: e-Transfer 나눠 받기 (F36)",""))</f>
      </c>
    </row>
    <row r="575" spans="12:18" x14ac:dyDescent="0.25">
      <c r="L575" s="41">
        <f>IF($C575="","",IF($I575="",ROUND(IFERROR($H575*VLOOKUP($F575,'설정 Settings'!$A$122:$F$130,4,0)+VLOOKUP($F575,'설정 Settings'!$A$122:$F$130,5,0),0),2),$I575))</f>
      </c>
      <c r="M575" s="41">
        <f>IF($C575="","",$H575-$L575)</f>
      </c>
      <c r="N575" s="42">
        <f>IF($C575="","",IF($I575="","추정 ESTIMATE","실제 ACTUAL"))</f>
      </c>
      <c r="O575" s="41">
        <f>IF($A575="","",SUMIFS('입금 Payments'!$C$3:$C$1002,'입금 Payments'!$B$3:$B$1002,$A575))</f>
      </c>
      <c r="P575" s="41">
        <f>IF($C575="","",ROUND($H575*(1+IF('설정 Settings'!$C$24="YES",'설정 Settings'!$C$26,0)),2)-N($O575))</f>
      </c>
      <c r="Q575" s="42">
        <f>IF($A575="","","INV-"&amp;$A575)</f>
      </c>
      <c r="R575" s="42">
        <f>IF($H575="","",IF($H575&gt;'설정 Settings'!$C$36,"$2,000 초과: e-Transfer 나눠 받기 (F36)",""))</f>
      </c>
    </row>
    <row r="576" spans="12:18" x14ac:dyDescent="0.25">
      <c r="L576" s="41">
        <f>IF($C576="","",IF($I576="",ROUND(IFERROR($H576*VLOOKUP($F576,'설정 Settings'!$A$122:$F$130,4,0)+VLOOKUP($F576,'설정 Settings'!$A$122:$F$130,5,0),0),2),$I576))</f>
      </c>
      <c r="M576" s="41">
        <f>IF($C576="","",$H576-$L576)</f>
      </c>
      <c r="N576" s="42">
        <f>IF($C576="","",IF($I576="","추정 ESTIMATE","실제 ACTUAL"))</f>
      </c>
      <c r="O576" s="41">
        <f>IF($A576="","",SUMIFS('입금 Payments'!$C$3:$C$1002,'입금 Payments'!$B$3:$B$1002,$A576))</f>
      </c>
      <c r="P576" s="41">
        <f>IF($C576="","",ROUND($H576*(1+IF('설정 Settings'!$C$24="YES",'설정 Settings'!$C$26,0)),2)-N($O576))</f>
      </c>
      <c r="Q576" s="42">
        <f>IF($A576="","","INV-"&amp;$A576)</f>
      </c>
      <c r="R576" s="42">
        <f>IF($H576="","",IF($H576&gt;'설정 Settings'!$C$36,"$2,000 초과: e-Transfer 나눠 받기 (F36)",""))</f>
      </c>
    </row>
    <row r="577" spans="12:18" x14ac:dyDescent="0.25">
      <c r="L577" s="41">
        <f>IF($C577="","",IF($I577="",ROUND(IFERROR($H577*VLOOKUP($F577,'설정 Settings'!$A$122:$F$130,4,0)+VLOOKUP($F577,'설정 Settings'!$A$122:$F$130,5,0),0),2),$I577))</f>
      </c>
      <c r="M577" s="41">
        <f>IF($C577="","",$H577-$L577)</f>
      </c>
      <c r="N577" s="42">
        <f>IF($C577="","",IF($I577="","추정 ESTIMATE","실제 ACTUAL"))</f>
      </c>
      <c r="O577" s="41">
        <f>IF($A577="","",SUMIFS('입금 Payments'!$C$3:$C$1002,'입금 Payments'!$B$3:$B$1002,$A577))</f>
      </c>
      <c r="P577" s="41">
        <f>IF($C577="","",ROUND($H577*(1+IF('설정 Settings'!$C$24="YES",'설정 Settings'!$C$26,0)),2)-N($O577))</f>
      </c>
      <c r="Q577" s="42">
        <f>IF($A577="","","INV-"&amp;$A577)</f>
      </c>
      <c r="R577" s="42">
        <f>IF($H577="","",IF($H577&gt;'설정 Settings'!$C$36,"$2,000 초과: e-Transfer 나눠 받기 (F36)",""))</f>
      </c>
    </row>
    <row r="578" spans="12:18" x14ac:dyDescent="0.25">
      <c r="L578" s="41">
        <f>IF($C578="","",IF($I578="",ROUND(IFERROR($H578*VLOOKUP($F578,'설정 Settings'!$A$122:$F$130,4,0)+VLOOKUP($F578,'설정 Settings'!$A$122:$F$130,5,0),0),2),$I578))</f>
      </c>
      <c r="M578" s="41">
        <f>IF($C578="","",$H578-$L578)</f>
      </c>
      <c r="N578" s="42">
        <f>IF($C578="","",IF($I578="","추정 ESTIMATE","실제 ACTUAL"))</f>
      </c>
      <c r="O578" s="41">
        <f>IF($A578="","",SUMIFS('입금 Payments'!$C$3:$C$1002,'입금 Payments'!$B$3:$B$1002,$A578))</f>
      </c>
      <c r="P578" s="41">
        <f>IF($C578="","",ROUND($H578*(1+IF('설정 Settings'!$C$24="YES",'설정 Settings'!$C$26,0)),2)-N($O578))</f>
      </c>
      <c r="Q578" s="42">
        <f>IF($A578="","","INV-"&amp;$A578)</f>
      </c>
      <c r="R578" s="42">
        <f>IF($H578="","",IF($H578&gt;'설정 Settings'!$C$36,"$2,000 초과: e-Transfer 나눠 받기 (F36)",""))</f>
      </c>
    </row>
    <row r="579" spans="12:18" x14ac:dyDescent="0.25">
      <c r="L579" s="41">
        <f>IF($C579="","",IF($I579="",ROUND(IFERROR($H579*VLOOKUP($F579,'설정 Settings'!$A$122:$F$130,4,0)+VLOOKUP($F579,'설정 Settings'!$A$122:$F$130,5,0),0),2),$I579))</f>
      </c>
      <c r="M579" s="41">
        <f>IF($C579="","",$H579-$L579)</f>
      </c>
      <c r="N579" s="42">
        <f>IF($C579="","",IF($I579="","추정 ESTIMATE","실제 ACTUAL"))</f>
      </c>
      <c r="O579" s="41">
        <f>IF($A579="","",SUMIFS('입금 Payments'!$C$3:$C$1002,'입금 Payments'!$B$3:$B$1002,$A579))</f>
      </c>
      <c r="P579" s="41">
        <f>IF($C579="","",ROUND($H579*(1+IF('설정 Settings'!$C$24="YES",'설정 Settings'!$C$26,0)),2)-N($O579))</f>
      </c>
      <c r="Q579" s="42">
        <f>IF($A579="","","INV-"&amp;$A579)</f>
      </c>
      <c r="R579" s="42">
        <f>IF($H579="","",IF($H579&gt;'설정 Settings'!$C$36,"$2,000 초과: e-Transfer 나눠 받기 (F36)",""))</f>
      </c>
    </row>
    <row r="580" spans="12:18" x14ac:dyDescent="0.25">
      <c r="L580" s="41">
        <f>IF($C580="","",IF($I580="",ROUND(IFERROR($H580*VLOOKUP($F580,'설정 Settings'!$A$122:$F$130,4,0)+VLOOKUP($F580,'설정 Settings'!$A$122:$F$130,5,0),0),2),$I580))</f>
      </c>
      <c r="M580" s="41">
        <f>IF($C580="","",$H580-$L580)</f>
      </c>
      <c r="N580" s="42">
        <f>IF($C580="","",IF($I580="","추정 ESTIMATE","실제 ACTUAL"))</f>
      </c>
      <c r="O580" s="41">
        <f>IF($A580="","",SUMIFS('입금 Payments'!$C$3:$C$1002,'입금 Payments'!$B$3:$B$1002,$A580))</f>
      </c>
      <c r="P580" s="41">
        <f>IF($C580="","",ROUND($H580*(1+IF('설정 Settings'!$C$24="YES",'설정 Settings'!$C$26,0)),2)-N($O580))</f>
      </c>
      <c r="Q580" s="42">
        <f>IF($A580="","","INV-"&amp;$A580)</f>
      </c>
      <c r="R580" s="42">
        <f>IF($H580="","",IF($H580&gt;'설정 Settings'!$C$36,"$2,000 초과: e-Transfer 나눠 받기 (F36)",""))</f>
      </c>
    </row>
    <row r="581" spans="12:18" x14ac:dyDescent="0.25">
      <c r="L581" s="41">
        <f>IF($C581="","",IF($I581="",ROUND(IFERROR($H581*VLOOKUP($F581,'설정 Settings'!$A$122:$F$130,4,0)+VLOOKUP($F581,'설정 Settings'!$A$122:$F$130,5,0),0),2),$I581))</f>
      </c>
      <c r="M581" s="41">
        <f>IF($C581="","",$H581-$L581)</f>
      </c>
      <c r="N581" s="42">
        <f>IF($C581="","",IF($I581="","추정 ESTIMATE","실제 ACTUAL"))</f>
      </c>
      <c r="O581" s="41">
        <f>IF($A581="","",SUMIFS('입금 Payments'!$C$3:$C$1002,'입금 Payments'!$B$3:$B$1002,$A581))</f>
      </c>
      <c r="P581" s="41">
        <f>IF($C581="","",ROUND($H581*(1+IF('설정 Settings'!$C$24="YES",'설정 Settings'!$C$26,0)),2)-N($O581))</f>
      </c>
      <c r="Q581" s="42">
        <f>IF($A581="","","INV-"&amp;$A581)</f>
      </c>
      <c r="R581" s="42">
        <f>IF($H581="","",IF($H581&gt;'설정 Settings'!$C$36,"$2,000 초과: e-Transfer 나눠 받기 (F36)",""))</f>
      </c>
    </row>
    <row r="582" spans="12:18" x14ac:dyDescent="0.25">
      <c r="L582" s="41">
        <f>IF($C582="","",IF($I582="",ROUND(IFERROR($H582*VLOOKUP($F582,'설정 Settings'!$A$122:$F$130,4,0)+VLOOKUP($F582,'설정 Settings'!$A$122:$F$130,5,0),0),2),$I582))</f>
      </c>
      <c r="M582" s="41">
        <f>IF($C582="","",$H582-$L582)</f>
      </c>
      <c r="N582" s="42">
        <f>IF($C582="","",IF($I582="","추정 ESTIMATE","실제 ACTUAL"))</f>
      </c>
      <c r="O582" s="41">
        <f>IF($A582="","",SUMIFS('입금 Payments'!$C$3:$C$1002,'입금 Payments'!$B$3:$B$1002,$A582))</f>
      </c>
      <c r="P582" s="41">
        <f>IF($C582="","",ROUND($H582*(1+IF('설정 Settings'!$C$24="YES",'설정 Settings'!$C$26,0)),2)-N($O582))</f>
      </c>
      <c r="Q582" s="42">
        <f>IF($A582="","","INV-"&amp;$A582)</f>
      </c>
      <c r="R582" s="42">
        <f>IF($H582="","",IF($H582&gt;'설정 Settings'!$C$36,"$2,000 초과: e-Transfer 나눠 받기 (F36)",""))</f>
      </c>
    </row>
    <row r="583" spans="12:18" x14ac:dyDescent="0.25">
      <c r="L583" s="41">
        <f>IF($C583="","",IF($I583="",ROUND(IFERROR($H583*VLOOKUP($F583,'설정 Settings'!$A$122:$F$130,4,0)+VLOOKUP($F583,'설정 Settings'!$A$122:$F$130,5,0),0),2),$I583))</f>
      </c>
      <c r="M583" s="41">
        <f>IF($C583="","",$H583-$L583)</f>
      </c>
      <c r="N583" s="42">
        <f>IF($C583="","",IF($I583="","추정 ESTIMATE","실제 ACTUAL"))</f>
      </c>
      <c r="O583" s="41">
        <f>IF($A583="","",SUMIFS('입금 Payments'!$C$3:$C$1002,'입금 Payments'!$B$3:$B$1002,$A583))</f>
      </c>
      <c r="P583" s="41">
        <f>IF($C583="","",ROUND($H583*(1+IF('설정 Settings'!$C$24="YES",'설정 Settings'!$C$26,0)),2)-N($O583))</f>
      </c>
      <c r="Q583" s="42">
        <f>IF($A583="","","INV-"&amp;$A583)</f>
      </c>
      <c r="R583" s="42">
        <f>IF($H583="","",IF($H583&gt;'설정 Settings'!$C$36,"$2,000 초과: e-Transfer 나눠 받기 (F36)",""))</f>
      </c>
    </row>
    <row r="584" spans="12:18" x14ac:dyDescent="0.25">
      <c r="L584" s="41">
        <f>IF($C584="","",IF($I584="",ROUND(IFERROR($H584*VLOOKUP($F584,'설정 Settings'!$A$122:$F$130,4,0)+VLOOKUP($F584,'설정 Settings'!$A$122:$F$130,5,0),0),2),$I584))</f>
      </c>
      <c r="M584" s="41">
        <f>IF($C584="","",$H584-$L584)</f>
      </c>
      <c r="N584" s="42">
        <f>IF($C584="","",IF($I584="","추정 ESTIMATE","실제 ACTUAL"))</f>
      </c>
      <c r="O584" s="41">
        <f>IF($A584="","",SUMIFS('입금 Payments'!$C$3:$C$1002,'입금 Payments'!$B$3:$B$1002,$A584))</f>
      </c>
      <c r="P584" s="41">
        <f>IF($C584="","",ROUND($H584*(1+IF('설정 Settings'!$C$24="YES",'설정 Settings'!$C$26,0)),2)-N($O584))</f>
      </c>
      <c r="Q584" s="42">
        <f>IF($A584="","","INV-"&amp;$A584)</f>
      </c>
      <c r="R584" s="42">
        <f>IF($H584="","",IF($H584&gt;'설정 Settings'!$C$36,"$2,000 초과: e-Transfer 나눠 받기 (F36)",""))</f>
      </c>
    </row>
    <row r="585" spans="12:18" x14ac:dyDescent="0.25">
      <c r="L585" s="41">
        <f>IF($C585="","",IF($I585="",ROUND(IFERROR($H585*VLOOKUP($F585,'설정 Settings'!$A$122:$F$130,4,0)+VLOOKUP($F585,'설정 Settings'!$A$122:$F$130,5,0),0),2),$I585))</f>
      </c>
      <c r="M585" s="41">
        <f>IF($C585="","",$H585-$L585)</f>
      </c>
      <c r="N585" s="42">
        <f>IF($C585="","",IF($I585="","추정 ESTIMATE","실제 ACTUAL"))</f>
      </c>
      <c r="O585" s="41">
        <f>IF($A585="","",SUMIFS('입금 Payments'!$C$3:$C$1002,'입금 Payments'!$B$3:$B$1002,$A585))</f>
      </c>
      <c r="P585" s="41">
        <f>IF($C585="","",ROUND($H585*(1+IF('설정 Settings'!$C$24="YES",'설정 Settings'!$C$26,0)),2)-N($O585))</f>
      </c>
      <c r="Q585" s="42">
        <f>IF($A585="","","INV-"&amp;$A585)</f>
      </c>
      <c r="R585" s="42">
        <f>IF($H585="","",IF($H585&gt;'설정 Settings'!$C$36,"$2,000 초과: e-Transfer 나눠 받기 (F36)",""))</f>
      </c>
    </row>
    <row r="586" spans="12:18" x14ac:dyDescent="0.25">
      <c r="L586" s="41">
        <f>IF($C586="","",IF($I586="",ROUND(IFERROR($H586*VLOOKUP($F586,'설정 Settings'!$A$122:$F$130,4,0)+VLOOKUP($F586,'설정 Settings'!$A$122:$F$130,5,0),0),2),$I586))</f>
      </c>
      <c r="M586" s="41">
        <f>IF($C586="","",$H586-$L586)</f>
      </c>
      <c r="N586" s="42">
        <f>IF($C586="","",IF($I586="","추정 ESTIMATE","실제 ACTUAL"))</f>
      </c>
      <c r="O586" s="41">
        <f>IF($A586="","",SUMIFS('입금 Payments'!$C$3:$C$1002,'입금 Payments'!$B$3:$B$1002,$A586))</f>
      </c>
      <c r="P586" s="41">
        <f>IF($C586="","",ROUND($H586*(1+IF('설정 Settings'!$C$24="YES",'설정 Settings'!$C$26,0)),2)-N($O586))</f>
      </c>
      <c r="Q586" s="42">
        <f>IF($A586="","","INV-"&amp;$A586)</f>
      </c>
      <c r="R586" s="42">
        <f>IF($H586="","",IF($H586&gt;'설정 Settings'!$C$36,"$2,000 초과: e-Transfer 나눠 받기 (F36)",""))</f>
      </c>
    </row>
    <row r="587" spans="12:18" x14ac:dyDescent="0.25">
      <c r="L587" s="41">
        <f>IF($C587="","",IF($I587="",ROUND(IFERROR($H587*VLOOKUP($F587,'설정 Settings'!$A$122:$F$130,4,0)+VLOOKUP($F587,'설정 Settings'!$A$122:$F$130,5,0),0),2),$I587))</f>
      </c>
      <c r="M587" s="41">
        <f>IF($C587="","",$H587-$L587)</f>
      </c>
      <c r="N587" s="42">
        <f>IF($C587="","",IF($I587="","추정 ESTIMATE","실제 ACTUAL"))</f>
      </c>
      <c r="O587" s="41">
        <f>IF($A587="","",SUMIFS('입금 Payments'!$C$3:$C$1002,'입금 Payments'!$B$3:$B$1002,$A587))</f>
      </c>
      <c r="P587" s="41">
        <f>IF($C587="","",ROUND($H587*(1+IF('설정 Settings'!$C$24="YES",'설정 Settings'!$C$26,0)),2)-N($O587))</f>
      </c>
      <c r="Q587" s="42">
        <f>IF($A587="","","INV-"&amp;$A587)</f>
      </c>
      <c r="R587" s="42">
        <f>IF($H587="","",IF($H587&gt;'설정 Settings'!$C$36,"$2,000 초과: e-Transfer 나눠 받기 (F36)",""))</f>
      </c>
    </row>
    <row r="588" spans="12:18" x14ac:dyDescent="0.25">
      <c r="L588" s="41">
        <f>IF($C588="","",IF($I588="",ROUND(IFERROR($H588*VLOOKUP($F588,'설정 Settings'!$A$122:$F$130,4,0)+VLOOKUP($F588,'설정 Settings'!$A$122:$F$130,5,0),0),2),$I588))</f>
      </c>
      <c r="M588" s="41">
        <f>IF($C588="","",$H588-$L588)</f>
      </c>
      <c r="N588" s="42">
        <f>IF($C588="","",IF($I588="","추정 ESTIMATE","실제 ACTUAL"))</f>
      </c>
      <c r="O588" s="41">
        <f>IF($A588="","",SUMIFS('입금 Payments'!$C$3:$C$1002,'입금 Payments'!$B$3:$B$1002,$A588))</f>
      </c>
      <c r="P588" s="41">
        <f>IF($C588="","",ROUND($H588*(1+IF('설정 Settings'!$C$24="YES",'설정 Settings'!$C$26,0)),2)-N($O588))</f>
      </c>
      <c r="Q588" s="42">
        <f>IF($A588="","","INV-"&amp;$A588)</f>
      </c>
      <c r="R588" s="42">
        <f>IF($H588="","",IF($H588&gt;'설정 Settings'!$C$36,"$2,000 초과: e-Transfer 나눠 받기 (F36)",""))</f>
      </c>
    </row>
    <row r="589" spans="12:18" x14ac:dyDescent="0.25">
      <c r="L589" s="41">
        <f>IF($C589="","",IF($I589="",ROUND(IFERROR($H589*VLOOKUP($F589,'설정 Settings'!$A$122:$F$130,4,0)+VLOOKUP($F589,'설정 Settings'!$A$122:$F$130,5,0),0),2),$I589))</f>
      </c>
      <c r="M589" s="41">
        <f>IF($C589="","",$H589-$L589)</f>
      </c>
      <c r="N589" s="42">
        <f>IF($C589="","",IF($I589="","추정 ESTIMATE","실제 ACTUAL"))</f>
      </c>
      <c r="O589" s="41">
        <f>IF($A589="","",SUMIFS('입금 Payments'!$C$3:$C$1002,'입금 Payments'!$B$3:$B$1002,$A589))</f>
      </c>
      <c r="P589" s="41">
        <f>IF($C589="","",ROUND($H589*(1+IF('설정 Settings'!$C$24="YES",'설정 Settings'!$C$26,0)),2)-N($O589))</f>
      </c>
      <c r="Q589" s="42">
        <f>IF($A589="","","INV-"&amp;$A589)</f>
      </c>
      <c r="R589" s="42">
        <f>IF($H589="","",IF($H589&gt;'설정 Settings'!$C$36,"$2,000 초과: e-Transfer 나눠 받기 (F36)",""))</f>
      </c>
    </row>
    <row r="590" spans="12:18" x14ac:dyDescent="0.25">
      <c r="L590" s="41">
        <f>IF($C590="","",IF($I590="",ROUND(IFERROR($H590*VLOOKUP($F590,'설정 Settings'!$A$122:$F$130,4,0)+VLOOKUP($F590,'설정 Settings'!$A$122:$F$130,5,0),0),2),$I590))</f>
      </c>
      <c r="M590" s="41">
        <f>IF($C590="","",$H590-$L590)</f>
      </c>
      <c r="N590" s="42">
        <f>IF($C590="","",IF($I590="","추정 ESTIMATE","실제 ACTUAL"))</f>
      </c>
      <c r="O590" s="41">
        <f>IF($A590="","",SUMIFS('입금 Payments'!$C$3:$C$1002,'입금 Payments'!$B$3:$B$1002,$A590))</f>
      </c>
      <c r="P590" s="41">
        <f>IF($C590="","",ROUND($H590*(1+IF('설정 Settings'!$C$24="YES",'설정 Settings'!$C$26,0)),2)-N($O590))</f>
      </c>
      <c r="Q590" s="42">
        <f>IF($A590="","","INV-"&amp;$A590)</f>
      </c>
      <c r="R590" s="42">
        <f>IF($H590="","",IF($H590&gt;'설정 Settings'!$C$36,"$2,000 초과: e-Transfer 나눠 받기 (F36)",""))</f>
      </c>
    </row>
    <row r="591" spans="12:18" x14ac:dyDescent="0.25">
      <c r="L591" s="41">
        <f>IF($C591="","",IF($I591="",ROUND(IFERROR($H591*VLOOKUP($F591,'설정 Settings'!$A$122:$F$130,4,0)+VLOOKUP($F591,'설정 Settings'!$A$122:$F$130,5,0),0),2),$I591))</f>
      </c>
      <c r="M591" s="41">
        <f>IF($C591="","",$H591-$L591)</f>
      </c>
      <c r="N591" s="42">
        <f>IF($C591="","",IF($I591="","추정 ESTIMATE","실제 ACTUAL"))</f>
      </c>
      <c r="O591" s="41">
        <f>IF($A591="","",SUMIFS('입금 Payments'!$C$3:$C$1002,'입금 Payments'!$B$3:$B$1002,$A591))</f>
      </c>
      <c r="P591" s="41">
        <f>IF($C591="","",ROUND($H591*(1+IF('설정 Settings'!$C$24="YES",'설정 Settings'!$C$26,0)),2)-N($O591))</f>
      </c>
      <c r="Q591" s="42">
        <f>IF($A591="","","INV-"&amp;$A591)</f>
      </c>
      <c r="R591" s="42">
        <f>IF($H591="","",IF($H591&gt;'설정 Settings'!$C$36,"$2,000 초과: e-Transfer 나눠 받기 (F36)",""))</f>
      </c>
    </row>
    <row r="592" spans="12:18" x14ac:dyDescent="0.25">
      <c r="L592" s="41">
        <f>IF($C592="","",IF($I592="",ROUND(IFERROR($H592*VLOOKUP($F592,'설정 Settings'!$A$122:$F$130,4,0)+VLOOKUP($F592,'설정 Settings'!$A$122:$F$130,5,0),0),2),$I592))</f>
      </c>
      <c r="M592" s="41">
        <f>IF($C592="","",$H592-$L592)</f>
      </c>
      <c r="N592" s="42">
        <f>IF($C592="","",IF($I592="","추정 ESTIMATE","실제 ACTUAL"))</f>
      </c>
      <c r="O592" s="41">
        <f>IF($A592="","",SUMIFS('입금 Payments'!$C$3:$C$1002,'입금 Payments'!$B$3:$B$1002,$A592))</f>
      </c>
      <c r="P592" s="41">
        <f>IF($C592="","",ROUND($H592*(1+IF('설정 Settings'!$C$24="YES",'설정 Settings'!$C$26,0)),2)-N($O592))</f>
      </c>
      <c r="Q592" s="42">
        <f>IF($A592="","","INV-"&amp;$A592)</f>
      </c>
      <c r="R592" s="42">
        <f>IF($H592="","",IF($H592&gt;'설정 Settings'!$C$36,"$2,000 초과: e-Transfer 나눠 받기 (F36)",""))</f>
      </c>
    </row>
    <row r="593" spans="12:18" x14ac:dyDescent="0.25">
      <c r="L593" s="41">
        <f>IF($C593="","",IF($I593="",ROUND(IFERROR($H593*VLOOKUP($F593,'설정 Settings'!$A$122:$F$130,4,0)+VLOOKUP($F593,'설정 Settings'!$A$122:$F$130,5,0),0),2),$I593))</f>
      </c>
      <c r="M593" s="41">
        <f>IF($C593="","",$H593-$L593)</f>
      </c>
      <c r="N593" s="42">
        <f>IF($C593="","",IF($I593="","추정 ESTIMATE","실제 ACTUAL"))</f>
      </c>
      <c r="O593" s="41">
        <f>IF($A593="","",SUMIFS('입금 Payments'!$C$3:$C$1002,'입금 Payments'!$B$3:$B$1002,$A593))</f>
      </c>
      <c r="P593" s="41">
        <f>IF($C593="","",ROUND($H593*(1+IF('설정 Settings'!$C$24="YES",'설정 Settings'!$C$26,0)),2)-N($O593))</f>
      </c>
      <c r="Q593" s="42">
        <f>IF($A593="","","INV-"&amp;$A593)</f>
      </c>
      <c r="R593" s="42">
        <f>IF($H593="","",IF($H593&gt;'설정 Settings'!$C$36,"$2,000 초과: e-Transfer 나눠 받기 (F36)",""))</f>
      </c>
    </row>
    <row r="594" spans="12:18" x14ac:dyDescent="0.25">
      <c r="L594" s="41">
        <f>IF($C594="","",IF($I594="",ROUND(IFERROR($H594*VLOOKUP($F594,'설정 Settings'!$A$122:$F$130,4,0)+VLOOKUP($F594,'설정 Settings'!$A$122:$F$130,5,0),0),2),$I594))</f>
      </c>
      <c r="M594" s="41">
        <f>IF($C594="","",$H594-$L594)</f>
      </c>
      <c r="N594" s="42">
        <f>IF($C594="","",IF($I594="","추정 ESTIMATE","실제 ACTUAL"))</f>
      </c>
      <c r="O594" s="41">
        <f>IF($A594="","",SUMIFS('입금 Payments'!$C$3:$C$1002,'입금 Payments'!$B$3:$B$1002,$A594))</f>
      </c>
      <c r="P594" s="41">
        <f>IF($C594="","",ROUND($H594*(1+IF('설정 Settings'!$C$24="YES",'설정 Settings'!$C$26,0)),2)-N($O594))</f>
      </c>
      <c r="Q594" s="42">
        <f>IF($A594="","","INV-"&amp;$A594)</f>
      </c>
      <c r="R594" s="42">
        <f>IF($H594="","",IF($H594&gt;'설정 Settings'!$C$36,"$2,000 초과: e-Transfer 나눠 받기 (F36)",""))</f>
      </c>
    </row>
    <row r="595" spans="12:18" x14ac:dyDescent="0.25">
      <c r="L595" s="41">
        <f>IF($C595="","",IF($I595="",ROUND(IFERROR($H595*VLOOKUP($F595,'설정 Settings'!$A$122:$F$130,4,0)+VLOOKUP($F595,'설정 Settings'!$A$122:$F$130,5,0),0),2),$I595))</f>
      </c>
      <c r="M595" s="41">
        <f>IF($C595="","",$H595-$L595)</f>
      </c>
      <c r="N595" s="42">
        <f>IF($C595="","",IF($I595="","추정 ESTIMATE","실제 ACTUAL"))</f>
      </c>
      <c r="O595" s="41">
        <f>IF($A595="","",SUMIFS('입금 Payments'!$C$3:$C$1002,'입금 Payments'!$B$3:$B$1002,$A595))</f>
      </c>
      <c r="P595" s="41">
        <f>IF($C595="","",ROUND($H595*(1+IF('설정 Settings'!$C$24="YES",'설정 Settings'!$C$26,0)),2)-N($O595))</f>
      </c>
      <c r="Q595" s="42">
        <f>IF($A595="","","INV-"&amp;$A595)</f>
      </c>
      <c r="R595" s="42">
        <f>IF($H595="","",IF($H595&gt;'설정 Settings'!$C$36,"$2,000 초과: e-Transfer 나눠 받기 (F36)",""))</f>
      </c>
    </row>
    <row r="596" spans="12:18" x14ac:dyDescent="0.25">
      <c r="L596" s="41">
        <f>IF($C596="","",IF($I596="",ROUND(IFERROR($H596*VLOOKUP($F596,'설정 Settings'!$A$122:$F$130,4,0)+VLOOKUP($F596,'설정 Settings'!$A$122:$F$130,5,0),0),2),$I596))</f>
      </c>
      <c r="M596" s="41">
        <f>IF($C596="","",$H596-$L596)</f>
      </c>
      <c r="N596" s="42">
        <f>IF($C596="","",IF($I596="","추정 ESTIMATE","실제 ACTUAL"))</f>
      </c>
      <c r="O596" s="41">
        <f>IF($A596="","",SUMIFS('입금 Payments'!$C$3:$C$1002,'입금 Payments'!$B$3:$B$1002,$A596))</f>
      </c>
      <c r="P596" s="41">
        <f>IF($C596="","",ROUND($H596*(1+IF('설정 Settings'!$C$24="YES",'설정 Settings'!$C$26,0)),2)-N($O596))</f>
      </c>
      <c r="Q596" s="42">
        <f>IF($A596="","","INV-"&amp;$A596)</f>
      </c>
      <c r="R596" s="42">
        <f>IF($H596="","",IF($H596&gt;'설정 Settings'!$C$36,"$2,000 초과: e-Transfer 나눠 받기 (F36)",""))</f>
      </c>
    </row>
    <row r="597" spans="12:18" x14ac:dyDescent="0.25">
      <c r="L597" s="41">
        <f>IF($C597="","",IF($I597="",ROUND(IFERROR($H597*VLOOKUP($F597,'설정 Settings'!$A$122:$F$130,4,0)+VLOOKUP($F597,'설정 Settings'!$A$122:$F$130,5,0),0),2),$I597))</f>
      </c>
      <c r="M597" s="41">
        <f>IF($C597="","",$H597-$L597)</f>
      </c>
      <c r="N597" s="42">
        <f>IF($C597="","",IF($I597="","추정 ESTIMATE","실제 ACTUAL"))</f>
      </c>
      <c r="O597" s="41">
        <f>IF($A597="","",SUMIFS('입금 Payments'!$C$3:$C$1002,'입금 Payments'!$B$3:$B$1002,$A597))</f>
      </c>
      <c r="P597" s="41">
        <f>IF($C597="","",ROUND($H597*(1+IF('설정 Settings'!$C$24="YES",'설정 Settings'!$C$26,0)),2)-N($O597))</f>
      </c>
      <c r="Q597" s="42">
        <f>IF($A597="","","INV-"&amp;$A597)</f>
      </c>
      <c r="R597" s="42">
        <f>IF($H597="","",IF($H597&gt;'설정 Settings'!$C$36,"$2,000 초과: e-Transfer 나눠 받기 (F36)",""))</f>
      </c>
    </row>
    <row r="598" spans="12:18" x14ac:dyDescent="0.25">
      <c r="L598" s="41">
        <f>IF($C598="","",IF($I598="",ROUND(IFERROR($H598*VLOOKUP($F598,'설정 Settings'!$A$122:$F$130,4,0)+VLOOKUP($F598,'설정 Settings'!$A$122:$F$130,5,0),0),2),$I598))</f>
      </c>
      <c r="M598" s="41">
        <f>IF($C598="","",$H598-$L598)</f>
      </c>
      <c r="N598" s="42">
        <f>IF($C598="","",IF($I598="","추정 ESTIMATE","실제 ACTUAL"))</f>
      </c>
      <c r="O598" s="41">
        <f>IF($A598="","",SUMIFS('입금 Payments'!$C$3:$C$1002,'입금 Payments'!$B$3:$B$1002,$A598))</f>
      </c>
      <c r="P598" s="41">
        <f>IF($C598="","",ROUND($H598*(1+IF('설정 Settings'!$C$24="YES",'설정 Settings'!$C$26,0)),2)-N($O598))</f>
      </c>
      <c r="Q598" s="42">
        <f>IF($A598="","","INV-"&amp;$A598)</f>
      </c>
      <c r="R598" s="42">
        <f>IF($H598="","",IF($H598&gt;'설정 Settings'!$C$36,"$2,000 초과: e-Transfer 나눠 받기 (F36)",""))</f>
      </c>
    </row>
    <row r="599" spans="12:18" x14ac:dyDescent="0.25">
      <c r="L599" s="41">
        <f>IF($C599="","",IF($I599="",ROUND(IFERROR($H599*VLOOKUP($F599,'설정 Settings'!$A$122:$F$130,4,0)+VLOOKUP($F599,'설정 Settings'!$A$122:$F$130,5,0),0),2),$I599))</f>
      </c>
      <c r="M599" s="41">
        <f>IF($C599="","",$H599-$L599)</f>
      </c>
      <c r="N599" s="42">
        <f>IF($C599="","",IF($I599="","추정 ESTIMATE","실제 ACTUAL"))</f>
      </c>
      <c r="O599" s="41">
        <f>IF($A599="","",SUMIFS('입금 Payments'!$C$3:$C$1002,'입금 Payments'!$B$3:$B$1002,$A599))</f>
      </c>
      <c r="P599" s="41">
        <f>IF($C599="","",ROUND($H599*(1+IF('설정 Settings'!$C$24="YES",'설정 Settings'!$C$26,0)),2)-N($O599))</f>
      </c>
      <c r="Q599" s="42">
        <f>IF($A599="","","INV-"&amp;$A599)</f>
      </c>
      <c r="R599" s="42">
        <f>IF($H599="","",IF($H599&gt;'설정 Settings'!$C$36,"$2,000 초과: e-Transfer 나눠 받기 (F36)",""))</f>
      </c>
    </row>
    <row r="600" spans="12:18" x14ac:dyDescent="0.25">
      <c r="L600" s="41">
        <f>IF($C600="","",IF($I600="",ROUND(IFERROR($H600*VLOOKUP($F600,'설정 Settings'!$A$122:$F$130,4,0)+VLOOKUP($F600,'설정 Settings'!$A$122:$F$130,5,0),0),2),$I600))</f>
      </c>
      <c r="M600" s="41">
        <f>IF($C600="","",$H600-$L600)</f>
      </c>
      <c r="N600" s="42">
        <f>IF($C600="","",IF($I600="","추정 ESTIMATE","실제 ACTUAL"))</f>
      </c>
      <c r="O600" s="41">
        <f>IF($A600="","",SUMIFS('입금 Payments'!$C$3:$C$1002,'입금 Payments'!$B$3:$B$1002,$A600))</f>
      </c>
      <c r="P600" s="41">
        <f>IF($C600="","",ROUND($H600*(1+IF('설정 Settings'!$C$24="YES",'설정 Settings'!$C$26,0)),2)-N($O600))</f>
      </c>
      <c r="Q600" s="42">
        <f>IF($A600="","","INV-"&amp;$A600)</f>
      </c>
      <c r="R600" s="42">
        <f>IF($H600="","",IF($H600&gt;'설정 Settings'!$C$36,"$2,000 초과: e-Transfer 나눠 받기 (F36)",""))</f>
      </c>
    </row>
    <row r="601" spans="12:18" x14ac:dyDescent="0.25">
      <c r="L601" s="41">
        <f>IF($C601="","",IF($I601="",ROUND(IFERROR($H601*VLOOKUP($F601,'설정 Settings'!$A$122:$F$130,4,0)+VLOOKUP($F601,'설정 Settings'!$A$122:$F$130,5,0),0),2),$I601))</f>
      </c>
      <c r="M601" s="41">
        <f>IF($C601="","",$H601-$L601)</f>
      </c>
      <c r="N601" s="42">
        <f>IF($C601="","",IF($I601="","추정 ESTIMATE","실제 ACTUAL"))</f>
      </c>
      <c r="O601" s="41">
        <f>IF($A601="","",SUMIFS('입금 Payments'!$C$3:$C$1002,'입금 Payments'!$B$3:$B$1002,$A601))</f>
      </c>
      <c r="P601" s="41">
        <f>IF($C601="","",ROUND($H601*(1+IF('설정 Settings'!$C$24="YES",'설정 Settings'!$C$26,0)),2)-N($O601))</f>
      </c>
      <c r="Q601" s="42">
        <f>IF($A601="","","INV-"&amp;$A601)</f>
      </c>
      <c r="R601" s="42">
        <f>IF($H601="","",IF($H601&gt;'설정 Settings'!$C$36,"$2,000 초과: e-Transfer 나눠 받기 (F36)",""))</f>
      </c>
    </row>
    <row r="602" spans="12:18" x14ac:dyDescent="0.25">
      <c r="L602" s="41">
        <f>IF($C602="","",IF($I602="",ROUND(IFERROR($H602*VLOOKUP($F602,'설정 Settings'!$A$122:$F$130,4,0)+VLOOKUP($F602,'설정 Settings'!$A$122:$F$130,5,0),0),2),$I602))</f>
      </c>
      <c r="M602" s="41">
        <f>IF($C602="","",$H602-$L602)</f>
      </c>
      <c r="N602" s="42">
        <f>IF($C602="","",IF($I602="","추정 ESTIMATE","실제 ACTUAL"))</f>
      </c>
      <c r="O602" s="41">
        <f>IF($A602="","",SUMIFS('입금 Payments'!$C$3:$C$1002,'입금 Payments'!$B$3:$B$1002,$A602))</f>
      </c>
      <c r="P602" s="41">
        <f>IF($C602="","",ROUND($H602*(1+IF('설정 Settings'!$C$24="YES",'설정 Settings'!$C$26,0)),2)-N($O602))</f>
      </c>
      <c r="Q602" s="42">
        <f>IF($A602="","","INV-"&amp;$A602)</f>
      </c>
      <c r="R602" s="42">
        <f>IF($H602="","",IF($H602&gt;'설정 Settings'!$C$36,"$2,000 초과: e-Transfer 나눠 받기 (F36)",""))</f>
      </c>
    </row>
    <row r="603" spans="12:18" x14ac:dyDescent="0.25">
      <c r="L603" s="41">
        <f>IF($C603="","",IF($I603="",ROUND(IFERROR($H603*VLOOKUP($F603,'설정 Settings'!$A$122:$F$130,4,0)+VLOOKUP($F603,'설정 Settings'!$A$122:$F$130,5,0),0),2),$I603))</f>
      </c>
      <c r="M603" s="41">
        <f>IF($C603="","",$H603-$L603)</f>
      </c>
      <c r="N603" s="42">
        <f>IF($C603="","",IF($I603="","추정 ESTIMATE","실제 ACTUAL"))</f>
      </c>
      <c r="O603" s="41">
        <f>IF($A603="","",SUMIFS('입금 Payments'!$C$3:$C$1002,'입금 Payments'!$B$3:$B$1002,$A603))</f>
      </c>
      <c r="P603" s="41">
        <f>IF($C603="","",ROUND($H603*(1+IF('설정 Settings'!$C$24="YES",'설정 Settings'!$C$26,0)),2)-N($O603))</f>
      </c>
      <c r="Q603" s="42">
        <f>IF($A603="","","INV-"&amp;$A603)</f>
      </c>
      <c r="R603" s="42">
        <f>IF($H603="","",IF($H603&gt;'설정 Settings'!$C$36,"$2,000 초과: e-Transfer 나눠 받기 (F36)",""))</f>
      </c>
    </row>
    <row r="604" spans="12:18" x14ac:dyDescent="0.25">
      <c r="L604" s="41">
        <f>IF($C604="","",IF($I604="",ROUND(IFERROR($H604*VLOOKUP($F604,'설정 Settings'!$A$122:$F$130,4,0)+VLOOKUP($F604,'설정 Settings'!$A$122:$F$130,5,0),0),2),$I604))</f>
      </c>
      <c r="M604" s="41">
        <f>IF($C604="","",$H604-$L604)</f>
      </c>
      <c r="N604" s="42">
        <f>IF($C604="","",IF($I604="","추정 ESTIMATE","실제 ACTUAL"))</f>
      </c>
      <c r="O604" s="41">
        <f>IF($A604="","",SUMIFS('입금 Payments'!$C$3:$C$1002,'입금 Payments'!$B$3:$B$1002,$A604))</f>
      </c>
      <c r="P604" s="41">
        <f>IF($C604="","",ROUND($H604*(1+IF('설정 Settings'!$C$24="YES",'설정 Settings'!$C$26,0)),2)-N($O604))</f>
      </c>
      <c r="Q604" s="42">
        <f>IF($A604="","","INV-"&amp;$A604)</f>
      </c>
      <c r="R604" s="42">
        <f>IF($H604="","",IF($H604&gt;'설정 Settings'!$C$36,"$2,000 초과: e-Transfer 나눠 받기 (F36)",""))</f>
      </c>
    </row>
    <row r="605" spans="12:18" x14ac:dyDescent="0.25">
      <c r="L605" s="41">
        <f>IF($C605="","",IF($I605="",ROUND(IFERROR($H605*VLOOKUP($F605,'설정 Settings'!$A$122:$F$130,4,0)+VLOOKUP($F605,'설정 Settings'!$A$122:$F$130,5,0),0),2),$I605))</f>
      </c>
      <c r="M605" s="41">
        <f>IF($C605="","",$H605-$L605)</f>
      </c>
      <c r="N605" s="42">
        <f>IF($C605="","",IF($I605="","추정 ESTIMATE","실제 ACTUAL"))</f>
      </c>
      <c r="O605" s="41">
        <f>IF($A605="","",SUMIFS('입금 Payments'!$C$3:$C$1002,'입금 Payments'!$B$3:$B$1002,$A605))</f>
      </c>
      <c r="P605" s="41">
        <f>IF($C605="","",ROUND($H605*(1+IF('설정 Settings'!$C$24="YES",'설정 Settings'!$C$26,0)),2)-N($O605))</f>
      </c>
      <c r="Q605" s="42">
        <f>IF($A605="","","INV-"&amp;$A605)</f>
      </c>
      <c r="R605" s="42">
        <f>IF($H605="","",IF($H605&gt;'설정 Settings'!$C$36,"$2,000 초과: e-Transfer 나눠 받기 (F36)",""))</f>
      </c>
    </row>
    <row r="606" spans="12:18" x14ac:dyDescent="0.25">
      <c r="L606" s="41">
        <f>IF($C606="","",IF($I606="",ROUND(IFERROR($H606*VLOOKUP($F606,'설정 Settings'!$A$122:$F$130,4,0)+VLOOKUP($F606,'설정 Settings'!$A$122:$F$130,5,0),0),2),$I606))</f>
      </c>
      <c r="M606" s="41">
        <f>IF($C606="","",$H606-$L606)</f>
      </c>
      <c r="N606" s="42">
        <f>IF($C606="","",IF($I606="","추정 ESTIMATE","실제 ACTUAL"))</f>
      </c>
      <c r="O606" s="41">
        <f>IF($A606="","",SUMIFS('입금 Payments'!$C$3:$C$1002,'입금 Payments'!$B$3:$B$1002,$A606))</f>
      </c>
      <c r="P606" s="41">
        <f>IF($C606="","",ROUND($H606*(1+IF('설정 Settings'!$C$24="YES",'설정 Settings'!$C$26,0)),2)-N($O606))</f>
      </c>
      <c r="Q606" s="42">
        <f>IF($A606="","","INV-"&amp;$A606)</f>
      </c>
      <c r="R606" s="42">
        <f>IF($H606="","",IF($H606&gt;'설정 Settings'!$C$36,"$2,000 초과: e-Transfer 나눠 받기 (F36)",""))</f>
      </c>
    </row>
    <row r="607" spans="12:18" x14ac:dyDescent="0.25">
      <c r="L607" s="41">
        <f>IF($C607="","",IF($I607="",ROUND(IFERROR($H607*VLOOKUP($F607,'설정 Settings'!$A$122:$F$130,4,0)+VLOOKUP($F607,'설정 Settings'!$A$122:$F$130,5,0),0),2),$I607))</f>
      </c>
      <c r="M607" s="41">
        <f>IF($C607="","",$H607-$L607)</f>
      </c>
      <c r="N607" s="42">
        <f>IF($C607="","",IF($I607="","추정 ESTIMATE","실제 ACTUAL"))</f>
      </c>
      <c r="O607" s="41">
        <f>IF($A607="","",SUMIFS('입금 Payments'!$C$3:$C$1002,'입금 Payments'!$B$3:$B$1002,$A607))</f>
      </c>
      <c r="P607" s="41">
        <f>IF($C607="","",ROUND($H607*(1+IF('설정 Settings'!$C$24="YES",'설정 Settings'!$C$26,0)),2)-N($O607))</f>
      </c>
      <c r="Q607" s="42">
        <f>IF($A607="","","INV-"&amp;$A607)</f>
      </c>
      <c r="R607" s="42">
        <f>IF($H607="","",IF($H607&gt;'설정 Settings'!$C$36,"$2,000 초과: e-Transfer 나눠 받기 (F36)",""))</f>
      </c>
    </row>
    <row r="608" spans="12:18" x14ac:dyDescent="0.25">
      <c r="L608" s="41">
        <f>IF($C608="","",IF($I608="",ROUND(IFERROR($H608*VLOOKUP($F608,'설정 Settings'!$A$122:$F$130,4,0)+VLOOKUP($F608,'설정 Settings'!$A$122:$F$130,5,0),0),2),$I608))</f>
      </c>
      <c r="M608" s="41">
        <f>IF($C608="","",$H608-$L608)</f>
      </c>
      <c r="N608" s="42">
        <f>IF($C608="","",IF($I608="","추정 ESTIMATE","실제 ACTUAL"))</f>
      </c>
      <c r="O608" s="41">
        <f>IF($A608="","",SUMIFS('입금 Payments'!$C$3:$C$1002,'입금 Payments'!$B$3:$B$1002,$A608))</f>
      </c>
      <c r="P608" s="41">
        <f>IF($C608="","",ROUND($H608*(1+IF('설정 Settings'!$C$24="YES",'설정 Settings'!$C$26,0)),2)-N($O608))</f>
      </c>
      <c r="Q608" s="42">
        <f>IF($A608="","","INV-"&amp;$A608)</f>
      </c>
      <c r="R608" s="42">
        <f>IF($H608="","",IF($H608&gt;'설정 Settings'!$C$36,"$2,000 초과: e-Transfer 나눠 받기 (F36)",""))</f>
      </c>
    </row>
    <row r="609" spans="12:18" x14ac:dyDescent="0.25">
      <c r="L609" s="41">
        <f>IF($C609="","",IF($I609="",ROUND(IFERROR($H609*VLOOKUP($F609,'설정 Settings'!$A$122:$F$130,4,0)+VLOOKUP($F609,'설정 Settings'!$A$122:$F$130,5,0),0),2),$I609))</f>
      </c>
      <c r="M609" s="41">
        <f>IF($C609="","",$H609-$L609)</f>
      </c>
      <c r="N609" s="42">
        <f>IF($C609="","",IF($I609="","추정 ESTIMATE","실제 ACTUAL"))</f>
      </c>
      <c r="O609" s="41">
        <f>IF($A609="","",SUMIFS('입금 Payments'!$C$3:$C$1002,'입금 Payments'!$B$3:$B$1002,$A609))</f>
      </c>
      <c r="P609" s="41">
        <f>IF($C609="","",ROUND($H609*(1+IF('설정 Settings'!$C$24="YES",'설정 Settings'!$C$26,0)),2)-N($O609))</f>
      </c>
      <c r="Q609" s="42">
        <f>IF($A609="","","INV-"&amp;$A609)</f>
      </c>
      <c r="R609" s="42">
        <f>IF($H609="","",IF($H609&gt;'설정 Settings'!$C$36,"$2,000 초과: e-Transfer 나눠 받기 (F36)",""))</f>
      </c>
    </row>
    <row r="610" spans="12:18" x14ac:dyDescent="0.25">
      <c r="L610" s="41">
        <f>IF($C610="","",IF($I610="",ROUND(IFERROR($H610*VLOOKUP($F610,'설정 Settings'!$A$122:$F$130,4,0)+VLOOKUP($F610,'설정 Settings'!$A$122:$F$130,5,0),0),2),$I610))</f>
      </c>
      <c r="M610" s="41">
        <f>IF($C610="","",$H610-$L610)</f>
      </c>
      <c r="N610" s="42">
        <f>IF($C610="","",IF($I610="","추정 ESTIMATE","실제 ACTUAL"))</f>
      </c>
      <c r="O610" s="41">
        <f>IF($A610="","",SUMIFS('입금 Payments'!$C$3:$C$1002,'입금 Payments'!$B$3:$B$1002,$A610))</f>
      </c>
      <c r="P610" s="41">
        <f>IF($C610="","",ROUND($H610*(1+IF('설정 Settings'!$C$24="YES",'설정 Settings'!$C$26,0)),2)-N($O610))</f>
      </c>
      <c r="Q610" s="42">
        <f>IF($A610="","","INV-"&amp;$A610)</f>
      </c>
      <c r="R610" s="42">
        <f>IF($H610="","",IF($H610&gt;'설정 Settings'!$C$36,"$2,000 초과: e-Transfer 나눠 받기 (F36)",""))</f>
      </c>
    </row>
    <row r="611" spans="12:18" x14ac:dyDescent="0.25">
      <c r="L611" s="41">
        <f>IF($C611="","",IF($I611="",ROUND(IFERROR($H611*VLOOKUP($F611,'설정 Settings'!$A$122:$F$130,4,0)+VLOOKUP($F611,'설정 Settings'!$A$122:$F$130,5,0),0),2),$I611))</f>
      </c>
      <c r="M611" s="41">
        <f>IF($C611="","",$H611-$L611)</f>
      </c>
      <c r="N611" s="42">
        <f>IF($C611="","",IF($I611="","추정 ESTIMATE","실제 ACTUAL"))</f>
      </c>
      <c r="O611" s="41">
        <f>IF($A611="","",SUMIFS('입금 Payments'!$C$3:$C$1002,'입금 Payments'!$B$3:$B$1002,$A611))</f>
      </c>
      <c r="P611" s="41">
        <f>IF($C611="","",ROUND($H611*(1+IF('설정 Settings'!$C$24="YES",'설정 Settings'!$C$26,0)),2)-N($O611))</f>
      </c>
      <c r="Q611" s="42">
        <f>IF($A611="","","INV-"&amp;$A611)</f>
      </c>
      <c r="R611" s="42">
        <f>IF($H611="","",IF($H611&gt;'설정 Settings'!$C$36,"$2,000 초과: e-Transfer 나눠 받기 (F36)",""))</f>
      </c>
    </row>
    <row r="612" spans="12:18" x14ac:dyDescent="0.25">
      <c r="L612" s="41">
        <f>IF($C612="","",IF($I612="",ROUND(IFERROR($H612*VLOOKUP($F612,'설정 Settings'!$A$122:$F$130,4,0)+VLOOKUP($F612,'설정 Settings'!$A$122:$F$130,5,0),0),2),$I612))</f>
      </c>
      <c r="M612" s="41">
        <f>IF($C612="","",$H612-$L612)</f>
      </c>
      <c r="N612" s="42">
        <f>IF($C612="","",IF($I612="","추정 ESTIMATE","실제 ACTUAL"))</f>
      </c>
      <c r="O612" s="41">
        <f>IF($A612="","",SUMIFS('입금 Payments'!$C$3:$C$1002,'입금 Payments'!$B$3:$B$1002,$A612))</f>
      </c>
      <c r="P612" s="41">
        <f>IF($C612="","",ROUND($H612*(1+IF('설정 Settings'!$C$24="YES",'설정 Settings'!$C$26,0)),2)-N($O612))</f>
      </c>
      <c r="Q612" s="42">
        <f>IF($A612="","","INV-"&amp;$A612)</f>
      </c>
      <c r="R612" s="42">
        <f>IF($H612="","",IF($H612&gt;'설정 Settings'!$C$36,"$2,000 초과: e-Transfer 나눠 받기 (F36)",""))</f>
      </c>
    </row>
    <row r="613" spans="12:18" x14ac:dyDescent="0.25">
      <c r="L613" s="41">
        <f>IF($C613="","",IF($I613="",ROUND(IFERROR($H613*VLOOKUP($F613,'설정 Settings'!$A$122:$F$130,4,0)+VLOOKUP($F613,'설정 Settings'!$A$122:$F$130,5,0),0),2),$I613))</f>
      </c>
      <c r="M613" s="41">
        <f>IF($C613="","",$H613-$L613)</f>
      </c>
      <c r="N613" s="42">
        <f>IF($C613="","",IF($I613="","추정 ESTIMATE","실제 ACTUAL"))</f>
      </c>
      <c r="O613" s="41">
        <f>IF($A613="","",SUMIFS('입금 Payments'!$C$3:$C$1002,'입금 Payments'!$B$3:$B$1002,$A613))</f>
      </c>
      <c r="P613" s="41">
        <f>IF($C613="","",ROUND($H613*(1+IF('설정 Settings'!$C$24="YES",'설정 Settings'!$C$26,0)),2)-N($O613))</f>
      </c>
      <c r="Q613" s="42">
        <f>IF($A613="","","INV-"&amp;$A613)</f>
      </c>
      <c r="R613" s="42">
        <f>IF($H613="","",IF($H613&gt;'설정 Settings'!$C$36,"$2,000 초과: e-Transfer 나눠 받기 (F36)",""))</f>
      </c>
    </row>
    <row r="614" spans="12:18" x14ac:dyDescent="0.25">
      <c r="L614" s="41">
        <f>IF($C614="","",IF($I614="",ROUND(IFERROR($H614*VLOOKUP($F614,'설정 Settings'!$A$122:$F$130,4,0)+VLOOKUP($F614,'설정 Settings'!$A$122:$F$130,5,0),0),2),$I614))</f>
      </c>
      <c r="M614" s="41">
        <f>IF($C614="","",$H614-$L614)</f>
      </c>
      <c r="N614" s="42">
        <f>IF($C614="","",IF($I614="","추정 ESTIMATE","실제 ACTUAL"))</f>
      </c>
      <c r="O614" s="41">
        <f>IF($A614="","",SUMIFS('입금 Payments'!$C$3:$C$1002,'입금 Payments'!$B$3:$B$1002,$A614))</f>
      </c>
      <c r="P614" s="41">
        <f>IF($C614="","",ROUND($H614*(1+IF('설정 Settings'!$C$24="YES",'설정 Settings'!$C$26,0)),2)-N($O614))</f>
      </c>
      <c r="Q614" s="42">
        <f>IF($A614="","","INV-"&amp;$A614)</f>
      </c>
      <c r="R614" s="42">
        <f>IF($H614="","",IF($H614&gt;'설정 Settings'!$C$36,"$2,000 초과: e-Transfer 나눠 받기 (F36)",""))</f>
      </c>
    </row>
    <row r="615" spans="12:18" x14ac:dyDescent="0.25">
      <c r="L615" s="41">
        <f>IF($C615="","",IF($I615="",ROUND(IFERROR($H615*VLOOKUP($F615,'설정 Settings'!$A$122:$F$130,4,0)+VLOOKUP($F615,'설정 Settings'!$A$122:$F$130,5,0),0),2),$I615))</f>
      </c>
      <c r="M615" s="41">
        <f>IF($C615="","",$H615-$L615)</f>
      </c>
      <c r="N615" s="42">
        <f>IF($C615="","",IF($I615="","추정 ESTIMATE","실제 ACTUAL"))</f>
      </c>
      <c r="O615" s="41">
        <f>IF($A615="","",SUMIFS('입금 Payments'!$C$3:$C$1002,'입금 Payments'!$B$3:$B$1002,$A615))</f>
      </c>
      <c r="P615" s="41">
        <f>IF($C615="","",ROUND($H615*(1+IF('설정 Settings'!$C$24="YES",'설정 Settings'!$C$26,0)),2)-N($O615))</f>
      </c>
      <c r="Q615" s="42">
        <f>IF($A615="","","INV-"&amp;$A615)</f>
      </c>
      <c r="R615" s="42">
        <f>IF($H615="","",IF($H615&gt;'설정 Settings'!$C$36,"$2,000 초과: e-Transfer 나눠 받기 (F36)",""))</f>
      </c>
    </row>
    <row r="616" spans="12:18" x14ac:dyDescent="0.25">
      <c r="L616" s="41">
        <f>IF($C616="","",IF($I616="",ROUND(IFERROR($H616*VLOOKUP($F616,'설정 Settings'!$A$122:$F$130,4,0)+VLOOKUP($F616,'설정 Settings'!$A$122:$F$130,5,0),0),2),$I616))</f>
      </c>
      <c r="M616" s="41">
        <f>IF($C616="","",$H616-$L616)</f>
      </c>
      <c r="N616" s="42">
        <f>IF($C616="","",IF($I616="","추정 ESTIMATE","실제 ACTUAL"))</f>
      </c>
      <c r="O616" s="41">
        <f>IF($A616="","",SUMIFS('입금 Payments'!$C$3:$C$1002,'입금 Payments'!$B$3:$B$1002,$A616))</f>
      </c>
      <c r="P616" s="41">
        <f>IF($C616="","",ROUND($H616*(1+IF('설정 Settings'!$C$24="YES",'설정 Settings'!$C$26,0)),2)-N($O616))</f>
      </c>
      <c r="Q616" s="42">
        <f>IF($A616="","","INV-"&amp;$A616)</f>
      </c>
      <c r="R616" s="42">
        <f>IF($H616="","",IF($H616&gt;'설정 Settings'!$C$36,"$2,000 초과: e-Transfer 나눠 받기 (F36)",""))</f>
      </c>
    </row>
    <row r="617" spans="12:18" x14ac:dyDescent="0.25">
      <c r="L617" s="41">
        <f>IF($C617="","",IF($I617="",ROUND(IFERROR($H617*VLOOKUP($F617,'설정 Settings'!$A$122:$F$130,4,0)+VLOOKUP($F617,'설정 Settings'!$A$122:$F$130,5,0),0),2),$I617))</f>
      </c>
      <c r="M617" s="41">
        <f>IF($C617="","",$H617-$L617)</f>
      </c>
      <c r="N617" s="42">
        <f>IF($C617="","",IF($I617="","추정 ESTIMATE","실제 ACTUAL"))</f>
      </c>
      <c r="O617" s="41">
        <f>IF($A617="","",SUMIFS('입금 Payments'!$C$3:$C$1002,'입금 Payments'!$B$3:$B$1002,$A617))</f>
      </c>
      <c r="P617" s="41">
        <f>IF($C617="","",ROUND($H617*(1+IF('설정 Settings'!$C$24="YES",'설정 Settings'!$C$26,0)),2)-N($O617))</f>
      </c>
      <c r="Q617" s="42">
        <f>IF($A617="","","INV-"&amp;$A617)</f>
      </c>
      <c r="R617" s="42">
        <f>IF($H617="","",IF($H617&gt;'설정 Settings'!$C$36,"$2,000 초과: e-Transfer 나눠 받기 (F36)",""))</f>
      </c>
    </row>
    <row r="618" spans="12:18" x14ac:dyDescent="0.25">
      <c r="L618" s="41">
        <f>IF($C618="","",IF($I618="",ROUND(IFERROR($H618*VLOOKUP($F618,'설정 Settings'!$A$122:$F$130,4,0)+VLOOKUP($F618,'설정 Settings'!$A$122:$F$130,5,0),0),2),$I618))</f>
      </c>
      <c r="M618" s="41">
        <f>IF($C618="","",$H618-$L618)</f>
      </c>
      <c r="N618" s="42">
        <f>IF($C618="","",IF($I618="","추정 ESTIMATE","실제 ACTUAL"))</f>
      </c>
      <c r="O618" s="41">
        <f>IF($A618="","",SUMIFS('입금 Payments'!$C$3:$C$1002,'입금 Payments'!$B$3:$B$1002,$A618))</f>
      </c>
      <c r="P618" s="41">
        <f>IF($C618="","",ROUND($H618*(1+IF('설정 Settings'!$C$24="YES",'설정 Settings'!$C$26,0)),2)-N($O618))</f>
      </c>
      <c r="Q618" s="42">
        <f>IF($A618="","","INV-"&amp;$A618)</f>
      </c>
      <c r="R618" s="42">
        <f>IF($H618="","",IF($H618&gt;'설정 Settings'!$C$36,"$2,000 초과: e-Transfer 나눠 받기 (F36)",""))</f>
      </c>
    </row>
    <row r="619" spans="12:18" x14ac:dyDescent="0.25">
      <c r="L619" s="41">
        <f>IF($C619="","",IF($I619="",ROUND(IFERROR($H619*VLOOKUP($F619,'설정 Settings'!$A$122:$F$130,4,0)+VLOOKUP($F619,'설정 Settings'!$A$122:$F$130,5,0),0),2),$I619))</f>
      </c>
      <c r="M619" s="41">
        <f>IF($C619="","",$H619-$L619)</f>
      </c>
      <c r="N619" s="42">
        <f>IF($C619="","",IF($I619="","추정 ESTIMATE","실제 ACTUAL"))</f>
      </c>
      <c r="O619" s="41">
        <f>IF($A619="","",SUMIFS('입금 Payments'!$C$3:$C$1002,'입금 Payments'!$B$3:$B$1002,$A619))</f>
      </c>
      <c r="P619" s="41">
        <f>IF($C619="","",ROUND($H619*(1+IF('설정 Settings'!$C$24="YES",'설정 Settings'!$C$26,0)),2)-N($O619))</f>
      </c>
      <c r="Q619" s="42">
        <f>IF($A619="","","INV-"&amp;$A619)</f>
      </c>
      <c r="R619" s="42">
        <f>IF($H619="","",IF($H619&gt;'설정 Settings'!$C$36,"$2,000 초과: e-Transfer 나눠 받기 (F36)",""))</f>
      </c>
    </row>
    <row r="620" spans="12:18" x14ac:dyDescent="0.25">
      <c r="L620" s="41">
        <f>IF($C620="","",IF($I620="",ROUND(IFERROR($H620*VLOOKUP($F620,'설정 Settings'!$A$122:$F$130,4,0)+VLOOKUP($F620,'설정 Settings'!$A$122:$F$130,5,0),0),2),$I620))</f>
      </c>
      <c r="M620" s="41">
        <f>IF($C620="","",$H620-$L620)</f>
      </c>
      <c r="N620" s="42">
        <f>IF($C620="","",IF($I620="","추정 ESTIMATE","실제 ACTUAL"))</f>
      </c>
      <c r="O620" s="41">
        <f>IF($A620="","",SUMIFS('입금 Payments'!$C$3:$C$1002,'입금 Payments'!$B$3:$B$1002,$A620))</f>
      </c>
      <c r="P620" s="41">
        <f>IF($C620="","",ROUND($H620*(1+IF('설정 Settings'!$C$24="YES",'설정 Settings'!$C$26,0)),2)-N($O620))</f>
      </c>
      <c r="Q620" s="42">
        <f>IF($A620="","","INV-"&amp;$A620)</f>
      </c>
      <c r="R620" s="42">
        <f>IF($H620="","",IF($H620&gt;'설정 Settings'!$C$36,"$2,000 초과: e-Transfer 나눠 받기 (F36)",""))</f>
      </c>
    </row>
    <row r="621" spans="12:18" x14ac:dyDescent="0.25">
      <c r="L621" s="41">
        <f>IF($C621="","",IF($I621="",ROUND(IFERROR($H621*VLOOKUP($F621,'설정 Settings'!$A$122:$F$130,4,0)+VLOOKUP($F621,'설정 Settings'!$A$122:$F$130,5,0),0),2),$I621))</f>
      </c>
      <c r="M621" s="41">
        <f>IF($C621="","",$H621-$L621)</f>
      </c>
      <c r="N621" s="42">
        <f>IF($C621="","",IF($I621="","추정 ESTIMATE","실제 ACTUAL"))</f>
      </c>
      <c r="O621" s="41">
        <f>IF($A621="","",SUMIFS('입금 Payments'!$C$3:$C$1002,'입금 Payments'!$B$3:$B$1002,$A621))</f>
      </c>
      <c r="P621" s="41">
        <f>IF($C621="","",ROUND($H621*(1+IF('설정 Settings'!$C$24="YES",'설정 Settings'!$C$26,0)),2)-N($O621))</f>
      </c>
      <c r="Q621" s="42">
        <f>IF($A621="","","INV-"&amp;$A621)</f>
      </c>
      <c r="R621" s="42">
        <f>IF($H621="","",IF($H621&gt;'설정 Settings'!$C$36,"$2,000 초과: e-Transfer 나눠 받기 (F36)",""))</f>
      </c>
    </row>
    <row r="622" spans="12:18" x14ac:dyDescent="0.25">
      <c r="L622" s="41">
        <f>IF($C622="","",IF($I622="",ROUND(IFERROR($H622*VLOOKUP($F622,'설정 Settings'!$A$122:$F$130,4,0)+VLOOKUP($F622,'설정 Settings'!$A$122:$F$130,5,0),0),2),$I622))</f>
      </c>
      <c r="M622" s="41">
        <f>IF($C622="","",$H622-$L622)</f>
      </c>
      <c r="N622" s="42">
        <f>IF($C622="","",IF($I622="","추정 ESTIMATE","실제 ACTUAL"))</f>
      </c>
      <c r="O622" s="41">
        <f>IF($A622="","",SUMIFS('입금 Payments'!$C$3:$C$1002,'입금 Payments'!$B$3:$B$1002,$A622))</f>
      </c>
      <c r="P622" s="41">
        <f>IF($C622="","",ROUND($H622*(1+IF('설정 Settings'!$C$24="YES",'설정 Settings'!$C$26,0)),2)-N($O622))</f>
      </c>
      <c r="Q622" s="42">
        <f>IF($A622="","","INV-"&amp;$A622)</f>
      </c>
      <c r="R622" s="42">
        <f>IF($H622="","",IF($H622&gt;'설정 Settings'!$C$36,"$2,000 초과: e-Transfer 나눠 받기 (F36)",""))</f>
      </c>
    </row>
    <row r="623" spans="12:18" x14ac:dyDescent="0.25">
      <c r="L623" s="41">
        <f>IF($C623="","",IF($I623="",ROUND(IFERROR($H623*VLOOKUP($F623,'설정 Settings'!$A$122:$F$130,4,0)+VLOOKUP($F623,'설정 Settings'!$A$122:$F$130,5,0),0),2),$I623))</f>
      </c>
      <c r="M623" s="41">
        <f>IF($C623="","",$H623-$L623)</f>
      </c>
      <c r="N623" s="42">
        <f>IF($C623="","",IF($I623="","추정 ESTIMATE","실제 ACTUAL"))</f>
      </c>
      <c r="O623" s="41">
        <f>IF($A623="","",SUMIFS('입금 Payments'!$C$3:$C$1002,'입금 Payments'!$B$3:$B$1002,$A623))</f>
      </c>
      <c r="P623" s="41">
        <f>IF($C623="","",ROUND($H623*(1+IF('설정 Settings'!$C$24="YES",'설정 Settings'!$C$26,0)),2)-N($O623))</f>
      </c>
      <c r="Q623" s="42">
        <f>IF($A623="","","INV-"&amp;$A623)</f>
      </c>
      <c r="R623" s="42">
        <f>IF($H623="","",IF($H623&gt;'설정 Settings'!$C$36,"$2,000 초과: e-Transfer 나눠 받기 (F36)",""))</f>
      </c>
    </row>
    <row r="624" spans="12:18" x14ac:dyDescent="0.25">
      <c r="L624" s="41">
        <f>IF($C624="","",IF($I624="",ROUND(IFERROR($H624*VLOOKUP($F624,'설정 Settings'!$A$122:$F$130,4,0)+VLOOKUP($F624,'설정 Settings'!$A$122:$F$130,5,0),0),2),$I624))</f>
      </c>
      <c r="M624" s="41">
        <f>IF($C624="","",$H624-$L624)</f>
      </c>
      <c r="N624" s="42">
        <f>IF($C624="","",IF($I624="","추정 ESTIMATE","실제 ACTUAL"))</f>
      </c>
      <c r="O624" s="41">
        <f>IF($A624="","",SUMIFS('입금 Payments'!$C$3:$C$1002,'입금 Payments'!$B$3:$B$1002,$A624))</f>
      </c>
      <c r="P624" s="41">
        <f>IF($C624="","",ROUND($H624*(1+IF('설정 Settings'!$C$24="YES",'설정 Settings'!$C$26,0)),2)-N($O624))</f>
      </c>
      <c r="Q624" s="42">
        <f>IF($A624="","","INV-"&amp;$A624)</f>
      </c>
      <c r="R624" s="42">
        <f>IF($H624="","",IF($H624&gt;'설정 Settings'!$C$36,"$2,000 초과: e-Transfer 나눠 받기 (F36)",""))</f>
      </c>
    </row>
    <row r="625" spans="12:18" x14ac:dyDescent="0.25">
      <c r="L625" s="41">
        <f>IF($C625="","",IF($I625="",ROUND(IFERROR($H625*VLOOKUP($F625,'설정 Settings'!$A$122:$F$130,4,0)+VLOOKUP($F625,'설정 Settings'!$A$122:$F$130,5,0),0),2),$I625))</f>
      </c>
      <c r="M625" s="41">
        <f>IF($C625="","",$H625-$L625)</f>
      </c>
      <c r="N625" s="42">
        <f>IF($C625="","",IF($I625="","추정 ESTIMATE","실제 ACTUAL"))</f>
      </c>
      <c r="O625" s="41">
        <f>IF($A625="","",SUMIFS('입금 Payments'!$C$3:$C$1002,'입금 Payments'!$B$3:$B$1002,$A625))</f>
      </c>
      <c r="P625" s="41">
        <f>IF($C625="","",ROUND($H625*(1+IF('설정 Settings'!$C$24="YES",'설정 Settings'!$C$26,0)),2)-N($O625))</f>
      </c>
      <c r="Q625" s="42">
        <f>IF($A625="","","INV-"&amp;$A625)</f>
      </c>
      <c r="R625" s="42">
        <f>IF($H625="","",IF($H625&gt;'설정 Settings'!$C$36,"$2,000 초과: e-Transfer 나눠 받기 (F36)",""))</f>
      </c>
    </row>
    <row r="626" spans="12:18" x14ac:dyDescent="0.25">
      <c r="L626" s="41">
        <f>IF($C626="","",IF($I626="",ROUND(IFERROR($H626*VLOOKUP($F626,'설정 Settings'!$A$122:$F$130,4,0)+VLOOKUP($F626,'설정 Settings'!$A$122:$F$130,5,0),0),2),$I626))</f>
      </c>
      <c r="M626" s="41">
        <f>IF($C626="","",$H626-$L626)</f>
      </c>
      <c r="N626" s="42">
        <f>IF($C626="","",IF($I626="","추정 ESTIMATE","실제 ACTUAL"))</f>
      </c>
      <c r="O626" s="41">
        <f>IF($A626="","",SUMIFS('입금 Payments'!$C$3:$C$1002,'입금 Payments'!$B$3:$B$1002,$A626))</f>
      </c>
      <c r="P626" s="41">
        <f>IF($C626="","",ROUND($H626*(1+IF('설정 Settings'!$C$24="YES",'설정 Settings'!$C$26,0)),2)-N($O626))</f>
      </c>
      <c r="Q626" s="42">
        <f>IF($A626="","","INV-"&amp;$A626)</f>
      </c>
      <c r="R626" s="42">
        <f>IF($H626="","",IF($H626&gt;'설정 Settings'!$C$36,"$2,000 초과: e-Transfer 나눠 받기 (F36)",""))</f>
      </c>
    </row>
    <row r="627" spans="12:18" x14ac:dyDescent="0.25">
      <c r="L627" s="41">
        <f>IF($C627="","",IF($I627="",ROUND(IFERROR($H627*VLOOKUP($F627,'설정 Settings'!$A$122:$F$130,4,0)+VLOOKUP($F627,'설정 Settings'!$A$122:$F$130,5,0),0),2),$I627))</f>
      </c>
      <c r="M627" s="41">
        <f>IF($C627="","",$H627-$L627)</f>
      </c>
      <c r="N627" s="42">
        <f>IF($C627="","",IF($I627="","추정 ESTIMATE","실제 ACTUAL"))</f>
      </c>
      <c r="O627" s="41">
        <f>IF($A627="","",SUMIFS('입금 Payments'!$C$3:$C$1002,'입금 Payments'!$B$3:$B$1002,$A627))</f>
      </c>
      <c r="P627" s="41">
        <f>IF($C627="","",ROUND($H627*(1+IF('설정 Settings'!$C$24="YES",'설정 Settings'!$C$26,0)),2)-N($O627))</f>
      </c>
      <c r="Q627" s="42">
        <f>IF($A627="","","INV-"&amp;$A627)</f>
      </c>
      <c r="R627" s="42">
        <f>IF($H627="","",IF($H627&gt;'설정 Settings'!$C$36,"$2,000 초과: e-Transfer 나눠 받기 (F36)",""))</f>
      </c>
    </row>
    <row r="628" spans="12:18" x14ac:dyDescent="0.25">
      <c r="L628" s="41">
        <f>IF($C628="","",IF($I628="",ROUND(IFERROR($H628*VLOOKUP($F628,'설정 Settings'!$A$122:$F$130,4,0)+VLOOKUP($F628,'설정 Settings'!$A$122:$F$130,5,0),0),2),$I628))</f>
      </c>
      <c r="M628" s="41">
        <f>IF($C628="","",$H628-$L628)</f>
      </c>
      <c r="N628" s="42">
        <f>IF($C628="","",IF($I628="","추정 ESTIMATE","실제 ACTUAL"))</f>
      </c>
      <c r="O628" s="41">
        <f>IF($A628="","",SUMIFS('입금 Payments'!$C$3:$C$1002,'입금 Payments'!$B$3:$B$1002,$A628))</f>
      </c>
      <c r="P628" s="41">
        <f>IF($C628="","",ROUND($H628*(1+IF('설정 Settings'!$C$24="YES",'설정 Settings'!$C$26,0)),2)-N($O628))</f>
      </c>
      <c r="Q628" s="42">
        <f>IF($A628="","","INV-"&amp;$A628)</f>
      </c>
      <c r="R628" s="42">
        <f>IF($H628="","",IF($H628&gt;'설정 Settings'!$C$36,"$2,000 초과: e-Transfer 나눠 받기 (F36)",""))</f>
      </c>
    </row>
    <row r="629" spans="12:18" x14ac:dyDescent="0.25">
      <c r="L629" s="41">
        <f>IF($C629="","",IF($I629="",ROUND(IFERROR($H629*VLOOKUP($F629,'설정 Settings'!$A$122:$F$130,4,0)+VLOOKUP($F629,'설정 Settings'!$A$122:$F$130,5,0),0),2),$I629))</f>
      </c>
      <c r="M629" s="41">
        <f>IF($C629="","",$H629-$L629)</f>
      </c>
      <c r="N629" s="42">
        <f>IF($C629="","",IF($I629="","추정 ESTIMATE","실제 ACTUAL"))</f>
      </c>
      <c r="O629" s="41">
        <f>IF($A629="","",SUMIFS('입금 Payments'!$C$3:$C$1002,'입금 Payments'!$B$3:$B$1002,$A629))</f>
      </c>
      <c r="P629" s="41">
        <f>IF($C629="","",ROUND($H629*(1+IF('설정 Settings'!$C$24="YES",'설정 Settings'!$C$26,0)),2)-N($O629))</f>
      </c>
      <c r="Q629" s="42">
        <f>IF($A629="","","INV-"&amp;$A629)</f>
      </c>
      <c r="R629" s="42">
        <f>IF($H629="","",IF($H629&gt;'설정 Settings'!$C$36,"$2,000 초과: e-Transfer 나눠 받기 (F36)",""))</f>
      </c>
    </row>
    <row r="630" spans="12:18" x14ac:dyDescent="0.25">
      <c r="L630" s="41">
        <f>IF($C630="","",IF($I630="",ROUND(IFERROR($H630*VLOOKUP($F630,'설정 Settings'!$A$122:$F$130,4,0)+VLOOKUP($F630,'설정 Settings'!$A$122:$F$130,5,0),0),2),$I630))</f>
      </c>
      <c r="M630" s="41">
        <f>IF($C630="","",$H630-$L630)</f>
      </c>
      <c r="N630" s="42">
        <f>IF($C630="","",IF($I630="","추정 ESTIMATE","실제 ACTUAL"))</f>
      </c>
      <c r="O630" s="41">
        <f>IF($A630="","",SUMIFS('입금 Payments'!$C$3:$C$1002,'입금 Payments'!$B$3:$B$1002,$A630))</f>
      </c>
      <c r="P630" s="41">
        <f>IF($C630="","",ROUND($H630*(1+IF('설정 Settings'!$C$24="YES",'설정 Settings'!$C$26,0)),2)-N($O630))</f>
      </c>
      <c r="Q630" s="42">
        <f>IF($A630="","","INV-"&amp;$A630)</f>
      </c>
      <c r="R630" s="42">
        <f>IF($H630="","",IF($H630&gt;'설정 Settings'!$C$36,"$2,000 초과: e-Transfer 나눠 받기 (F36)",""))</f>
      </c>
    </row>
    <row r="631" spans="12:18" x14ac:dyDescent="0.25">
      <c r="L631" s="41">
        <f>IF($C631="","",IF($I631="",ROUND(IFERROR($H631*VLOOKUP($F631,'설정 Settings'!$A$122:$F$130,4,0)+VLOOKUP($F631,'설정 Settings'!$A$122:$F$130,5,0),0),2),$I631))</f>
      </c>
      <c r="M631" s="41">
        <f>IF($C631="","",$H631-$L631)</f>
      </c>
      <c r="N631" s="42">
        <f>IF($C631="","",IF($I631="","추정 ESTIMATE","실제 ACTUAL"))</f>
      </c>
      <c r="O631" s="41">
        <f>IF($A631="","",SUMIFS('입금 Payments'!$C$3:$C$1002,'입금 Payments'!$B$3:$B$1002,$A631))</f>
      </c>
      <c r="P631" s="41">
        <f>IF($C631="","",ROUND($H631*(1+IF('설정 Settings'!$C$24="YES",'설정 Settings'!$C$26,0)),2)-N($O631))</f>
      </c>
      <c r="Q631" s="42">
        <f>IF($A631="","","INV-"&amp;$A631)</f>
      </c>
      <c r="R631" s="42">
        <f>IF($H631="","",IF($H631&gt;'설정 Settings'!$C$36,"$2,000 초과: e-Transfer 나눠 받기 (F36)",""))</f>
      </c>
    </row>
    <row r="632" spans="12:18" x14ac:dyDescent="0.25">
      <c r="L632" s="41">
        <f>IF($C632="","",IF($I632="",ROUND(IFERROR($H632*VLOOKUP($F632,'설정 Settings'!$A$122:$F$130,4,0)+VLOOKUP($F632,'설정 Settings'!$A$122:$F$130,5,0),0),2),$I632))</f>
      </c>
      <c r="M632" s="41">
        <f>IF($C632="","",$H632-$L632)</f>
      </c>
      <c r="N632" s="42">
        <f>IF($C632="","",IF($I632="","추정 ESTIMATE","실제 ACTUAL"))</f>
      </c>
      <c r="O632" s="41">
        <f>IF($A632="","",SUMIFS('입금 Payments'!$C$3:$C$1002,'입금 Payments'!$B$3:$B$1002,$A632))</f>
      </c>
      <c r="P632" s="41">
        <f>IF($C632="","",ROUND($H632*(1+IF('설정 Settings'!$C$24="YES",'설정 Settings'!$C$26,0)),2)-N($O632))</f>
      </c>
      <c r="Q632" s="42">
        <f>IF($A632="","","INV-"&amp;$A632)</f>
      </c>
      <c r="R632" s="42">
        <f>IF($H632="","",IF($H632&gt;'설정 Settings'!$C$36,"$2,000 초과: e-Transfer 나눠 받기 (F36)",""))</f>
      </c>
    </row>
    <row r="633" spans="12:18" x14ac:dyDescent="0.25">
      <c r="L633" s="41">
        <f>IF($C633="","",IF($I633="",ROUND(IFERROR($H633*VLOOKUP($F633,'설정 Settings'!$A$122:$F$130,4,0)+VLOOKUP($F633,'설정 Settings'!$A$122:$F$130,5,0),0),2),$I633))</f>
      </c>
      <c r="M633" s="41">
        <f>IF($C633="","",$H633-$L633)</f>
      </c>
      <c r="N633" s="42">
        <f>IF($C633="","",IF($I633="","추정 ESTIMATE","실제 ACTUAL"))</f>
      </c>
      <c r="O633" s="41">
        <f>IF($A633="","",SUMIFS('입금 Payments'!$C$3:$C$1002,'입금 Payments'!$B$3:$B$1002,$A633))</f>
      </c>
      <c r="P633" s="41">
        <f>IF($C633="","",ROUND($H633*(1+IF('설정 Settings'!$C$24="YES",'설정 Settings'!$C$26,0)),2)-N($O633))</f>
      </c>
      <c r="Q633" s="42">
        <f>IF($A633="","","INV-"&amp;$A633)</f>
      </c>
      <c r="R633" s="42">
        <f>IF($H633="","",IF($H633&gt;'설정 Settings'!$C$36,"$2,000 초과: e-Transfer 나눠 받기 (F36)",""))</f>
      </c>
    </row>
    <row r="634" spans="12:18" x14ac:dyDescent="0.25">
      <c r="L634" s="41">
        <f>IF($C634="","",IF($I634="",ROUND(IFERROR($H634*VLOOKUP($F634,'설정 Settings'!$A$122:$F$130,4,0)+VLOOKUP($F634,'설정 Settings'!$A$122:$F$130,5,0),0),2),$I634))</f>
      </c>
      <c r="M634" s="41">
        <f>IF($C634="","",$H634-$L634)</f>
      </c>
      <c r="N634" s="42">
        <f>IF($C634="","",IF($I634="","추정 ESTIMATE","실제 ACTUAL"))</f>
      </c>
      <c r="O634" s="41">
        <f>IF($A634="","",SUMIFS('입금 Payments'!$C$3:$C$1002,'입금 Payments'!$B$3:$B$1002,$A634))</f>
      </c>
      <c r="P634" s="41">
        <f>IF($C634="","",ROUND($H634*(1+IF('설정 Settings'!$C$24="YES",'설정 Settings'!$C$26,0)),2)-N($O634))</f>
      </c>
      <c r="Q634" s="42">
        <f>IF($A634="","","INV-"&amp;$A634)</f>
      </c>
      <c r="R634" s="42">
        <f>IF($H634="","",IF($H634&gt;'설정 Settings'!$C$36,"$2,000 초과: e-Transfer 나눠 받기 (F36)",""))</f>
      </c>
    </row>
    <row r="635" spans="12:18" x14ac:dyDescent="0.25">
      <c r="L635" s="41">
        <f>IF($C635="","",IF($I635="",ROUND(IFERROR($H635*VLOOKUP($F635,'설정 Settings'!$A$122:$F$130,4,0)+VLOOKUP($F635,'설정 Settings'!$A$122:$F$130,5,0),0),2),$I635))</f>
      </c>
      <c r="M635" s="41">
        <f>IF($C635="","",$H635-$L635)</f>
      </c>
      <c r="N635" s="42">
        <f>IF($C635="","",IF($I635="","추정 ESTIMATE","실제 ACTUAL"))</f>
      </c>
      <c r="O635" s="41">
        <f>IF($A635="","",SUMIFS('입금 Payments'!$C$3:$C$1002,'입금 Payments'!$B$3:$B$1002,$A635))</f>
      </c>
      <c r="P635" s="41">
        <f>IF($C635="","",ROUND($H635*(1+IF('설정 Settings'!$C$24="YES",'설정 Settings'!$C$26,0)),2)-N($O635))</f>
      </c>
      <c r="Q635" s="42">
        <f>IF($A635="","","INV-"&amp;$A635)</f>
      </c>
      <c r="R635" s="42">
        <f>IF($H635="","",IF($H635&gt;'설정 Settings'!$C$36,"$2,000 초과: e-Transfer 나눠 받기 (F36)",""))</f>
      </c>
    </row>
    <row r="636" spans="12:18" x14ac:dyDescent="0.25">
      <c r="L636" s="41">
        <f>IF($C636="","",IF($I636="",ROUND(IFERROR($H636*VLOOKUP($F636,'설정 Settings'!$A$122:$F$130,4,0)+VLOOKUP($F636,'설정 Settings'!$A$122:$F$130,5,0),0),2),$I636))</f>
      </c>
      <c r="M636" s="41">
        <f>IF($C636="","",$H636-$L636)</f>
      </c>
      <c r="N636" s="42">
        <f>IF($C636="","",IF($I636="","추정 ESTIMATE","실제 ACTUAL"))</f>
      </c>
      <c r="O636" s="41">
        <f>IF($A636="","",SUMIFS('입금 Payments'!$C$3:$C$1002,'입금 Payments'!$B$3:$B$1002,$A636))</f>
      </c>
      <c r="P636" s="41">
        <f>IF($C636="","",ROUND($H636*(1+IF('설정 Settings'!$C$24="YES",'설정 Settings'!$C$26,0)),2)-N($O636))</f>
      </c>
      <c r="Q636" s="42">
        <f>IF($A636="","","INV-"&amp;$A636)</f>
      </c>
      <c r="R636" s="42">
        <f>IF($H636="","",IF($H636&gt;'설정 Settings'!$C$36,"$2,000 초과: e-Transfer 나눠 받기 (F36)",""))</f>
      </c>
    </row>
    <row r="637" spans="12:18" x14ac:dyDescent="0.25">
      <c r="L637" s="41">
        <f>IF($C637="","",IF($I637="",ROUND(IFERROR($H637*VLOOKUP($F637,'설정 Settings'!$A$122:$F$130,4,0)+VLOOKUP($F637,'설정 Settings'!$A$122:$F$130,5,0),0),2),$I637))</f>
      </c>
      <c r="M637" s="41">
        <f>IF($C637="","",$H637-$L637)</f>
      </c>
      <c r="N637" s="42">
        <f>IF($C637="","",IF($I637="","추정 ESTIMATE","실제 ACTUAL"))</f>
      </c>
      <c r="O637" s="41">
        <f>IF($A637="","",SUMIFS('입금 Payments'!$C$3:$C$1002,'입금 Payments'!$B$3:$B$1002,$A637))</f>
      </c>
      <c r="P637" s="41">
        <f>IF($C637="","",ROUND($H637*(1+IF('설정 Settings'!$C$24="YES",'설정 Settings'!$C$26,0)),2)-N($O637))</f>
      </c>
      <c r="Q637" s="42">
        <f>IF($A637="","","INV-"&amp;$A637)</f>
      </c>
      <c r="R637" s="42">
        <f>IF($H637="","",IF($H637&gt;'설정 Settings'!$C$36,"$2,000 초과: e-Transfer 나눠 받기 (F36)",""))</f>
      </c>
    </row>
    <row r="638" spans="12:18" x14ac:dyDescent="0.25">
      <c r="L638" s="41">
        <f>IF($C638="","",IF($I638="",ROUND(IFERROR($H638*VLOOKUP($F638,'설정 Settings'!$A$122:$F$130,4,0)+VLOOKUP($F638,'설정 Settings'!$A$122:$F$130,5,0),0),2),$I638))</f>
      </c>
      <c r="M638" s="41">
        <f>IF($C638="","",$H638-$L638)</f>
      </c>
      <c r="N638" s="42">
        <f>IF($C638="","",IF($I638="","추정 ESTIMATE","실제 ACTUAL"))</f>
      </c>
      <c r="O638" s="41">
        <f>IF($A638="","",SUMIFS('입금 Payments'!$C$3:$C$1002,'입금 Payments'!$B$3:$B$1002,$A638))</f>
      </c>
      <c r="P638" s="41">
        <f>IF($C638="","",ROUND($H638*(1+IF('설정 Settings'!$C$24="YES",'설정 Settings'!$C$26,0)),2)-N($O638))</f>
      </c>
      <c r="Q638" s="42">
        <f>IF($A638="","","INV-"&amp;$A638)</f>
      </c>
      <c r="R638" s="42">
        <f>IF($H638="","",IF($H638&gt;'설정 Settings'!$C$36,"$2,000 초과: e-Transfer 나눠 받기 (F36)",""))</f>
      </c>
    </row>
    <row r="639" spans="12:18" x14ac:dyDescent="0.25">
      <c r="L639" s="41">
        <f>IF($C639="","",IF($I639="",ROUND(IFERROR($H639*VLOOKUP($F639,'설정 Settings'!$A$122:$F$130,4,0)+VLOOKUP($F639,'설정 Settings'!$A$122:$F$130,5,0),0),2),$I639))</f>
      </c>
      <c r="M639" s="41">
        <f>IF($C639="","",$H639-$L639)</f>
      </c>
      <c r="N639" s="42">
        <f>IF($C639="","",IF($I639="","추정 ESTIMATE","실제 ACTUAL"))</f>
      </c>
      <c r="O639" s="41">
        <f>IF($A639="","",SUMIFS('입금 Payments'!$C$3:$C$1002,'입금 Payments'!$B$3:$B$1002,$A639))</f>
      </c>
      <c r="P639" s="41">
        <f>IF($C639="","",ROUND($H639*(1+IF('설정 Settings'!$C$24="YES",'설정 Settings'!$C$26,0)),2)-N($O639))</f>
      </c>
      <c r="Q639" s="42">
        <f>IF($A639="","","INV-"&amp;$A639)</f>
      </c>
      <c r="R639" s="42">
        <f>IF($H639="","",IF($H639&gt;'설정 Settings'!$C$36,"$2,000 초과: e-Transfer 나눠 받기 (F36)",""))</f>
      </c>
    </row>
    <row r="640" spans="12:18" x14ac:dyDescent="0.25">
      <c r="L640" s="41">
        <f>IF($C640="","",IF($I640="",ROUND(IFERROR($H640*VLOOKUP($F640,'설정 Settings'!$A$122:$F$130,4,0)+VLOOKUP($F640,'설정 Settings'!$A$122:$F$130,5,0),0),2),$I640))</f>
      </c>
      <c r="M640" s="41">
        <f>IF($C640="","",$H640-$L640)</f>
      </c>
      <c r="N640" s="42">
        <f>IF($C640="","",IF($I640="","추정 ESTIMATE","실제 ACTUAL"))</f>
      </c>
      <c r="O640" s="41">
        <f>IF($A640="","",SUMIFS('입금 Payments'!$C$3:$C$1002,'입금 Payments'!$B$3:$B$1002,$A640))</f>
      </c>
      <c r="P640" s="41">
        <f>IF($C640="","",ROUND($H640*(1+IF('설정 Settings'!$C$24="YES",'설정 Settings'!$C$26,0)),2)-N($O640))</f>
      </c>
      <c r="Q640" s="42">
        <f>IF($A640="","","INV-"&amp;$A640)</f>
      </c>
      <c r="R640" s="42">
        <f>IF($H640="","",IF($H640&gt;'설정 Settings'!$C$36,"$2,000 초과: e-Transfer 나눠 받기 (F36)",""))</f>
      </c>
    </row>
    <row r="641" spans="12:18" x14ac:dyDescent="0.25">
      <c r="L641" s="41">
        <f>IF($C641="","",IF($I641="",ROUND(IFERROR($H641*VLOOKUP($F641,'설정 Settings'!$A$122:$F$130,4,0)+VLOOKUP($F641,'설정 Settings'!$A$122:$F$130,5,0),0),2),$I641))</f>
      </c>
      <c r="M641" s="41">
        <f>IF($C641="","",$H641-$L641)</f>
      </c>
      <c r="N641" s="42">
        <f>IF($C641="","",IF($I641="","추정 ESTIMATE","실제 ACTUAL"))</f>
      </c>
      <c r="O641" s="41">
        <f>IF($A641="","",SUMIFS('입금 Payments'!$C$3:$C$1002,'입금 Payments'!$B$3:$B$1002,$A641))</f>
      </c>
      <c r="P641" s="41">
        <f>IF($C641="","",ROUND($H641*(1+IF('설정 Settings'!$C$24="YES",'설정 Settings'!$C$26,0)),2)-N($O641))</f>
      </c>
      <c r="Q641" s="42">
        <f>IF($A641="","","INV-"&amp;$A641)</f>
      </c>
      <c r="R641" s="42">
        <f>IF($H641="","",IF($H641&gt;'설정 Settings'!$C$36,"$2,000 초과: e-Transfer 나눠 받기 (F36)",""))</f>
      </c>
    </row>
    <row r="642" spans="12:18" x14ac:dyDescent="0.25">
      <c r="L642" s="41">
        <f>IF($C642="","",IF($I642="",ROUND(IFERROR($H642*VLOOKUP($F642,'설정 Settings'!$A$122:$F$130,4,0)+VLOOKUP($F642,'설정 Settings'!$A$122:$F$130,5,0),0),2),$I642))</f>
      </c>
      <c r="M642" s="41">
        <f>IF($C642="","",$H642-$L642)</f>
      </c>
      <c r="N642" s="42">
        <f>IF($C642="","",IF($I642="","추정 ESTIMATE","실제 ACTUAL"))</f>
      </c>
      <c r="O642" s="41">
        <f>IF($A642="","",SUMIFS('입금 Payments'!$C$3:$C$1002,'입금 Payments'!$B$3:$B$1002,$A642))</f>
      </c>
      <c r="P642" s="41">
        <f>IF($C642="","",ROUND($H642*(1+IF('설정 Settings'!$C$24="YES",'설정 Settings'!$C$26,0)),2)-N($O642))</f>
      </c>
      <c r="Q642" s="42">
        <f>IF($A642="","","INV-"&amp;$A642)</f>
      </c>
      <c r="R642" s="42">
        <f>IF($H642="","",IF($H642&gt;'설정 Settings'!$C$36,"$2,000 초과: e-Transfer 나눠 받기 (F36)",""))</f>
      </c>
    </row>
    <row r="643" spans="12:18" x14ac:dyDescent="0.25">
      <c r="L643" s="41">
        <f>IF($C643="","",IF($I643="",ROUND(IFERROR($H643*VLOOKUP($F643,'설정 Settings'!$A$122:$F$130,4,0)+VLOOKUP($F643,'설정 Settings'!$A$122:$F$130,5,0),0),2),$I643))</f>
      </c>
      <c r="M643" s="41">
        <f>IF($C643="","",$H643-$L643)</f>
      </c>
      <c r="N643" s="42">
        <f>IF($C643="","",IF($I643="","추정 ESTIMATE","실제 ACTUAL"))</f>
      </c>
      <c r="O643" s="41">
        <f>IF($A643="","",SUMIFS('입금 Payments'!$C$3:$C$1002,'입금 Payments'!$B$3:$B$1002,$A643))</f>
      </c>
      <c r="P643" s="41">
        <f>IF($C643="","",ROUND($H643*(1+IF('설정 Settings'!$C$24="YES",'설정 Settings'!$C$26,0)),2)-N($O643))</f>
      </c>
      <c r="Q643" s="42">
        <f>IF($A643="","","INV-"&amp;$A643)</f>
      </c>
      <c r="R643" s="42">
        <f>IF($H643="","",IF($H643&gt;'설정 Settings'!$C$36,"$2,000 초과: e-Transfer 나눠 받기 (F36)",""))</f>
      </c>
    </row>
    <row r="644" spans="12:18" x14ac:dyDescent="0.25">
      <c r="L644" s="41">
        <f>IF($C644="","",IF($I644="",ROUND(IFERROR($H644*VLOOKUP($F644,'설정 Settings'!$A$122:$F$130,4,0)+VLOOKUP($F644,'설정 Settings'!$A$122:$F$130,5,0),0),2),$I644))</f>
      </c>
      <c r="M644" s="41">
        <f>IF($C644="","",$H644-$L644)</f>
      </c>
      <c r="N644" s="42">
        <f>IF($C644="","",IF($I644="","추정 ESTIMATE","실제 ACTUAL"))</f>
      </c>
      <c r="O644" s="41">
        <f>IF($A644="","",SUMIFS('입금 Payments'!$C$3:$C$1002,'입금 Payments'!$B$3:$B$1002,$A644))</f>
      </c>
      <c r="P644" s="41">
        <f>IF($C644="","",ROUND($H644*(1+IF('설정 Settings'!$C$24="YES",'설정 Settings'!$C$26,0)),2)-N($O644))</f>
      </c>
      <c r="Q644" s="42">
        <f>IF($A644="","","INV-"&amp;$A644)</f>
      </c>
      <c r="R644" s="42">
        <f>IF($H644="","",IF($H644&gt;'설정 Settings'!$C$36,"$2,000 초과: e-Transfer 나눠 받기 (F36)",""))</f>
      </c>
    </row>
    <row r="645" spans="12:18" x14ac:dyDescent="0.25">
      <c r="L645" s="41">
        <f>IF($C645="","",IF($I645="",ROUND(IFERROR($H645*VLOOKUP($F645,'설정 Settings'!$A$122:$F$130,4,0)+VLOOKUP($F645,'설정 Settings'!$A$122:$F$130,5,0),0),2),$I645))</f>
      </c>
      <c r="M645" s="41">
        <f>IF($C645="","",$H645-$L645)</f>
      </c>
      <c r="N645" s="42">
        <f>IF($C645="","",IF($I645="","추정 ESTIMATE","실제 ACTUAL"))</f>
      </c>
      <c r="O645" s="41">
        <f>IF($A645="","",SUMIFS('입금 Payments'!$C$3:$C$1002,'입금 Payments'!$B$3:$B$1002,$A645))</f>
      </c>
      <c r="P645" s="41">
        <f>IF($C645="","",ROUND($H645*(1+IF('설정 Settings'!$C$24="YES",'설정 Settings'!$C$26,0)),2)-N($O645))</f>
      </c>
      <c r="Q645" s="42">
        <f>IF($A645="","","INV-"&amp;$A645)</f>
      </c>
      <c r="R645" s="42">
        <f>IF($H645="","",IF($H645&gt;'설정 Settings'!$C$36,"$2,000 초과: e-Transfer 나눠 받기 (F36)",""))</f>
      </c>
    </row>
    <row r="646" spans="12:18" x14ac:dyDescent="0.25">
      <c r="L646" s="41">
        <f>IF($C646="","",IF($I646="",ROUND(IFERROR($H646*VLOOKUP($F646,'설정 Settings'!$A$122:$F$130,4,0)+VLOOKUP($F646,'설정 Settings'!$A$122:$F$130,5,0),0),2),$I646))</f>
      </c>
      <c r="M646" s="41">
        <f>IF($C646="","",$H646-$L646)</f>
      </c>
      <c r="N646" s="42">
        <f>IF($C646="","",IF($I646="","추정 ESTIMATE","실제 ACTUAL"))</f>
      </c>
      <c r="O646" s="41">
        <f>IF($A646="","",SUMIFS('입금 Payments'!$C$3:$C$1002,'입금 Payments'!$B$3:$B$1002,$A646))</f>
      </c>
      <c r="P646" s="41">
        <f>IF($C646="","",ROUND($H646*(1+IF('설정 Settings'!$C$24="YES",'설정 Settings'!$C$26,0)),2)-N($O646))</f>
      </c>
      <c r="Q646" s="42">
        <f>IF($A646="","","INV-"&amp;$A646)</f>
      </c>
      <c r="R646" s="42">
        <f>IF($H646="","",IF($H646&gt;'설정 Settings'!$C$36,"$2,000 초과: e-Transfer 나눠 받기 (F36)",""))</f>
      </c>
    </row>
    <row r="647" spans="12:18" x14ac:dyDescent="0.25">
      <c r="L647" s="41">
        <f>IF($C647="","",IF($I647="",ROUND(IFERROR($H647*VLOOKUP($F647,'설정 Settings'!$A$122:$F$130,4,0)+VLOOKUP($F647,'설정 Settings'!$A$122:$F$130,5,0),0),2),$I647))</f>
      </c>
      <c r="M647" s="41">
        <f>IF($C647="","",$H647-$L647)</f>
      </c>
      <c r="N647" s="42">
        <f>IF($C647="","",IF($I647="","추정 ESTIMATE","실제 ACTUAL"))</f>
      </c>
      <c r="O647" s="41">
        <f>IF($A647="","",SUMIFS('입금 Payments'!$C$3:$C$1002,'입금 Payments'!$B$3:$B$1002,$A647))</f>
      </c>
      <c r="P647" s="41">
        <f>IF($C647="","",ROUND($H647*(1+IF('설정 Settings'!$C$24="YES",'설정 Settings'!$C$26,0)),2)-N($O647))</f>
      </c>
      <c r="Q647" s="42">
        <f>IF($A647="","","INV-"&amp;$A647)</f>
      </c>
      <c r="R647" s="42">
        <f>IF($H647="","",IF($H647&gt;'설정 Settings'!$C$36,"$2,000 초과: e-Transfer 나눠 받기 (F36)",""))</f>
      </c>
    </row>
    <row r="648" spans="12:18" x14ac:dyDescent="0.25">
      <c r="L648" s="41">
        <f>IF($C648="","",IF($I648="",ROUND(IFERROR($H648*VLOOKUP($F648,'설정 Settings'!$A$122:$F$130,4,0)+VLOOKUP($F648,'설정 Settings'!$A$122:$F$130,5,0),0),2),$I648))</f>
      </c>
      <c r="M648" s="41">
        <f>IF($C648="","",$H648-$L648)</f>
      </c>
      <c r="N648" s="42">
        <f>IF($C648="","",IF($I648="","추정 ESTIMATE","실제 ACTUAL"))</f>
      </c>
      <c r="O648" s="41">
        <f>IF($A648="","",SUMIFS('입금 Payments'!$C$3:$C$1002,'입금 Payments'!$B$3:$B$1002,$A648))</f>
      </c>
      <c r="P648" s="41">
        <f>IF($C648="","",ROUND($H648*(1+IF('설정 Settings'!$C$24="YES",'설정 Settings'!$C$26,0)),2)-N($O648))</f>
      </c>
      <c r="Q648" s="42">
        <f>IF($A648="","","INV-"&amp;$A648)</f>
      </c>
      <c r="R648" s="42">
        <f>IF($H648="","",IF($H648&gt;'설정 Settings'!$C$36,"$2,000 초과: e-Transfer 나눠 받기 (F36)",""))</f>
      </c>
    </row>
    <row r="649" spans="12:18" x14ac:dyDescent="0.25">
      <c r="L649" s="41">
        <f>IF($C649="","",IF($I649="",ROUND(IFERROR($H649*VLOOKUP($F649,'설정 Settings'!$A$122:$F$130,4,0)+VLOOKUP($F649,'설정 Settings'!$A$122:$F$130,5,0),0),2),$I649))</f>
      </c>
      <c r="M649" s="41">
        <f>IF($C649="","",$H649-$L649)</f>
      </c>
      <c r="N649" s="42">
        <f>IF($C649="","",IF($I649="","추정 ESTIMATE","실제 ACTUAL"))</f>
      </c>
      <c r="O649" s="41">
        <f>IF($A649="","",SUMIFS('입금 Payments'!$C$3:$C$1002,'입금 Payments'!$B$3:$B$1002,$A649))</f>
      </c>
      <c r="P649" s="41">
        <f>IF($C649="","",ROUND($H649*(1+IF('설정 Settings'!$C$24="YES",'설정 Settings'!$C$26,0)),2)-N($O649))</f>
      </c>
      <c r="Q649" s="42">
        <f>IF($A649="","","INV-"&amp;$A649)</f>
      </c>
      <c r="R649" s="42">
        <f>IF($H649="","",IF($H649&gt;'설정 Settings'!$C$36,"$2,000 초과: e-Transfer 나눠 받기 (F36)",""))</f>
      </c>
    </row>
    <row r="650" spans="12:18" x14ac:dyDescent="0.25">
      <c r="L650" s="41">
        <f>IF($C650="","",IF($I650="",ROUND(IFERROR($H650*VLOOKUP($F650,'설정 Settings'!$A$122:$F$130,4,0)+VLOOKUP($F650,'설정 Settings'!$A$122:$F$130,5,0),0),2),$I650))</f>
      </c>
      <c r="M650" s="41">
        <f>IF($C650="","",$H650-$L650)</f>
      </c>
      <c r="N650" s="42">
        <f>IF($C650="","",IF($I650="","추정 ESTIMATE","실제 ACTUAL"))</f>
      </c>
      <c r="O650" s="41">
        <f>IF($A650="","",SUMIFS('입금 Payments'!$C$3:$C$1002,'입금 Payments'!$B$3:$B$1002,$A650))</f>
      </c>
      <c r="P650" s="41">
        <f>IF($C650="","",ROUND($H650*(1+IF('설정 Settings'!$C$24="YES",'설정 Settings'!$C$26,0)),2)-N($O650))</f>
      </c>
      <c r="Q650" s="42">
        <f>IF($A650="","","INV-"&amp;$A650)</f>
      </c>
      <c r="R650" s="42">
        <f>IF($H650="","",IF($H650&gt;'설정 Settings'!$C$36,"$2,000 초과: e-Transfer 나눠 받기 (F36)",""))</f>
      </c>
    </row>
    <row r="651" spans="12:18" x14ac:dyDescent="0.25">
      <c r="L651" s="41">
        <f>IF($C651="","",IF($I651="",ROUND(IFERROR($H651*VLOOKUP($F651,'설정 Settings'!$A$122:$F$130,4,0)+VLOOKUP($F651,'설정 Settings'!$A$122:$F$130,5,0),0),2),$I651))</f>
      </c>
      <c r="M651" s="41">
        <f>IF($C651="","",$H651-$L651)</f>
      </c>
      <c r="N651" s="42">
        <f>IF($C651="","",IF($I651="","추정 ESTIMATE","실제 ACTUAL"))</f>
      </c>
      <c r="O651" s="41">
        <f>IF($A651="","",SUMIFS('입금 Payments'!$C$3:$C$1002,'입금 Payments'!$B$3:$B$1002,$A651))</f>
      </c>
      <c r="P651" s="41">
        <f>IF($C651="","",ROUND($H651*(1+IF('설정 Settings'!$C$24="YES",'설정 Settings'!$C$26,0)),2)-N($O651))</f>
      </c>
      <c r="Q651" s="42">
        <f>IF($A651="","","INV-"&amp;$A651)</f>
      </c>
      <c r="R651" s="42">
        <f>IF($H651="","",IF($H651&gt;'설정 Settings'!$C$36,"$2,000 초과: e-Transfer 나눠 받기 (F36)",""))</f>
      </c>
    </row>
    <row r="652" spans="12:18" x14ac:dyDescent="0.25">
      <c r="L652" s="41">
        <f>IF($C652="","",IF($I652="",ROUND(IFERROR($H652*VLOOKUP($F652,'설정 Settings'!$A$122:$F$130,4,0)+VLOOKUP($F652,'설정 Settings'!$A$122:$F$130,5,0),0),2),$I652))</f>
      </c>
      <c r="M652" s="41">
        <f>IF($C652="","",$H652-$L652)</f>
      </c>
      <c r="N652" s="42">
        <f>IF($C652="","",IF($I652="","추정 ESTIMATE","실제 ACTUAL"))</f>
      </c>
      <c r="O652" s="41">
        <f>IF($A652="","",SUMIFS('입금 Payments'!$C$3:$C$1002,'입금 Payments'!$B$3:$B$1002,$A652))</f>
      </c>
      <c r="P652" s="41">
        <f>IF($C652="","",ROUND($H652*(1+IF('설정 Settings'!$C$24="YES",'설정 Settings'!$C$26,0)),2)-N($O652))</f>
      </c>
      <c r="Q652" s="42">
        <f>IF($A652="","","INV-"&amp;$A652)</f>
      </c>
      <c r="R652" s="42">
        <f>IF($H652="","",IF($H652&gt;'설정 Settings'!$C$36,"$2,000 초과: e-Transfer 나눠 받기 (F36)",""))</f>
      </c>
    </row>
    <row r="653" spans="12:18" x14ac:dyDescent="0.25">
      <c r="L653" s="41">
        <f>IF($C653="","",IF($I653="",ROUND(IFERROR($H653*VLOOKUP($F653,'설정 Settings'!$A$122:$F$130,4,0)+VLOOKUP($F653,'설정 Settings'!$A$122:$F$130,5,0),0),2),$I653))</f>
      </c>
      <c r="M653" s="41">
        <f>IF($C653="","",$H653-$L653)</f>
      </c>
      <c r="N653" s="42">
        <f>IF($C653="","",IF($I653="","추정 ESTIMATE","실제 ACTUAL"))</f>
      </c>
      <c r="O653" s="41">
        <f>IF($A653="","",SUMIFS('입금 Payments'!$C$3:$C$1002,'입금 Payments'!$B$3:$B$1002,$A653))</f>
      </c>
      <c r="P653" s="41">
        <f>IF($C653="","",ROUND($H653*(1+IF('설정 Settings'!$C$24="YES",'설정 Settings'!$C$26,0)),2)-N($O653))</f>
      </c>
      <c r="Q653" s="42">
        <f>IF($A653="","","INV-"&amp;$A653)</f>
      </c>
      <c r="R653" s="42">
        <f>IF($H653="","",IF($H653&gt;'설정 Settings'!$C$36,"$2,000 초과: e-Transfer 나눠 받기 (F36)",""))</f>
      </c>
    </row>
    <row r="654" spans="12:18" x14ac:dyDescent="0.25">
      <c r="L654" s="41">
        <f>IF($C654="","",IF($I654="",ROUND(IFERROR($H654*VLOOKUP($F654,'설정 Settings'!$A$122:$F$130,4,0)+VLOOKUP($F654,'설정 Settings'!$A$122:$F$130,5,0),0),2),$I654))</f>
      </c>
      <c r="M654" s="41">
        <f>IF($C654="","",$H654-$L654)</f>
      </c>
      <c r="N654" s="42">
        <f>IF($C654="","",IF($I654="","추정 ESTIMATE","실제 ACTUAL"))</f>
      </c>
      <c r="O654" s="41">
        <f>IF($A654="","",SUMIFS('입금 Payments'!$C$3:$C$1002,'입금 Payments'!$B$3:$B$1002,$A654))</f>
      </c>
      <c r="P654" s="41">
        <f>IF($C654="","",ROUND($H654*(1+IF('설정 Settings'!$C$24="YES",'설정 Settings'!$C$26,0)),2)-N($O654))</f>
      </c>
      <c r="Q654" s="42">
        <f>IF($A654="","","INV-"&amp;$A654)</f>
      </c>
      <c r="R654" s="42">
        <f>IF($H654="","",IF($H654&gt;'설정 Settings'!$C$36,"$2,000 초과: e-Transfer 나눠 받기 (F36)",""))</f>
      </c>
    </row>
    <row r="655" spans="12:18" x14ac:dyDescent="0.25">
      <c r="L655" s="41">
        <f>IF($C655="","",IF($I655="",ROUND(IFERROR($H655*VLOOKUP($F655,'설정 Settings'!$A$122:$F$130,4,0)+VLOOKUP($F655,'설정 Settings'!$A$122:$F$130,5,0),0),2),$I655))</f>
      </c>
      <c r="M655" s="41">
        <f>IF($C655="","",$H655-$L655)</f>
      </c>
      <c r="N655" s="42">
        <f>IF($C655="","",IF($I655="","추정 ESTIMATE","실제 ACTUAL"))</f>
      </c>
      <c r="O655" s="41">
        <f>IF($A655="","",SUMIFS('입금 Payments'!$C$3:$C$1002,'입금 Payments'!$B$3:$B$1002,$A655))</f>
      </c>
      <c r="P655" s="41">
        <f>IF($C655="","",ROUND($H655*(1+IF('설정 Settings'!$C$24="YES",'설정 Settings'!$C$26,0)),2)-N($O655))</f>
      </c>
      <c r="Q655" s="42">
        <f>IF($A655="","","INV-"&amp;$A655)</f>
      </c>
      <c r="R655" s="42">
        <f>IF($H655="","",IF($H655&gt;'설정 Settings'!$C$36,"$2,000 초과: e-Transfer 나눠 받기 (F36)",""))</f>
      </c>
    </row>
    <row r="656" spans="12:18" x14ac:dyDescent="0.25">
      <c r="L656" s="41">
        <f>IF($C656="","",IF($I656="",ROUND(IFERROR($H656*VLOOKUP($F656,'설정 Settings'!$A$122:$F$130,4,0)+VLOOKUP($F656,'설정 Settings'!$A$122:$F$130,5,0),0),2),$I656))</f>
      </c>
      <c r="M656" s="41">
        <f>IF($C656="","",$H656-$L656)</f>
      </c>
      <c r="N656" s="42">
        <f>IF($C656="","",IF($I656="","추정 ESTIMATE","실제 ACTUAL"))</f>
      </c>
      <c r="O656" s="41">
        <f>IF($A656="","",SUMIFS('입금 Payments'!$C$3:$C$1002,'입금 Payments'!$B$3:$B$1002,$A656))</f>
      </c>
      <c r="P656" s="41">
        <f>IF($C656="","",ROUND($H656*(1+IF('설정 Settings'!$C$24="YES",'설정 Settings'!$C$26,0)),2)-N($O656))</f>
      </c>
      <c r="Q656" s="42">
        <f>IF($A656="","","INV-"&amp;$A656)</f>
      </c>
      <c r="R656" s="42">
        <f>IF($H656="","",IF($H656&gt;'설정 Settings'!$C$36,"$2,000 초과: e-Transfer 나눠 받기 (F36)",""))</f>
      </c>
    </row>
    <row r="657" spans="12:18" x14ac:dyDescent="0.25">
      <c r="L657" s="41">
        <f>IF($C657="","",IF($I657="",ROUND(IFERROR($H657*VLOOKUP($F657,'설정 Settings'!$A$122:$F$130,4,0)+VLOOKUP($F657,'설정 Settings'!$A$122:$F$130,5,0),0),2),$I657))</f>
      </c>
      <c r="M657" s="41">
        <f>IF($C657="","",$H657-$L657)</f>
      </c>
      <c r="N657" s="42">
        <f>IF($C657="","",IF($I657="","추정 ESTIMATE","실제 ACTUAL"))</f>
      </c>
      <c r="O657" s="41">
        <f>IF($A657="","",SUMIFS('입금 Payments'!$C$3:$C$1002,'입금 Payments'!$B$3:$B$1002,$A657))</f>
      </c>
      <c r="P657" s="41">
        <f>IF($C657="","",ROUND($H657*(1+IF('설정 Settings'!$C$24="YES",'설정 Settings'!$C$26,0)),2)-N($O657))</f>
      </c>
      <c r="Q657" s="42">
        <f>IF($A657="","","INV-"&amp;$A657)</f>
      </c>
      <c r="R657" s="42">
        <f>IF($H657="","",IF($H657&gt;'설정 Settings'!$C$36,"$2,000 초과: e-Transfer 나눠 받기 (F36)",""))</f>
      </c>
    </row>
    <row r="658" spans="12:18" x14ac:dyDescent="0.25">
      <c r="L658" s="41">
        <f>IF($C658="","",IF($I658="",ROUND(IFERROR($H658*VLOOKUP($F658,'설정 Settings'!$A$122:$F$130,4,0)+VLOOKUP($F658,'설정 Settings'!$A$122:$F$130,5,0),0),2),$I658))</f>
      </c>
      <c r="M658" s="41">
        <f>IF($C658="","",$H658-$L658)</f>
      </c>
      <c r="N658" s="42">
        <f>IF($C658="","",IF($I658="","추정 ESTIMATE","실제 ACTUAL"))</f>
      </c>
      <c r="O658" s="41">
        <f>IF($A658="","",SUMIFS('입금 Payments'!$C$3:$C$1002,'입금 Payments'!$B$3:$B$1002,$A658))</f>
      </c>
      <c r="P658" s="41">
        <f>IF($C658="","",ROUND($H658*(1+IF('설정 Settings'!$C$24="YES",'설정 Settings'!$C$26,0)),2)-N($O658))</f>
      </c>
      <c r="Q658" s="42">
        <f>IF($A658="","","INV-"&amp;$A658)</f>
      </c>
      <c r="R658" s="42">
        <f>IF($H658="","",IF($H658&gt;'설정 Settings'!$C$36,"$2,000 초과: e-Transfer 나눠 받기 (F36)",""))</f>
      </c>
    </row>
    <row r="659" spans="12:18" x14ac:dyDescent="0.25">
      <c r="L659" s="41">
        <f>IF($C659="","",IF($I659="",ROUND(IFERROR($H659*VLOOKUP($F659,'설정 Settings'!$A$122:$F$130,4,0)+VLOOKUP($F659,'설정 Settings'!$A$122:$F$130,5,0),0),2),$I659))</f>
      </c>
      <c r="M659" s="41">
        <f>IF($C659="","",$H659-$L659)</f>
      </c>
      <c r="N659" s="42">
        <f>IF($C659="","",IF($I659="","추정 ESTIMATE","실제 ACTUAL"))</f>
      </c>
      <c r="O659" s="41">
        <f>IF($A659="","",SUMIFS('입금 Payments'!$C$3:$C$1002,'입금 Payments'!$B$3:$B$1002,$A659))</f>
      </c>
      <c r="P659" s="41">
        <f>IF($C659="","",ROUND($H659*(1+IF('설정 Settings'!$C$24="YES",'설정 Settings'!$C$26,0)),2)-N($O659))</f>
      </c>
      <c r="Q659" s="42">
        <f>IF($A659="","","INV-"&amp;$A659)</f>
      </c>
      <c r="R659" s="42">
        <f>IF($H659="","",IF($H659&gt;'설정 Settings'!$C$36,"$2,000 초과: e-Transfer 나눠 받기 (F36)",""))</f>
      </c>
    </row>
    <row r="660" spans="12:18" x14ac:dyDescent="0.25">
      <c r="L660" s="41">
        <f>IF($C660="","",IF($I660="",ROUND(IFERROR($H660*VLOOKUP($F660,'설정 Settings'!$A$122:$F$130,4,0)+VLOOKUP($F660,'설정 Settings'!$A$122:$F$130,5,0),0),2),$I660))</f>
      </c>
      <c r="M660" s="41">
        <f>IF($C660="","",$H660-$L660)</f>
      </c>
      <c r="N660" s="42">
        <f>IF($C660="","",IF($I660="","추정 ESTIMATE","실제 ACTUAL"))</f>
      </c>
      <c r="O660" s="41">
        <f>IF($A660="","",SUMIFS('입금 Payments'!$C$3:$C$1002,'입금 Payments'!$B$3:$B$1002,$A660))</f>
      </c>
      <c r="P660" s="41">
        <f>IF($C660="","",ROUND($H660*(1+IF('설정 Settings'!$C$24="YES",'설정 Settings'!$C$26,0)),2)-N($O660))</f>
      </c>
      <c r="Q660" s="42">
        <f>IF($A660="","","INV-"&amp;$A660)</f>
      </c>
      <c r="R660" s="42">
        <f>IF($H660="","",IF($H660&gt;'설정 Settings'!$C$36,"$2,000 초과: e-Transfer 나눠 받기 (F36)",""))</f>
      </c>
    </row>
    <row r="661" spans="12:18" x14ac:dyDescent="0.25">
      <c r="L661" s="41">
        <f>IF($C661="","",IF($I661="",ROUND(IFERROR($H661*VLOOKUP($F661,'설정 Settings'!$A$122:$F$130,4,0)+VLOOKUP($F661,'설정 Settings'!$A$122:$F$130,5,0),0),2),$I661))</f>
      </c>
      <c r="M661" s="41">
        <f>IF($C661="","",$H661-$L661)</f>
      </c>
      <c r="N661" s="42">
        <f>IF($C661="","",IF($I661="","추정 ESTIMATE","실제 ACTUAL"))</f>
      </c>
      <c r="O661" s="41">
        <f>IF($A661="","",SUMIFS('입금 Payments'!$C$3:$C$1002,'입금 Payments'!$B$3:$B$1002,$A661))</f>
      </c>
      <c r="P661" s="41">
        <f>IF($C661="","",ROUND($H661*(1+IF('설정 Settings'!$C$24="YES",'설정 Settings'!$C$26,0)),2)-N($O661))</f>
      </c>
      <c r="Q661" s="42">
        <f>IF($A661="","","INV-"&amp;$A661)</f>
      </c>
      <c r="R661" s="42">
        <f>IF($H661="","",IF($H661&gt;'설정 Settings'!$C$36,"$2,000 초과: e-Transfer 나눠 받기 (F36)",""))</f>
      </c>
    </row>
    <row r="662" spans="12:18" x14ac:dyDescent="0.25">
      <c r="L662" s="41">
        <f>IF($C662="","",IF($I662="",ROUND(IFERROR($H662*VLOOKUP($F662,'설정 Settings'!$A$122:$F$130,4,0)+VLOOKUP($F662,'설정 Settings'!$A$122:$F$130,5,0),0),2),$I662))</f>
      </c>
      <c r="M662" s="41">
        <f>IF($C662="","",$H662-$L662)</f>
      </c>
      <c r="N662" s="42">
        <f>IF($C662="","",IF($I662="","추정 ESTIMATE","실제 ACTUAL"))</f>
      </c>
      <c r="O662" s="41">
        <f>IF($A662="","",SUMIFS('입금 Payments'!$C$3:$C$1002,'입금 Payments'!$B$3:$B$1002,$A662))</f>
      </c>
      <c r="P662" s="41">
        <f>IF($C662="","",ROUND($H662*(1+IF('설정 Settings'!$C$24="YES",'설정 Settings'!$C$26,0)),2)-N($O662))</f>
      </c>
      <c r="Q662" s="42">
        <f>IF($A662="","","INV-"&amp;$A662)</f>
      </c>
      <c r="R662" s="42">
        <f>IF($H662="","",IF($H662&gt;'설정 Settings'!$C$36,"$2,000 초과: e-Transfer 나눠 받기 (F36)",""))</f>
      </c>
    </row>
    <row r="663" spans="12:18" x14ac:dyDescent="0.25">
      <c r="L663" s="41">
        <f>IF($C663="","",IF($I663="",ROUND(IFERROR($H663*VLOOKUP($F663,'설정 Settings'!$A$122:$F$130,4,0)+VLOOKUP($F663,'설정 Settings'!$A$122:$F$130,5,0),0),2),$I663))</f>
      </c>
      <c r="M663" s="41">
        <f>IF($C663="","",$H663-$L663)</f>
      </c>
      <c r="N663" s="42">
        <f>IF($C663="","",IF($I663="","추정 ESTIMATE","실제 ACTUAL"))</f>
      </c>
      <c r="O663" s="41">
        <f>IF($A663="","",SUMIFS('입금 Payments'!$C$3:$C$1002,'입금 Payments'!$B$3:$B$1002,$A663))</f>
      </c>
      <c r="P663" s="41">
        <f>IF($C663="","",ROUND($H663*(1+IF('설정 Settings'!$C$24="YES",'설정 Settings'!$C$26,0)),2)-N($O663))</f>
      </c>
      <c r="Q663" s="42">
        <f>IF($A663="","","INV-"&amp;$A663)</f>
      </c>
      <c r="R663" s="42">
        <f>IF($H663="","",IF($H663&gt;'설정 Settings'!$C$36,"$2,000 초과: e-Transfer 나눠 받기 (F36)",""))</f>
      </c>
    </row>
    <row r="664" spans="12:18" x14ac:dyDescent="0.25">
      <c r="L664" s="41">
        <f>IF($C664="","",IF($I664="",ROUND(IFERROR($H664*VLOOKUP($F664,'설정 Settings'!$A$122:$F$130,4,0)+VLOOKUP($F664,'설정 Settings'!$A$122:$F$130,5,0),0),2),$I664))</f>
      </c>
      <c r="M664" s="41">
        <f>IF($C664="","",$H664-$L664)</f>
      </c>
      <c r="N664" s="42">
        <f>IF($C664="","",IF($I664="","추정 ESTIMATE","실제 ACTUAL"))</f>
      </c>
      <c r="O664" s="41">
        <f>IF($A664="","",SUMIFS('입금 Payments'!$C$3:$C$1002,'입금 Payments'!$B$3:$B$1002,$A664))</f>
      </c>
      <c r="P664" s="41">
        <f>IF($C664="","",ROUND($H664*(1+IF('설정 Settings'!$C$24="YES",'설정 Settings'!$C$26,0)),2)-N($O664))</f>
      </c>
      <c r="Q664" s="42">
        <f>IF($A664="","","INV-"&amp;$A664)</f>
      </c>
      <c r="R664" s="42">
        <f>IF($H664="","",IF($H664&gt;'설정 Settings'!$C$36,"$2,000 초과: e-Transfer 나눠 받기 (F36)",""))</f>
      </c>
    </row>
    <row r="665" spans="12:18" x14ac:dyDescent="0.25">
      <c r="L665" s="41">
        <f>IF($C665="","",IF($I665="",ROUND(IFERROR($H665*VLOOKUP($F665,'설정 Settings'!$A$122:$F$130,4,0)+VLOOKUP($F665,'설정 Settings'!$A$122:$F$130,5,0),0),2),$I665))</f>
      </c>
      <c r="M665" s="41">
        <f>IF($C665="","",$H665-$L665)</f>
      </c>
      <c r="N665" s="42">
        <f>IF($C665="","",IF($I665="","추정 ESTIMATE","실제 ACTUAL"))</f>
      </c>
      <c r="O665" s="41">
        <f>IF($A665="","",SUMIFS('입금 Payments'!$C$3:$C$1002,'입금 Payments'!$B$3:$B$1002,$A665))</f>
      </c>
      <c r="P665" s="41">
        <f>IF($C665="","",ROUND($H665*(1+IF('설정 Settings'!$C$24="YES",'설정 Settings'!$C$26,0)),2)-N($O665))</f>
      </c>
      <c r="Q665" s="42">
        <f>IF($A665="","","INV-"&amp;$A665)</f>
      </c>
      <c r="R665" s="42">
        <f>IF($H665="","",IF($H665&gt;'설정 Settings'!$C$36,"$2,000 초과: e-Transfer 나눠 받기 (F36)",""))</f>
      </c>
    </row>
    <row r="666" spans="12:18" x14ac:dyDescent="0.25">
      <c r="L666" s="41">
        <f>IF($C666="","",IF($I666="",ROUND(IFERROR($H666*VLOOKUP($F666,'설정 Settings'!$A$122:$F$130,4,0)+VLOOKUP($F666,'설정 Settings'!$A$122:$F$130,5,0),0),2),$I666))</f>
      </c>
      <c r="M666" s="41">
        <f>IF($C666="","",$H666-$L666)</f>
      </c>
      <c r="N666" s="42">
        <f>IF($C666="","",IF($I666="","추정 ESTIMATE","실제 ACTUAL"))</f>
      </c>
      <c r="O666" s="41">
        <f>IF($A666="","",SUMIFS('입금 Payments'!$C$3:$C$1002,'입금 Payments'!$B$3:$B$1002,$A666))</f>
      </c>
      <c r="P666" s="41">
        <f>IF($C666="","",ROUND($H666*(1+IF('설정 Settings'!$C$24="YES",'설정 Settings'!$C$26,0)),2)-N($O666))</f>
      </c>
      <c r="Q666" s="42">
        <f>IF($A666="","","INV-"&amp;$A666)</f>
      </c>
      <c r="R666" s="42">
        <f>IF($H666="","",IF($H666&gt;'설정 Settings'!$C$36,"$2,000 초과: e-Transfer 나눠 받기 (F36)",""))</f>
      </c>
    </row>
    <row r="667" spans="12:18" x14ac:dyDescent="0.25">
      <c r="L667" s="41">
        <f>IF($C667="","",IF($I667="",ROUND(IFERROR($H667*VLOOKUP($F667,'설정 Settings'!$A$122:$F$130,4,0)+VLOOKUP($F667,'설정 Settings'!$A$122:$F$130,5,0),0),2),$I667))</f>
      </c>
      <c r="M667" s="41">
        <f>IF($C667="","",$H667-$L667)</f>
      </c>
      <c r="N667" s="42">
        <f>IF($C667="","",IF($I667="","추정 ESTIMATE","실제 ACTUAL"))</f>
      </c>
      <c r="O667" s="41">
        <f>IF($A667="","",SUMIFS('입금 Payments'!$C$3:$C$1002,'입금 Payments'!$B$3:$B$1002,$A667))</f>
      </c>
      <c r="P667" s="41">
        <f>IF($C667="","",ROUND($H667*(1+IF('설정 Settings'!$C$24="YES",'설정 Settings'!$C$26,0)),2)-N($O667))</f>
      </c>
      <c r="Q667" s="42">
        <f>IF($A667="","","INV-"&amp;$A667)</f>
      </c>
      <c r="R667" s="42">
        <f>IF($H667="","",IF($H667&gt;'설정 Settings'!$C$36,"$2,000 초과: e-Transfer 나눠 받기 (F36)",""))</f>
      </c>
    </row>
    <row r="668" spans="12:18" x14ac:dyDescent="0.25">
      <c r="L668" s="41">
        <f>IF($C668="","",IF($I668="",ROUND(IFERROR($H668*VLOOKUP($F668,'설정 Settings'!$A$122:$F$130,4,0)+VLOOKUP($F668,'설정 Settings'!$A$122:$F$130,5,0),0),2),$I668))</f>
      </c>
      <c r="M668" s="41">
        <f>IF($C668="","",$H668-$L668)</f>
      </c>
      <c r="N668" s="42">
        <f>IF($C668="","",IF($I668="","추정 ESTIMATE","실제 ACTUAL"))</f>
      </c>
      <c r="O668" s="41">
        <f>IF($A668="","",SUMIFS('입금 Payments'!$C$3:$C$1002,'입금 Payments'!$B$3:$B$1002,$A668))</f>
      </c>
      <c r="P668" s="41">
        <f>IF($C668="","",ROUND($H668*(1+IF('설정 Settings'!$C$24="YES",'설정 Settings'!$C$26,0)),2)-N($O668))</f>
      </c>
      <c r="Q668" s="42">
        <f>IF($A668="","","INV-"&amp;$A668)</f>
      </c>
      <c r="R668" s="42">
        <f>IF($H668="","",IF($H668&gt;'설정 Settings'!$C$36,"$2,000 초과: e-Transfer 나눠 받기 (F36)",""))</f>
      </c>
    </row>
    <row r="669" spans="12:18" x14ac:dyDescent="0.25">
      <c r="L669" s="41">
        <f>IF($C669="","",IF($I669="",ROUND(IFERROR($H669*VLOOKUP($F669,'설정 Settings'!$A$122:$F$130,4,0)+VLOOKUP($F669,'설정 Settings'!$A$122:$F$130,5,0),0),2),$I669))</f>
      </c>
      <c r="M669" s="41">
        <f>IF($C669="","",$H669-$L669)</f>
      </c>
      <c r="N669" s="42">
        <f>IF($C669="","",IF($I669="","추정 ESTIMATE","실제 ACTUAL"))</f>
      </c>
      <c r="O669" s="41">
        <f>IF($A669="","",SUMIFS('입금 Payments'!$C$3:$C$1002,'입금 Payments'!$B$3:$B$1002,$A669))</f>
      </c>
      <c r="P669" s="41">
        <f>IF($C669="","",ROUND($H669*(1+IF('설정 Settings'!$C$24="YES",'설정 Settings'!$C$26,0)),2)-N($O669))</f>
      </c>
      <c r="Q669" s="42">
        <f>IF($A669="","","INV-"&amp;$A669)</f>
      </c>
      <c r="R669" s="42">
        <f>IF($H669="","",IF($H669&gt;'설정 Settings'!$C$36,"$2,000 초과: e-Transfer 나눠 받기 (F36)",""))</f>
      </c>
    </row>
    <row r="670" spans="12:18" x14ac:dyDescent="0.25">
      <c r="L670" s="41">
        <f>IF($C670="","",IF($I670="",ROUND(IFERROR($H670*VLOOKUP($F670,'설정 Settings'!$A$122:$F$130,4,0)+VLOOKUP($F670,'설정 Settings'!$A$122:$F$130,5,0),0),2),$I670))</f>
      </c>
      <c r="M670" s="41">
        <f>IF($C670="","",$H670-$L670)</f>
      </c>
      <c r="N670" s="42">
        <f>IF($C670="","",IF($I670="","추정 ESTIMATE","실제 ACTUAL"))</f>
      </c>
      <c r="O670" s="41">
        <f>IF($A670="","",SUMIFS('입금 Payments'!$C$3:$C$1002,'입금 Payments'!$B$3:$B$1002,$A670))</f>
      </c>
      <c r="P670" s="41">
        <f>IF($C670="","",ROUND($H670*(1+IF('설정 Settings'!$C$24="YES",'설정 Settings'!$C$26,0)),2)-N($O670))</f>
      </c>
      <c r="Q670" s="42">
        <f>IF($A670="","","INV-"&amp;$A670)</f>
      </c>
      <c r="R670" s="42">
        <f>IF($H670="","",IF($H670&gt;'설정 Settings'!$C$36,"$2,000 초과: e-Transfer 나눠 받기 (F36)",""))</f>
      </c>
    </row>
    <row r="671" spans="12:18" x14ac:dyDescent="0.25">
      <c r="L671" s="41">
        <f>IF($C671="","",IF($I671="",ROUND(IFERROR($H671*VLOOKUP($F671,'설정 Settings'!$A$122:$F$130,4,0)+VLOOKUP($F671,'설정 Settings'!$A$122:$F$130,5,0),0),2),$I671))</f>
      </c>
      <c r="M671" s="41">
        <f>IF($C671="","",$H671-$L671)</f>
      </c>
      <c r="N671" s="42">
        <f>IF($C671="","",IF($I671="","추정 ESTIMATE","실제 ACTUAL"))</f>
      </c>
      <c r="O671" s="41">
        <f>IF($A671="","",SUMIFS('입금 Payments'!$C$3:$C$1002,'입금 Payments'!$B$3:$B$1002,$A671))</f>
      </c>
      <c r="P671" s="41">
        <f>IF($C671="","",ROUND($H671*(1+IF('설정 Settings'!$C$24="YES",'설정 Settings'!$C$26,0)),2)-N($O671))</f>
      </c>
      <c r="Q671" s="42">
        <f>IF($A671="","","INV-"&amp;$A671)</f>
      </c>
      <c r="R671" s="42">
        <f>IF($H671="","",IF($H671&gt;'설정 Settings'!$C$36,"$2,000 초과: e-Transfer 나눠 받기 (F36)",""))</f>
      </c>
    </row>
    <row r="672" spans="12:18" x14ac:dyDescent="0.25">
      <c r="L672" s="41">
        <f>IF($C672="","",IF($I672="",ROUND(IFERROR($H672*VLOOKUP($F672,'설정 Settings'!$A$122:$F$130,4,0)+VLOOKUP($F672,'설정 Settings'!$A$122:$F$130,5,0),0),2),$I672))</f>
      </c>
      <c r="M672" s="41">
        <f>IF($C672="","",$H672-$L672)</f>
      </c>
      <c r="N672" s="42">
        <f>IF($C672="","",IF($I672="","추정 ESTIMATE","실제 ACTUAL"))</f>
      </c>
      <c r="O672" s="41">
        <f>IF($A672="","",SUMIFS('입금 Payments'!$C$3:$C$1002,'입금 Payments'!$B$3:$B$1002,$A672))</f>
      </c>
      <c r="P672" s="41">
        <f>IF($C672="","",ROUND($H672*(1+IF('설정 Settings'!$C$24="YES",'설정 Settings'!$C$26,0)),2)-N($O672))</f>
      </c>
      <c r="Q672" s="42">
        <f>IF($A672="","","INV-"&amp;$A672)</f>
      </c>
      <c r="R672" s="42">
        <f>IF($H672="","",IF($H672&gt;'설정 Settings'!$C$36,"$2,000 초과: e-Transfer 나눠 받기 (F36)",""))</f>
      </c>
    </row>
    <row r="673" spans="12:18" x14ac:dyDescent="0.25">
      <c r="L673" s="41">
        <f>IF($C673="","",IF($I673="",ROUND(IFERROR($H673*VLOOKUP($F673,'설정 Settings'!$A$122:$F$130,4,0)+VLOOKUP($F673,'설정 Settings'!$A$122:$F$130,5,0),0),2),$I673))</f>
      </c>
      <c r="M673" s="41">
        <f>IF($C673="","",$H673-$L673)</f>
      </c>
      <c r="N673" s="42">
        <f>IF($C673="","",IF($I673="","추정 ESTIMATE","실제 ACTUAL"))</f>
      </c>
      <c r="O673" s="41">
        <f>IF($A673="","",SUMIFS('입금 Payments'!$C$3:$C$1002,'입금 Payments'!$B$3:$B$1002,$A673))</f>
      </c>
      <c r="P673" s="41">
        <f>IF($C673="","",ROUND($H673*(1+IF('설정 Settings'!$C$24="YES",'설정 Settings'!$C$26,0)),2)-N($O673))</f>
      </c>
      <c r="Q673" s="42">
        <f>IF($A673="","","INV-"&amp;$A673)</f>
      </c>
      <c r="R673" s="42">
        <f>IF($H673="","",IF($H673&gt;'설정 Settings'!$C$36,"$2,000 초과: e-Transfer 나눠 받기 (F36)",""))</f>
      </c>
    </row>
    <row r="674" spans="12:18" x14ac:dyDescent="0.25">
      <c r="L674" s="41">
        <f>IF($C674="","",IF($I674="",ROUND(IFERROR($H674*VLOOKUP($F674,'설정 Settings'!$A$122:$F$130,4,0)+VLOOKUP($F674,'설정 Settings'!$A$122:$F$130,5,0),0),2),$I674))</f>
      </c>
      <c r="M674" s="41">
        <f>IF($C674="","",$H674-$L674)</f>
      </c>
      <c r="N674" s="42">
        <f>IF($C674="","",IF($I674="","추정 ESTIMATE","실제 ACTUAL"))</f>
      </c>
      <c r="O674" s="41">
        <f>IF($A674="","",SUMIFS('입금 Payments'!$C$3:$C$1002,'입금 Payments'!$B$3:$B$1002,$A674))</f>
      </c>
      <c r="P674" s="41">
        <f>IF($C674="","",ROUND($H674*(1+IF('설정 Settings'!$C$24="YES",'설정 Settings'!$C$26,0)),2)-N($O674))</f>
      </c>
      <c r="Q674" s="42">
        <f>IF($A674="","","INV-"&amp;$A674)</f>
      </c>
      <c r="R674" s="42">
        <f>IF($H674="","",IF($H674&gt;'설정 Settings'!$C$36,"$2,000 초과: e-Transfer 나눠 받기 (F36)",""))</f>
      </c>
    </row>
    <row r="675" spans="12:18" x14ac:dyDescent="0.25">
      <c r="L675" s="41">
        <f>IF($C675="","",IF($I675="",ROUND(IFERROR($H675*VLOOKUP($F675,'설정 Settings'!$A$122:$F$130,4,0)+VLOOKUP($F675,'설정 Settings'!$A$122:$F$130,5,0),0),2),$I675))</f>
      </c>
      <c r="M675" s="41">
        <f>IF($C675="","",$H675-$L675)</f>
      </c>
      <c r="N675" s="42">
        <f>IF($C675="","",IF($I675="","추정 ESTIMATE","실제 ACTUAL"))</f>
      </c>
      <c r="O675" s="41">
        <f>IF($A675="","",SUMIFS('입금 Payments'!$C$3:$C$1002,'입금 Payments'!$B$3:$B$1002,$A675))</f>
      </c>
      <c r="P675" s="41">
        <f>IF($C675="","",ROUND($H675*(1+IF('설정 Settings'!$C$24="YES",'설정 Settings'!$C$26,0)),2)-N($O675))</f>
      </c>
      <c r="Q675" s="42">
        <f>IF($A675="","","INV-"&amp;$A675)</f>
      </c>
      <c r="R675" s="42">
        <f>IF($H675="","",IF($H675&gt;'설정 Settings'!$C$36,"$2,000 초과: e-Transfer 나눠 받기 (F36)",""))</f>
      </c>
    </row>
    <row r="676" spans="12:18" x14ac:dyDescent="0.25">
      <c r="L676" s="41">
        <f>IF($C676="","",IF($I676="",ROUND(IFERROR($H676*VLOOKUP($F676,'설정 Settings'!$A$122:$F$130,4,0)+VLOOKUP($F676,'설정 Settings'!$A$122:$F$130,5,0),0),2),$I676))</f>
      </c>
      <c r="M676" s="41">
        <f>IF($C676="","",$H676-$L676)</f>
      </c>
      <c r="N676" s="42">
        <f>IF($C676="","",IF($I676="","추정 ESTIMATE","실제 ACTUAL"))</f>
      </c>
      <c r="O676" s="41">
        <f>IF($A676="","",SUMIFS('입금 Payments'!$C$3:$C$1002,'입금 Payments'!$B$3:$B$1002,$A676))</f>
      </c>
      <c r="P676" s="41">
        <f>IF($C676="","",ROUND($H676*(1+IF('설정 Settings'!$C$24="YES",'설정 Settings'!$C$26,0)),2)-N($O676))</f>
      </c>
      <c r="Q676" s="42">
        <f>IF($A676="","","INV-"&amp;$A676)</f>
      </c>
      <c r="R676" s="42">
        <f>IF($H676="","",IF($H676&gt;'설정 Settings'!$C$36,"$2,000 초과: e-Transfer 나눠 받기 (F36)",""))</f>
      </c>
    </row>
    <row r="677" spans="12:18" x14ac:dyDescent="0.25">
      <c r="L677" s="41">
        <f>IF($C677="","",IF($I677="",ROUND(IFERROR($H677*VLOOKUP($F677,'설정 Settings'!$A$122:$F$130,4,0)+VLOOKUP($F677,'설정 Settings'!$A$122:$F$130,5,0),0),2),$I677))</f>
      </c>
      <c r="M677" s="41">
        <f>IF($C677="","",$H677-$L677)</f>
      </c>
      <c r="N677" s="42">
        <f>IF($C677="","",IF($I677="","추정 ESTIMATE","실제 ACTUAL"))</f>
      </c>
      <c r="O677" s="41">
        <f>IF($A677="","",SUMIFS('입금 Payments'!$C$3:$C$1002,'입금 Payments'!$B$3:$B$1002,$A677))</f>
      </c>
      <c r="P677" s="41">
        <f>IF($C677="","",ROUND($H677*(1+IF('설정 Settings'!$C$24="YES",'설정 Settings'!$C$26,0)),2)-N($O677))</f>
      </c>
      <c r="Q677" s="42">
        <f>IF($A677="","","INV-"&amp;$A677)</f>
      </c>
      <c r="R677" s="42">
        <f>IF($H677="","",IF($H677&gt;'설정 Settings'!$C$36,"$2,000 초과: e-Transfer 나눠 받기 (F36)",""))</f>
      </c>
    </row>
    <row r="678" spans="12:18" x14ac:dyDescent="0.25">
      <c r="L678" s="41">
        <f>IF($C678="","",IF($I678="",ROUND(IFERROR($H678*VLOOKUP($F678,'설정 Settings'!$A$122:$F$130,4,0)+VLOOKUP($F678,'설정 Settings'!$A$122:$F$130,5,0),0),2),$I678))</f>
      </c>
      <c r="M678" s="41">
        <f>IF($C678="","",$H678-$L678)</f>
      </c>
      <c r="N678" s="42">
        <f>IF($C678="","",IF($I678="","추정 ESTIMATE","실제 ACTUAL"))</f>
      </c>
      <c r="O678" s="41">
        <f>IF($A678="","",SUMIFS('입금 Payments'!$C$3:$C$1002,'입금 Payments'!$B$3:$B$1002,$A678))</f>
      </c>
      <c r="P678" s="41">
        <f>IF($C678="","",ROUND($H678*(1+IF('설정 Settings'!$C$24="YES",'설정 Settings'!$C$26,0)),2)-N($O678))</f>
      </c>
      <c r="Q678" s="42">
        <f>IF($A678="","","INV-"&amp;$A678)</f>
      </c>
      <c r="R678" s="42">
        <f>IF($H678="","",IF($H678&gt;'설정 Settings'!$C$36,"$2,000 초과: e-Transfer 나눠 받기 (F36)",""))</f>
      </c>
    </row>
    <row r="679" spans="12:18" x14ac:dyDescent="0.25">
      <c r="L679" s="41">
        <f>IF($C679="","",IF($I679="",ROUND(IFERROR($H679*VLOOKUP($F679,'설정 Settings'!$A$122:$F$130,4,0)+VLOOKUP($F679,'설정 Settings'!$A$122:$F$130,5,0),0),2),$I679))</f>
      </c>
      <c r="M679" s="41">
        <f>IF($C679="","",$H679-$L679)</f>
      </c>
      <c r="N679" s="42">
        <f>IF($C679="","",IF($I679="","추정 ESTIMATE","실제 ACTUAL"))</f>
      </c>
      <c r="O679" s="41">
        <f>IF($A679="","",SUMIFS('입금 Payments'!$C$3:$C$1002,'입금 Payments'!$B$3:$B$1002,$A679))</f>
      </c>
      <c r="P679" s="41">
        <f>IF($C679="","",ROUND($H679*(1+IF('설정 Settings'!$C$24="YES",'설정 Settings'!$C$26,0)),2)-N($O679))</f>
      </c>
      <c r="Q679" s="42">
        <f>IF($A679="","","INV-"&amp;$A679)</f>
      </c>
      <c r="R679" s="42">
        <f>IF($H679="","",IF($H679&gt;'설정 Settings'!$C$36,"$2,000 초과: e-Transfer 나눠 받기 (F36)",""))</f>
      </c>
    </row>
    <row r="680" spans="12:18" x14ac:dyDescent="0.25">
      <c r="L680" s="41">
        <f>IF($C680="","",IF($I680="",ROUND(IFERROR($H680*VLOOKUP($F680,'설정 Settings'!$A$122:$F$130,4,0)+VLOOKUP($F680,'설정 Settings'!$A$122:$F$130,5,0),0),2),$I680))</f>
      </c>
      <c r="M680" s="41">
        <f>IF($C680="","",$H680-$L680)</f>
      </c>
      <c r="N680" s="42">
        <f>IF($C680="","",IF($I680="","추정 ESTIMATE","실제 ACTUAL"))</f>
      </c>
      <c r="O680" s="41">
        <f>IF($A680="","",SUMIFS('입금 Payments'!$C$3:$C$1002,'입금 Payments'!$B$3:$B$1002,$A680))</f>
      </c>
      <c r="P680" s="41">
        <f>IF($C680="","",ROUND($H680*(1+IF('설정 Settings'!$C$24="YES",'설정 Settings'!$C$26,0)),2)-N($O680))</f>
      </c>
      <c r="Q680" s="42">
        <f>IF($A680="","","INV-"&amp;$A680)</f>
      </c>
      <c r="R680" s="42">
        <f>IF($H680="","",IF($H680&gt;'설정 Settings'!$C$36,"$2,000 초과: e-Transfer 나눠 받기 (F36)",""))</f>
      </c>
    </row>
    <row r="681" spans="12:18" x14ac:dyDescent="0.25">
      <c r="L681" s="41">
        <f>IF($C681="","",IF($I681="",ROUND(IFERROR($H681*VLOOKUP($F681,'설정 Settings'!$A$122:$F$130,4,0)+VLOOKUP($F681,'설정 Settings'!$A$122:$F$130,5,0),0),2),$I681))</f>
      </c>
      <c r="M681" s="41">
        <f>IF($C681="","",$H681-$L681)</f>
      </c>
      <c r="N681" s="42">
        <f>IF($C681="","",IF($I681="","추정 ESTIMATE","실제 ACTUAL"))</f>
      </c>
      <c r="O681" s="41">
        <f>IF($A681="","",SUMIFS('입금 Payments'!$C$3:$C$1002,'입금 Payments'!$B$3:$B$1002,$A681))</f>
      </c>
      <c r="P681" s="41">
        <f>IF($C681="","",ROUND($H681*(1+IF('설정 Settings'!$C$24="YES",'설정 Settings'!$C$26,0)),2)-N($O681))</f>
      </c>
      <c r="Q681" s="42">
        <f>IF($A681="","","INV-"&amp;$A681)</f>
      </c>
      <c r="R681" s="42">
        <f>IF($H681="","",IF($H681&gt;'설정 Settings'!$C$36,"$2,000 초과: e-Transfer 나눠 받기 (F36)",""))</f>
      </c>
    </row>
    <row r="682" spans="12:18" x14ac:dyDescent="0.25">
      <c r="L682" s="41">
        <f>IF($C682="","",IF($I682="",ROUND(IFERROR($H682*VLOOKUP($F682,'설정 Settings'!$A$122:$F$130,4,0)+VLOOKUP($F682,'설정 Settings'!$A$122:$F$130,5,0),0),2),$I682))</f>
      </c>
      <c r="M682" s="41">
        <f>IF($C682="","",$H682-$L682)</f>
      </c>
      <c r="N682" s="42">
        <f>IF($C682="","",IF($I682="","추정 ESTIMATE","실제 ACTUAL"))</f>
      </c>
      <c r="O682" s="41">
        <f>IF($A682="","",SUMIFS('입금 Payments'!$C$3:$C$1002,'입금 Payments'!$B$3:$B$1002,$A682))</f>
      </c>
      <c r="P682" s="41">
        <f>IF($C682="","",ROUND($H682*(1+IF('설정 Settings'!$C$24="YES",'설정 Settings'!$C$26,0)),2)-N($O682))</f>
      </c>
      <c r="Q682" s="42">
        <f>IF($A682="","","INV-"&amp;$A682)</f>
      </c>
      <c r="R682" s="42">
        <f>IF($H682="","",IF($H682&gt;'설정 Settings'!$C$36,"$2,000 초과: e-Transfer 나눠 받기 (F36)",""))</f>
      </c>
    </row>
    <row r="683" spans="12:18" x14ac:dyDescent="0.25">
      <c r="L683" s="41">
        <f>IF($C683="","",IF($I683="",ROUND(IFERROR($H683*VLOOKUP($F683,'설정 Settings'!$A$122:$F$130,4,0)+VLOOKUP($F683,'설정 Settings'!$A$122:$F$130,5,0),0),2),$I683))</f>
      </c>
      <c r="M683" s="41">
        <f>IF($C683="","",$H683-$L683)</f>
      </c>
      <c r="N683" s="42">
        <f>IF($C683="","",IF($I683="","추정 ESTIMATE","실제 ACTUAL"))</f>
      </c>
      <c r="O683" s="41">
        <f>IF($A683="","",SUMIFS('입금 Payments'!$C$3:$C$1002,'입금 Payments'!$B$3:$B$1002,$A683))</f>
      </c>
      <c r="P683" s="41">
        <f>IF($C683="","",ROUND($H683*(1+IF('설정 Settings'!$C$24="YES",'설정 Settings'!$C$26,0)),2)-N($O683))</f>
      </c>
      <c r="Q683" s="42">
        <f>IF($A683="","","INV-"&amp;$A683)</f>
      </c>
      <c r="R683" s="42">
        <f>IF($H683="","",IF($H683&gt;'설정 Settings'!$C$36,"$2,000 초과: e-Transfer 나눠 받기 (F36)",""))</f>
      </c>
    </row>
    <row r="684" spans="12:18" x14ac:dyDescent="0.25">
      <c r="L684" s="41">
        <f>IF($C684="","",IF($I684="",ROUND(IFERROR($H684*VLOOKUP($F684,'설정 Settings'!$A$122:$F$130,4,0)+VLOOKUP($F684,'설정 Settings'!$A$122:$F$130,5,0),0),2),$I684))</f>
      </c>
      <c r="M684" s="41">
        <f>IF($C684="","",$H684-$L684)</f>
      </c>
      <c r="N684" s="42">
        <f>IF($C684="","",IF($I684="","추정 ESTIMATE","실제 ACTUAL"))</f>
      </c>
      <c r="O684" s="41">
        <f>IF($A684="","",SUMIFS('입금 Payments'!$C$3:$C$1002,'입금 Payments'!$B$3:$B$1002,$A684))</f>
      </c>
      <c r="P684" s="41">
        <f>IF($C684="","",ROUND($H684*(1+IF('설정 Settings'!$C$24="YES",'설정 Settings'!$C$26,0)),2)-N($O684))</f>
      </c>
      <c r="Q684" s="42">
        <f>IF($A684="","","INV-"&amp;$A684)</f>
      </c>
      <c r="R684" s="42">
        <f>IF($H684="","",IF($H684&gt;'설정 Settings'!$C$36,"$2,000 초과: e-Transfer 나눠 받기 (F36)",""))</f>
      </c>
    </row>
    <row r="685" spans="12:18" x14ac:dyDescent="0.25">
      <c r="L685" s="41">
        <f>IF($C685="","",IF($I685="",ROUND(IFERROR($H685*VLOOKUP($F685,'설정 Settings'!$A$122:$F$130,4,0)+VLOOKUP($F685,'설정 Settings'!$A$122:$F$130,5,0),0),2),$I685))</f>
      </c>
      <c r="M685" s="41">
        <f>IF($C685="","",$H685-$L685)</f>
      </c>
      <c r="N685" s="42">
        <f>IF($C685="","",IF($I685="","추정 ESTIMATE","실제 ACTUAL"))</f>
      </c>
      <c r="O685" s="41">
        <f>IF($A685="","",SUMIFS('입금 Payments'!$C$3:$C$1002,'입금 Payments'!$B$3:$B$1002,$A685))</f>
      </c>
      <c r="P685" s="41">
        <f>IF($C685="","",ROUND($H685*(1+IF('설정 Settings'!$C$24="YES",'설정 Settings'!$C$26,0)),2)-N($O685))</f>
      </c>
      <c r="Q685" s="42">
        <f>IF($A685="","","INV-"&amp;$A685)</f>
      </c>
      <c r="R685" s="42">
        <f>IF($H685="","",IF($H685&gt;'설정 Settings'!$C$36,"$2,000 초과: e-Transfer 나눠 받기 (F36)",""))</f>
      </c>
    </row>
    <row r="686" spans="12:18" x14ac:dyDescent="0.25">
      <c r="L686" s="41">
        <f>IF($C686="","",IF($I686="",ROUND(IFERROR($H686*VLOOKUP($F686,'설정 Settings'!$A$122:$F$130,4,0)+VLOOKUP($F686,'설정 Settings'!$A$122:$F$130,5,0),0),2),$I686))</f>
      </c>
      <c r="M686" s="41">
        <f>IF($C686="","",$H686-$L686)</f>
      </c>
      <c r="N686" s="42">
        <f>IF($C686="","",IF($I686="","추정 ESTIMATE","실제 ACTUAL"))</f>
      </c>
      <c r="O686" s="41">
        <f>IF($A686="","",SUMIFS('입금 Payments'!$C$3:$C$1002,'입금 Payments'!$B$3:$B$1002,$A686))</f>
      </c>
      <c r="P686" s="41">
        <f>IF($C686="","",ROUND($H686*(1+IF('설정 Settings'!$C$24="YES",'설정 Settings'!$C$26,0)),2)-N($O686))</f>
      </c>
      <c r="Q686" s="42">
        <f>IF($A686="","","INV-"&amp;$A686)</f>
      </c>
      <c r="R686" s="42">
        <f>IF($H686="","",IF($H686&gt;'설정 Settings'!$C$36,"$2,000 초과: e-Transfer 나눠 받기 (F36)",""))</f>
      </c>
    </row>
    <row r="687" spans="12:18" x14ac:dyDescent="0.25">
      <c r="L687" s="41">
        <f>IF($C687="","",IF($I687="",ROUND(IFERROR($H687*VLOOKUP($F687,'설정 Settings'!$A$122:$F$130,4,0)+VLOOKUP($F687,'설정 Settings'!$A$122:$F$130,5,0),0),2),$I687))</f>
      </c>
      <c r="M687" s="41">
        <f>IF($C687="","",$H687-$L687)</f>
      </c>
      <c r="N687" s="42">
        <f>IF($C687="","",IF($I687="","추정 ESTIMATE","실제 ACTUAL"))</f>
      </c>
      <c r="O687" s="41">
        <f>IF($A687="","",SUMIFS('입금 Payments'!$C$3:$C$1002,'입금 Payments'!$B$3:$B$1002,$A687))</f>
      </c>
      <c r="P687" s="41">
        <f>IF($C687="","",ROUND($H687*(1+IF('설정 Settings'!$C$24="YES",'설정 Settings'!$C$26,0)),2)-N($O687))</f>
      </c>
      <c r="Q687" s="42">
        <f>IF($A687="","","INV-"&amp;$A687)</f>
      </c>
      <c r="R687" s="42">
        <f>IF($H687="","",IF($H687&gt;'설정 Settings'!$C$36,"$2,000 초과: e-Transfer 나눠 받기 (F36)",""))</f>
      </c>
    </row>
    <row r="688" spans="12:18" x14ac:dyDescent="0.25">
      <c r="L688" s="41">
        <f>IF($C688="","",IF($I688="",ROUND(IFERROR($H688*VLOOKUP($F688,'설정 Settings'!$A$122:$F$130,4,0)+VLOOKUP($F688,'설정 Settings'!$A$122:$F$130,5,0),0),2),$I688))</f>
      </c>
      <c r="M688" s="41">
        <f>IF($C688="","",$H688-$L688)</f>
      </c>
      <c r="N688" s="42">
        <f>IF($C688="","",IF($I688="","추정 ESTIMATE","실제 ACTUAL"))</f>
      </c>
      <c r="O688" s="41">
        <f>IF($A688="","",SUMIFS('입금 Payments'!$C$3:$C$1002,'입금 Payments'!$B$3:$B$1002,$A688))</f>
      </c>
      <c r="P688" s="41">
        <f>IF($C688="","",ROUND($H688*(1+IF('설정 Settings'!$C$24="YES",'설정 Settings'!$C$26,0)),2)-N($O688))</f>
      </c>
      <c r="Q688" s="42">
        <f>IF($A688="","","INV-"&amp;$A688)</f>
      </c>
      <c r="R688" s="42">
        <f>IF($H688="","",IF($H688&gt;'설정 Settings'!$C$36,"$2,000 초과: e-Transfer 나눠 받기 (F36)",""))</f>
      </c>
    </row>
    <row r="689" spans="12:18" x14ac:dyDescent="0.25">
      <c r="L689" s="41">
        <f>IF($C689="","",IF($I689="",ROUND(IFERROR($H689*VLOOKUP($F689,'설정 Settings'!$A$122:$F$130,4,0)+VLOOKUP($F689,'설정 Settings'!$A$122:$F$130,5,0),0),2),$I689))</f>
      </c>
      <c r="M689" s="41">
        <f>IF($C689="","",$H689-$L689)</f>
      </c>
      <c r="N689" s="42">
        <f>IF($C689="","",IF($I689="","추정 ESTIMATE","실제 ACTUAL"))</f>
      </c>
      <c r="O689" s="41">
        <f>IF($A689="","",SUMIFS('입금 Payments'!$C$3:$C$1002,'입금 Payments'!$B$3:$B$1002,$A689))</f>
      </c>
      <c r="P689" s="41">
        <f>IF($C689="","",ROUND($H689*(1+IF('설정 Settings'!$C$24="YES",'설정 Settings'!$C$26,0)),2)-N($O689))</f>
      </c>
      <c r="Q689" s="42">
        <f>IF($A689="","","INV-"&amp;$A689)</f>
      </c>
      <c r="R689" s="42">
        <f>IF($H689="","",IF($H689&gt;'설정 Settings'!$C$36,"$2,000 초과: e-Transfer 나눠 받기 (F36)",""))</f>
      </c>
    </row>
    <row r="690" spans="12:18" x14ac:dyDescent="0.25">
      <c r="L690" s="41">
        <f>IF($C690="","",IF($I690="",ROUND(IFERROR($H690*VLOOKUP($F690,'설정 Settings'!$A$122:$F$130,4,0)+VLOOKUP($F690,'설정 Settings'!$A$122:$F$130,5,0),0),2),$I690))</f>
      </c>
      <c r="M690" s="41">
        <f>IF($C690="","",$H690-$L690)</f>
      </c>
      <c r="N690" s="42">
        <f>IF($C690="","",IF($I690="","추정 ESTIMATE","실제 ACTUAL"))</f>
      </c>
      <c r="O690" s="41">
        <f>IF($A690="","",SUMIFS('입금 Payments'!$C$3:$C$1002,'입금 Payments'!$B$3:$B$1002,$A690))</f>
      </c>
      <c r="P690" s="41">
        <f>IF($C690="","",ROUND($H690*(1+IF('설정 Settings'!$C$24="YES",'설정 Settings'!$C$26,0)),2)-N($O690))</f>
      </c>
      <c r="Q690" s="42">
        <f>IF($A690="","","INV-"&amp;$A690)</f>
      </c>
      <c r="R690" s="42">
        <f>IF($H690="","",IF($H690&gt;'설정 Settings'!$C$36,"$2,000 초과: e-Transfer 나눠 받기 (F36)",""))</f>
      </c>
    </row>
    <row r="691" spans="12:18" x14ac:dyDescent="0.25">
      <c r="L691" s="41">
        <f>IF($C691="","",IF($I691="",ROUND(IFERROR($H691*VLOOKUP($F691,'설정 Settings'!$A$122:$F$130,4,0)+VLOOKUP($F691,'설정 Settings'!$A$122:$F$130,5,0),0),2),$I691))</f>
      </c>
      <c r="M691" s="41">
        <f>IF($C691="","",$H691-$L691)</f>
      </c>
      <c r="N691" s="42">
        <f>IF($C691="","",IF($I691="","추정 ESTIMATE","실제 ACTUAL"))</f>
      </c>
      <c r="O691" s="41">
        <f>IF($A691="","",SUMIFS('입금 Payments'!$C$3:$C$1002,'입금 Payments'!$B$3:$B$1002,$A691))</f>
      </c>
      <c r="P691" s="41">
        <f>IF($C691="","",ROUND($H691*(1+IF('설정 Settings'!$C$24="YES",'설정 Settings'!$C$26,0)),2)-N($O691))</f>
      </c>
      <c r="Q691" s="42">
        <f>IF($A691="","","INV-"&amp;$A691)</f>
      </c>
      <c r="R691" s="42">
        <f>IF($H691="","",IF($H691&gt;'설정 Settings'!$C$36,"$2,000 초과: e-Transfer 나눠 받기 (F36)",""))</f>
      </c>
    </row>
    <row r="692" spans="12:18" x14ac:dyDescent="0.25">
      <c r="L692" s="41">
        <f>IF($C692="","",IF($I692="",ROUND(IFERROR($H692*VLOOKUP($F692,'설정 Settings'!$A$122:$F$130,4,0)+VLOOKUP($F692,'설정 Settings'!$A$122:$F$130,5,0),0),2),$I692))</f>
      </c>
      <c r="M692" s="41">
        <f>IF($C692="","",$H692-$L692)</f>
      </c>
      <c r="N692" s="42">
        <f>IF($C692="","",IF($I692="","추정 ESTIMATE","실제 ACTUAL"))</f>
      </c>
      <c r="O692" s="41">
        <f>IF($A692="","",SUMIFS('입금 Payments'!$C$3:$C$1002,'입금 Payments'!$B$3:$B$1002,$A692))</f>
      </c>
      <c r="P692" s="41">
        <f>IF($C692="","",ROUND($H692*(1+IF('설정 Settings'!$C$24="YES",'설정 Settings'!$C$26,0)),2)-N($O692))</f>
      </c>
      <c r="Q692" s="42">
        <f>IF($A692="","","INV-"&amp;$A692)</f>
      </c>
      <c r="R692" s="42">
        <f>IF($H692="","",IF($H692&gt;'설정 Settings'!$C$36,"$2,000 초과: e-Transfer 나눠 받기 (F36)",""))</f>
      </c>
    </row>
    <row r="693" spans="12:18" x14ac:dyDescent="0.25">
      <c r="L693" s="41">
        <f>IF($C693="","",IF($I693="",ROUND(IFERROR($H693*VLOOKUP($F693,'설정 Settings'!$A$122:$F$130,4,0)+VLOOKUP($F693,'설정 Settings'!$A$122:$F$130,5,0),0),2),$I693))</f>
      </c>
      <c r="M693" s="41">
        <f>IF($C693="","",$H693-$L693)</f>
      </c>
      <c r="N693" s="42">
        <f>IF($C693="","",IF($I693="","추정 ESTIMATE","실제 ACTUAL"))</f>
      </c>
      <c r="O693" s="41">
        <f>IF($A693="","",SUMIFS('입금 Payments'!$C$3:$C$1002,'입금 Payments'!$B$3:$B$1002,$A693))</f>
      </c>
      <c r="P693" s="41">
        <f>IF($C693="","",ROUND($H693*(1+IF('설정 Settings'!$C$24="YES",'설정 Settings'!$C$26,0)),2)-N($O693))</f>
      </c>
      <c r="Q693" s="42">
        <f>IF($A693="","","INV-"&amp;$A693)</f>
      </c>
      <c r="R693" s="42">
        <f>IF($H693="","",IF($H693&gt;'설정 Settings'!$C$36,"$2,000 초과: e-Transfer 나눠 받기 (F36)",""))</f>
      </c>
    </row>
    <row r="694" spans="12:18" x14ac:dyDescent="0.25">
      <c r="L694" s="41">
        <f>IF($C694="","",IF($I694="",ROUND(IFERROR($H694*VLOOKUP($F694,'설정 Settings'!$A$122:$F$130,4,0)+VLOOKUP($F694,'설정 Settings'!$A$122:$F$130,5,0),0),2),$I694))</f>
      </c>
      <c r="M694" s="41">
        <f>IF($C694="","",$H694-$L694)</f>
      </c>
      <c r="N694" s="42">
        <f>IF($C694="","",IF($I694="","추정 ESTIMATE","실제 ACTUAL"))</f>
      </c>
      <c r="O694" s="41">
        <f>IF($A694="","",SUMIFS('입금 Payments'!$C$3:$C$1002,'입금 Payments'!$B$3:$B$1002,$A694))</f>
      </c>
      <c r="P694" s="41">
        <f>IF($C694="","",ROUND($H694*(1+IF('설정 Settings'!$C$24="YES",'설정 Settings'!$C$26,0)),2)-N($O694))</f>
      </c>
      <c r="Q694" s="42">
        <f>IF($A694="","","INV-"&amp;$A694)</f>
      </c>
      <c r="R694" s="42">
        <f>IF($H694="","",IF($H694&gt;'설정 Settings'!$C$36,"$2,000 초과: e-Transfer 나눠 받기 (F36)",""))</f>
      </c>
    </row>
    <row r="695" spans="12:18" x14ac:dyDescent="0.25">
      <c r="L695" s="41">
        <f>IF($C695="","",IF($I695="",ROUND(IFERROR($H695*VLOOKUP($F695,'설정 Settings'!$A$122:$F$130,4,0)+VLOOKUP($F695,'설정 Settings'!$A$122:$F$130,5,0),0),2),$I695))</f>
      </c>
      <c r="M695" s="41">
        <f>IF($C695="","",$H695-$L695)</f>
      </c>
      <c r="N695" s="42">
        <f>IF($C695="","",IF($I695="","추정 ESTIMATE","실제 ACTUAL"))</f>
      </c>
      <c r="O695" s="41">
        <f>IF($A695="","",SUMIFS('입금 Payments'!$C$3:$C$1002,'입금 Payments'!$B$3:$B$1002,$A695))</f>
      </c>
      <c r="P695" s="41">
        <f>IF($C695="","",ROUND($H695*(1+IF('설정 Settings'!$C$24="YES",'설정 Settings'!$C$26,0)),2)-N($O695))</f>
      </c>
      <c r="Q695" s="42">
        <f>IF($A695="","","INV-"&amp;$A695)</f>
      </c>
      <c r="R695" s="42">
        <f>IF($H695="","",IF($H695&gt;'설정 Settings'!$C$36,"$2,000 초과: e-Transfer 나눠 받기 (F36)",""))</f>
      </c>
    </row>
    <row r="696" spans="12:18" x14ac:dyDescent="0.25">
      <c r="L696" s="41">
        <f>IF($C696="","",IF($I696="",ROUND(IFERROR($H696*VLOOKUP($F696,'설정 Settings'!$A$122:$F$130,4,0)+VLOOKUP($F696,'설정 Settings'!$A$122:$F$130,5,0),0),2),$I696))</f>
      </c>
      <c r="M696" s="41">
        <f>IF($C696="","",$H696-$L696)</f>
      </c>
      <c r="N696" s="42">
        <f>IF($C696="","",IF($I696="","추정 ESTIMATE","실제 ACTUAL"))</f>
      </c>
      <c r="O696" s="41">
        <f>IF($A696="","",SUMIFS('입금 Payments'!$C$3:$C$1002,'입금 Payments'!$B$3:$B$1002,$A696))</f>
      </c>
      <c r="P696" s="41">
        <f>IF($C696="","",ROUND($H696*(1+IF('설정 Settings'!$C$24="YES",'설정 Settings'!$C$26,0)),2)-N($O696))</f>
      </c>
      <c r="Q696" s="42">
        <f>IF($A696="","","INV-"&amp;$A696)</f>
      </c>
      <c r="R696" s="42">
        <f>IF($H696="","",IF($H696&gt;'설정 Settings'!$C$36,"$2,000 초과: e-Transfer 나눠 받기 (F36)",""))</f>
      </c>
    </row>
    <row r="697" spans="12:18" x14ac:dyDescent="0.25">
      <c r="L697" s="41">
        <f>IF($C697="","",IF($I697="",ROUND(IFERROR($H697*VLOOKUP($F697,'설정 Settings'!$A$122:$F$130,4,0)+VLOOKUP($F697,'설정 Settings'!$A$122:$F$130,5,0),0),2),$I697))</f>
      </c>
      <c r="M697" s="41">
        <f>IF($C697="","",$H697-$L697)</f>
      </c>
      <c r="N697" s="42">
        <f>IF($C697="","",IF($I697="","추정 ESTIMATE","실제 ACTUAL"))</f>
      </c>
      <c r="O697" s="41">
        <f>IF($A697="","",SUMIFS('입금 Payments'!$C$3:$C$1002,'입금 Payments'!$B$3:$B$1002,$A697))</f>
      </c>
      <c r="P697" s="41">
        <f>IF($C697="","",ROUND($H697*(1+IF('설정 Settings'!$C$24="YES",'설정 Settings'!$C$26,0)),2)-N($O697))</f>
      </c>
      <c r="Q697" s="42">
        <f>IF($A697="","","INV-"&amp;$A697)</f>
      </c>
      <c r="R697" s="42">
        <f>IF($H697="","",IF($H697&gt;'설정 Settings'!$C$36,"$2,000 초과: e-Transfer 나눠 받기 (F36)",""))</f>
      </c>
    </row>
    <row r="698" spans="12:18" x14ac:dyDescent="0.25">
      <c r="L698" s="41">
        <f>IF($C698="","",IF($I698="",ROUND(IFERROR($H698*VLOOKUP($F698,'설정 Settings'!$A$122:$F$130,4,0)+VLOOKUP($F698,'설정 Settings'!$A$122:$F$130,5,0),0),2),$I698))</f>
      </c>
      <c r="M698" s="41">
        <f>IF($C698="","",$H698-$L698)</f>
      </c>
      <c r="N698" s="42">
        <f>IF($C698="","",IF($I698="","추정 ESTIMATE","실제 ACTUAL"))</f>
      </c>
      <c r="O698" s="41">
        <f>IF($A698="","",SUMIFS('입금 Payments'!$C$3:$C$1002,'입금 Payments'!$B$3:$B$1002,$A698))</f>
      </c>
      <c r="P698" s="41">
        <f>IF($C698="","",ROUND($H698*(1+IF('설정 Settings'!$C$24="YES",'설정 Settings'!$C$26,0)),2)-N($O698))</f>
      </c>
      <c r="Q698" s="42">
        <f>IF($A698="","","INV-"&amp;$A698)</f>
      </c>
      <c r="R698" s="42">
        <f>IF($H698="","",IF($H698&gt;'설정 Settings'!$C$36,"$2,000 초과: e-Transfer 나눠 받기 (F36)",""))</f>
      </c>
    </row>
    <row r="699" spans="12:18" x14ac:dyDescent="0.25">
      <c r="L699" s="41">
        <f>IF($C699="","",IF($I699="",ROUND(IFERROR($H699*VLOOKUP($F699,'설정 Settings'!$A$122:$F$130,4,0)+VLOOKUP($F699,'설정 Settings'!$A$122:$F$130,5,0),0),2),$I699))</f>
      </c>
      <c r="M699" s="41">
        <f>IF($C699="","",$H699-$L699)</f>
      </c>
      <c r="N699" s="42">
        <f>IF($C699="","",IF($I699="","추정 ESTIMATE","실제 ACTUAL"))</f>
      </c>
      <c r="O699" s="41">
        <f>IF($A699="","",SUMIFS('입금 Payments'!$C$3:$C$1002,'입금 Payments'!$B$3:$B$1002,$A699))</f>
      </c>
      <c r="P699" s="41">
        <f>IF($C699="","",ROUND($H699*(1+IF('설정 Settings'!$C$24="YES",'설정 Settings'!$C$26,0)),2)-N($O699))</f>
      </c>
      <c r="Q699" s="42">
        <f>IF($A699="","","INV-"&amp;$A699)</f>
      </c>
      <c r="R699" s="42">
        <f>IF($H699="","",IF($H699&gt;'설정 Settings'!$C$36,"$2,000 초과: e-Transfer 나눠 받기 (F36)",""))</f>
      </c>
    </row>
    <row r="700" spans="12:18" x14ac:dyDescent="0.25">
      <c r="L700" s="41">
        <f>IF($C700="","",IF($I700="",ROUND(IFERROR($H700*VLOOKUP($F700,'설정 Settings'!$A$122:$F$130,4,0)+VLOOKUP($F700,'설정 Settings'!$A$122:$F$130,5,0),0),2),$I700))</f>
      </c>
      <c r="M700" s="41">
        <f>IF($C700="","",$H700-$L700)</f>
      </c>
      <c r="N700" s="42">
        <f>IF($C700="","",IF($I700="","추정 ESTIMATE","실제 ACTUAL"))</f>
      </c>
      <c r="O700" s="41">
        <f>IF($A700="","",SUMIFS('입금 Payments'!$C$3:$C$1002,'입금 Payments'!$B$3:$B$1002,$A700))</f>
      </c>
      <c r="P700" s="41">
        <f>IF($C700="","",ROUND($H700*(1+IF('설정 Settings'!$C$24="YES",'설정 Settings'!$C$26,0)),2)-N($O700))</f>
      </c>
      <c r="Q700" s="42">
        <f>IF($A700="","","INV-"&amp;$A700)</f>
      </c>
      <c r="R700" s="42">
        <f>IF($H700="","",IF($H700&gt;'설정 Settings'!$C$36,"$2,000 초과: e-Transfer 나눠 받기 (F36)",""))</f>
      </c>
    </row>
    <row r="701" spans="12:18" x14ac:dyDescent="0.25">
      <c r="L701" s="41">
        <f>IF($C701="","",IF($I701="",ROUND(IFERROR($H701*VLOOKUP($F701,'설정 Settings'!$A$122:$F$130,4,0)+VLOOKUP($F701,'설정 Settings'!$A$122:$F$130,5,0),0),2),$I701))</f>
      </c>
      <c r="M701" s="41">
        <f>IF($C701="","",$H701-$L701)</f>
      </c>
      <c r="N701" s="42">
        <f>IF($C701="","",IF($I701="","추정 ESTIMATE","실제 ACTUAL"))</f>
      </c>
      <c r="O701" s="41">
        <f>IF($A701="","",SUMIFS('입금 Payments'!$C$3:$C$1002,'입금 Payments'!$B$3:$B$1002,$A701))</f>
      </c>
      <c r="P701" s="41">
        <f>IF($C701="","",ROUND($H701*(1+IF('설정 Settings'!$C$24="YES",'설정 Settings'!$C$26,0)),2)-N($O701))</f>
      </c>
      <c r="Q701" s="42">
        <f>IF($A701="","","INV-"&amp;$A701)</f>
      </c>
      <c r="R701" s="42">
        <f>IF($H701="","",IF($H701&gt;'설정 Settings'!$C$36,"$2,000 초과: e-Transfer 나눠 받기 (F36)",""))</f>
      </c>
    </row>
    <row r="702" spans="12:18" x14ac:dyDescent="0.25">
      <c r="L702" s="41">
        <f>IF($C702="","",IF($I702="",ROUND(IFERROR($H702*VLOOKUP($F702,'설정 Settings'!$A$122:$F$130,4,0)+VLOOKUP($F702,'설정 Settings'!$A$122:$F$130,5,0),0),2),$I702))</f>
      </c>
      <c r="M702" s="41">
        <f>IF($C702="","",$H702-$L702)</f>
      </c>
      <c r="N702" s="42">
        <f>IF($C702="","",IF($I702="","추정 ESTIMATE","실제 ACTUAL"))</f>
      </c>
      <c r="O702" s="41">
        <f>IF($A702="","",SUMIFS('입금 Payments'!$C$3:$C$1002,'입금 Payments'!$B$3:$B$1002,$A702))</f>
      </c>
      <c r="P702" s="41">
        <f>IF($C702="","",ROUND($H702*(1+IF('설정 Settings'!$C$24="YES",'설정 Settings'!$C$26,0)),2)-N($O702))</f>
      </c>
      <c r="Q702" s="42">
        <f>IF($A702="","","INV-"&amp;$A702)</f>
      </c>
      <c r="R702" s="42">
        <f>IF($H702="","",IF($H702&gt;'설정 Settings'!$C$36,"$2,000 초과: e-Transfer 나눠 받기 (F36)",""))</f>
      </c>
    </row>
    <row r="703" spans="12:18" x14ac:dyDescent="0.25">
      <c r="L703" s="41">
        <f>IF($C703="","",IF($I703="",ROUND(IFERROR($H703*VLOOKUP($F703,'설정 Settings'!$A$122:$F$130,4,0)+VLOOKUP($F703,'설정 Settings'!$A$122:$F$130,5,0),0),2),$I703))</f>
      </c>
      <c r="M703" s="41">
        <f>IF($C703="","",$H703-$L703)</f>
      </c>
      <c r="N703" s="42">
        <f>IF($C703="","",IF($I703="","추정 ESTIMATE","실제 ACTUAL"))</f>
      </c>
      <c r="O703" s="41">
        <f>IF($A703="","",SUMIFS('입금 Payments'!$C$3:$C$1002,'입금 Payments'!$B$3:$B$1002,$A703))</f>
      </c>
      <c r="P703" s="41">
        <f>IF($C703="","",ROUND($H703*(1+IF('설정 Settings'!$C$24="YES",'설정 Settings'!$C$26,0)),2)-N($O703))</f>
      </c>
      <c r="Q703" s="42">
        <f>IF($A703="","","INV-"&amp;$A703)</f>
      </c>
      <c r="R703" s="42">
        <f>IF($H703="","",IF($H703&gt;'설정 Settings'!$C$36,"$2,000 초과: e-Transfer 나눠 받기 (F36)",""))</f>
      </c>
    </row>
    <row r="704" spans="12:18" x14ac:dyDescent="0.25">
      <c r="L704" s="41">
        <f>IF($C704="","",IF($I704="",ROUND(IFERROR($H704*VLOOKUP($F704,'설정 Settings'!$A$122:$F$130,4,0)+VLOOKUP($F704,'설정 Settings'!$A$122:$F$130,5,0),0),2),$I704))</f>
      </c>
      <c r="M704" s="41">
        <f>IF($C704="","",$H704-$L704)</f>
      </c>
      <c r="N704" s="42">
        <f>IF($C704="","",IF($I704="","추정 ESTIMATE","실제 ACTUAL"))</f>
      </c>
      <c r="O704" s="41">
        <f>IF($A704="","",SUMIFS('입금 Payments'!$C$3:$C$1002,'입금 Payments'!$B$3:$B$1002,$A704))</f>
      </c>
      <c r="P704" s="41">
        <f>IF($C704="","",ROUND($H704*(1+IF('설정 Settings'!$C$24="YES",'설정 Settings'!$C$26,0)),2)-N($O704))</f>
      </c>
      <c r="Q704" s="42">
        <f>IF($A704="","","INV-"&amp;$A704)</f>
      </c>
      <c r="R704" s="42">
        <f>IF($H704="","",IF($H704&gt;'설정 Settings'!$C$36,"$2,000 초과: e-Transfer 나눠 받기 (F36)",""))</f>
      </c>
    </row>
    <row r="705" spans="12:18" x14ac:dyDescent="0.25">
      <c r="L705" s="41">
        <f>IF($C705="","",IF($I705="",ROUND(IFERROR($H705*VLOOKUP($F705,'설정 Settings'!$A$122:$F$130,4,0)+VLOOKUP($F705,'설정 Settings'!$A$122:$F$130,5,0),0),2),$I705))</f>
      </c>
      <c r="M705" s="41">
        <f>IF($C705="","",$H705-$L705)</f>
      </c>
      <c r="N705" s="42">
        <f>IF($C705="","",IF($I705="","추정 ESTIMATE","실제 ACTUAL"))</f>
      </c>
      <c r="O705" s="41">
        <f>IF($A705="","",SUMIFS('입금 Payments'!$C$3:$C$1002,'입금 Payments'!$B$3:$B$1002,$A705))</f>
      </c>
      <c r="P705" s="41">
        <f>IF($C705="","",ROUND($H705*(1+IF('설정 Settings'!$C$24="YES",'설정 Settings'!$C$26,0)),2)-N($O705))</f>
      </c>
      <c r="Q705" s="42">
        <f>IF($A705="","","INV-"&amp;$A705)</f>
      </c>
      <c r="R705" s="42">
        <f>IF($H705="","",IF($H705&gt;'설정 Settings'!$C$36,"$2,000 초과: e-Transfer 나눠 받기 (F36)",""))</f>
      </c>
    </row>
    <row r="706" spans="12:18" x14ac:dyDescent="0.25">
      <c r="L706" s="41">
        <f>IF($C706="","",IF($I706="",ROUND(IFERROR($H706*VLOOKUP($F706,'설정 Settings'!$A$122:$F$130,4,0)+VLOOKUP($F706,'설정 Settings'!$A$122:$F$130,5,0),0),2),$I706))</f>
      </c>
      <c r="M706" s="41">
        <f>IF($C706="","",$H706-$L706)</f>
      </c>
      <c r="N706" s="42">
        <f>IF($C706="","",IF($I706="","추정 ESTIMATE","실제 ACTUAL"))</f>
      </c>
      <c r="O706" s="41">
        <f>IF($A706="","",SUMIFS('입금 Payments'!$C$3:$C$1002,'입금 Payments'!$B$3:$B$1002,$A706))</f>
      </c>
      <c r="P706" s="41">
        <f>IF($C706="","",ROUND($H706*(1+IF('설정 Settings'!$C$24="YES",'설정 Settings'!$C$26,0)),2)-N($O706))</f>
      </c>
      <c r="Q706" s="42">
        <f>IF($A706="","","INV-"&amp;$A706)</f>
      </c>
      <c r="R706" s="42">
        <f>IF($H706="","",IF($H706&gt;'설정 Settings'!$C$36,"$2,000 초과: e-Transfer 나눠 받기 (F36)",""))</f>
      </c>
    </row>
    <row r="707" spans="12:18" x14ac:dyDescent="0.25">
      <c r="L707" s="41">
        <f>IF($C707="","",IF($I707="",ROUND(IFERROR($H707*VLOOKUP($F707,'설정 Settings'!$A$122:$F$130,4,0)+VLOOKUP($F707,'설정 Settings'!$A$122:$F$130,5,0),0),2),$I707))</f>
      </c>
      <c r="M707" s="41">
        <f>IF($C707="","",$H707-$L707)</f>
      </c>
      <c r="N707" s="42">
        <f>IF($C707="","",IF($I707="","추정 ESTIMATE","실제 ACTUAL"))</f>
      </c>
      <c r="O707" s="41">
        <f>IF($A707="","",SUMIFS('입금 Payments'!$C$3:$C$1002,'입금 Payments'!$B$3:$B$1002,$A707))</f>
      </c>
      <c r="P707" s="41">
        <f>IF($C707="","",ROUND($H707*(1+IF('설정 Settings'!$C$24="YES",'설정 Settings'!$C$26,0)),2)-N($O707))</f>
      </c>
      <c r="Q707" s="42">
        <f>IF($A707="","","INV-"&amp;$A707)</f>
      </c>
      <c r="R707" s="42">
        <f>IF($H707="","",IF($H707&gt;'설정 Settings'!$C$36,"$2,000 초과: e-Transfer 나눠 받기 (F36)",""))</f>
      </c>
    </row>
    <row r="708" spans="12:18" x14ac:dyDescent="0.25">
      <c r="L708" s="41">
        <f>IF($C708="","",IF($I708="",ROUND(IFERROR($H708*VLOOKUP($F708,'설정 Settings'!$A$122:$F$130,4,0)+VLOOKUP($F708,'설정 Settings'!$A$122:$F$130,5,0),0),2),$I708))</f>
      </c>
      <c r="M708" s="41">
        <f>IF($C708="","",$H708-$L708)</f>
      </c>
      <c r="N708" s="42">
        <f>IF($C708="","",IF($I708="","추정 ESTIMATE","실제 ACTUAL"))</f>
      </c>
      <c r="O708" s="41">
        <f>IF($A708="","",SUMIFS('입금 Payments'!$C$3:$C$1002,'입금 Payments'!$B$3:$B$1002,$A708))</f>
      </c>
      <c r="P708" s="41">
        <f>IF($C708="","",ROUND($H708*(1+IF('설정 Settings'!$C$24="YES",'설정 Settings'!$C$26,0)),2)-N($O708))</f>
      </c>
      <c r="Q708" s="42">
        <f>IF($A708="","","INV-"&amp;$A708)</f>
      </c>
      <c r="R708" s="42">
        <f>IF($H708="","",IF($H708&gt;'설정 Settings'!$C$36,"$2,000 초과: e-Transfer 나눠 받기 (F36)",""))</f>
      </c>
    </row>
    <row r="709" spans="12:18" x14ac:dyDescent="0.25">
      <c r="L709" s="41">
        <f>IF($C709="","",IF($I709="",ROUND(IFERROR($H709*VLOOKUP($F709,'설정 Settings'!$A$122:$F$130,4,0)+VLOOKUP($F709,'설정 Settings'!$A$122:$F$130,5,0),0),2),$I709))</f>
      </c>
      <c r="M709" s="41">
        <f>IF($C709="","",$H709-$L709)</f>
      </c>
      <c r="N709" s="42">
        <f>IF($C709="","",IF($I709="","추정 ESTIMATE","실제 ACTUAL"))</f>
      </c>
      <c r="O709" s="41">
        <f>IF($A709="","",SUMIFS('입금 Payments'!$C$3:$C$1002,'입금 Payments'!$B$3:$B$1002,$A709))</f>
      </c>
      <c r="P709" s="41">
        <f>IF($C709="","",ROUND($H709*(1+IF('설정 Settings'!$C$24="YES",'설정 Settings'!$C$26,0)),2)-N($O709))</f>
      </c>
      <c r="Q709" s="42">
        <f>IF($A709="","","INV-"&amp;$A709)</f>
      </c>
      <c r="R709" s="42">
        <f>IF($H709="","",IF($H709&gt;'설정 Settings'!$C$36,"$2,000 초과: e-Transfer 나눠 받기 (F36)",""))</f>
      </c>
    </row>
    <row r="710" spans="12:18" x14ac:dyDescent="0.25">
      <c r="L710" s="41">
        <f>IF($C710="","",IF($I710="",ROUND(IFERROR($H710*VLOOKUP($F710,'설정 Settings'!$A$122:$F$130,4,0)+VLOOKUP($F710,'설정 Settings'!$A$122:$F$130,5,0),0),2),$I710))</f>
      </c>
      <c r="M710" s="41">
        <f>IF($C710="","",$H710-$L710)</f>
      </c>
      <c r="N710" s="42">
        <f>IF($C710="","",IF($I710="","추정 ESTIMATE","실제 ACTUAL"))</f>
      </c>
      <c r="O710" s="41">
        <f>IF($A710="","",SUMIFS('입금 Payments'!$C$3:$C$1002,'입금 Payments'!$B$3:$B$1002,$A710))</f>
      </c>
      <c r="P710" s="41">
        <f>IF($C710="","",ROUND($H710*(1+IF('설정 Settings'!$C$24="YES",'설정 Settings'!$C$26,0)),2)-N($O710))</f>
      </c>
      <c r="Q710" s="42">
        <f>IF($A710="","","INV-"&amp;$A710)</f>
      </c>
      <c r="R710" s="42">
        <f>IF($H710="","",IF($H710&gt;'설정 Settings'!$C$36,"$2,000 초과: e-Transfer 나눠 받기 (F36)",""))</f>
      </c>
    </row>
    <row r="711" spans="12:18" x14ac:dyDescent="0.25">
      <c r="L711" s="41">
        <f>IF($C711="","",IF($I711="",ROUND(IFERROR($H711*VLOOKUP($F711,'설정 Settings'!$A$122:$F$130,4,0)+VLOOKUP($F711,'설정 Settings'!$A$122:$F$130,5,0),0),2),$I711))</f>
      </c>
      <c r="M711" s="41">
        <f>IF($C711="","",$H711-$L711)</f>
      </c>
      <c r="N711" s="42">
        <f>IF($C711="","",IF($I711="","추정 ESTIMATE","실제 ACTUAL"))</f>
      </c>
      <c r="O711" s="41">
        <f>IF($A711="","",SUMIFS('입금 Payments'!$C$3:$C$1002,'입금 Payments'!$B$3:$B$1002,$A711))</f>
      </c>
      <c r="P711" s="41">
        <f>IF($C711="","",ROUND($H711*(1+IF('설정 Settings'!$C$24="YES",'설정 Settings'!$C$26,0)),2)-N($O711))</f>
      </c>
      <c r="Q711" s="42">
        <f>IF($A711="","","INV-"&amp;$A711)</f>
      </c>
      <c r="R711" s="42">
        <f>IF($H711="","",IF($H711&gt;'설정 Settings'!$C$36,"$2,000 초과: e-Transfer 나눠 받기 (F36)",""))</f>
      </c>
    </row>
    <row r="712" spans="12:18" x14ac:dyDescent="0.25">
      <c r="L712" s="41">
        <f>IF($C712="","",IF($I712="",ROUND(IFERROR($H712*VLOOKUP($F712,'설정 Settings'!$A$122:$F$130,4,0)+VLOOKUP($F712,'설정 Settings'!$A$122:$F$130,5,0),0),2),$I712))</f>
      </c>
      <c r="M712" s="41">
        <f>IF($C712="","",$H712-$L712)</f>
      </c>
      <c r="N712" s="42">
        <f>IF($C712="","",IF($I712="","추정 ESTIMATE","실제 ACTUAL"))</f>
      </c>
      <c r="O712" s="41">
        <f>IF($A712="","",SUMIFS('입금 Payments'!$C$3:$C$1002,'입금 Payments'!$B$3:$B$1002,$A712))</f>
      </c>
      <c r="P712" s="41">
        <f>IF($C712="","",ROUND($H712*(1+IF('설정 Settings'!$C$24="YES",'설정 Settings'!$C$26,0)),2)-N($O712))</f>
      </c>
      <c r="Q712" s="42">
        <f>IF($A712="","","INV-"&amp;$A712)</f>
      </c>
      <c r="R712" s="42">
        <f>IF($H712="","",IF($H712&gt;'설정 Settings'!$C$36,"$2,000 초과: e-Transfer 나눠 받기 (F36)",""))</f>
      </c>
    </row>
    <row r="713" spans="12:18" x14ac:dyDescent="0.25">
      <c r="L713" s="41">
        <f>IF($C713="","",IF($I713="",ROUND(IFERROR($H713*VLOOKUP($F713,'설정 Settings'!$A$122:$F$130,4,0)+VLOOKUP($F713,'설정 Settings'!$A$122:$F$130,5,0),0),2),$I713))</f>
      </c>
      <c r="M713" s="41">
        <f>IF($C713="","",$H713-$L713)</f>
      </c>
      <c r="N713" s="42">
        <f>IF($C713="","",IF($I713="","추정 ESTIMATE","실제 ACTUAL"))</f>
      </c>
      <c r="O713" s="41">
        <f>IF($A713="","",SUMIFS('입금 Payments'!$C$3:$C$1002,'입금 Payments'!$B$3:$B$1002,$A713))</f>
      </c>
      <c r="P713" s="41">
        <f>IF($C713="","",ROUND($H713*(1+IF('설정 Settings'!$C$24="YES",'설정 Settings'!$C$26,0)),2)-N($O713))</f>
      </c>
      <c r="Q713" s="42">
        <f>IF($A713="","","INV-"&amp;$A713)</f>
      </c>
      <c r="R713" s="42">
        <f>IF($H713="","",IF($H713&gt;'설정 Settings'!$C$36,"$2,000 초과: e-Transfer 나눠 받기 (F36)",""))</f>
      </c>
    </row>
    <row r="714" spans="12:18" x14ac:dyDescent="0.25">
      <c r="L714" s="41">
        <f>IF($C714="","",IF($I714="",ROUND(IFERROR($H714*VLOOKUP($F714,'설정 Settings'!$A$122:$F$130,4,0)+VLOOKUP($F714,'설정 Settings'!$A$122:$F$130,5,0),0),2),$I714))</f>
      </c>
      <c r="M714" s="41">
        <f>IF($C714="","",$H714-$L714)</f>
      </c>
      <c r="N714" s="42">
        <f>IF($C714="","",IF($I714="","추정 ESTIMATE","실제 ACTUAL"))</f>
      </c>
      <c r="O714" s="41">
        <f>IF($A714="","",SUMIFS('입금 Payments'!$C$3:$C$1002,'입금 Payments'!$B$3:$B$1002,$A714))</f>
      </c>
      <c r="P714" s="41">
        <f>IF($C714="","",ROUND($H714*(1+IF('설정 Settings'!$C$24="YES",'설정 Settings'!$C$26,0)),2)-N($O714))</f>
      </c>
      <c r="Q714" s="42">
        <f>IF($A714="","","INV-"&amp;$A714)</f>
      </c>
      <c r="R714" s="42">
        <f>IF($H714="","",IF($H714&gt;'설정 Settings'!$C$36,"$2,000 초과: e-Transfer 나눠 받기 (F36)",""))</f>
      </c>
    </row>
    <row r="715" spans="12:18" x14ac:dyDescent="0.25">
      <c r="L715" s="41">
        <f>IF($C715="","",IF($I715="",ROUND(IFERROR($H715*VLOOKUP($F715,'설정 Settings'!$A$122:$F$130,4,0)+VLOOKUP($F715,'설정 Settings'!$A$122:$F$130,5,0),0),2),$I715))</f>
      </c>
      <c r="M715" s="41">
        <f>IF($C715="","",$H715-$L715)</f>
      </c>
      <c r="N715" s="42">
        <f>IF($C715="","",IF($I715="","추정 ESTIMATE","실제 ACTUAL"))</f>
      </c>
      <c r="O715" s="41">
        <f>IF($A715="","",SUMIFS('입금 Payments'!$C$3:$C$1002,'입금 Payments'!$B$3:$B$1002,$A715))</f>
      </c>
      <c r="P715" s="41">
        <f>IF($C715="","",ROUND($H715*(1+IF('설정 Settings'!$C$24="YES",'설정 Settings'!$C$26,0)),2)-N($O715))</f>
      </c>
      <c r="Q715" s="42">
        <f>IF($A715="","","INV-"&amp;$A715)</f>
      </c>
      <c r="R715" s="42">
        <f>IF($H715="","",IF($H715&gt;'설정 Settings'!$C$36,"$2,000 초과: e-Transfer 나눠 받기 (F36)",""))</f>
      </c>
    </row>
    <row r="716" spans="12:18" x14ac:dyDescent="0.25">
      <c r="L716" s="41">
        <f>IF($C716="","",IF($I716="",ROUND(IFERROR($H716*VLOOKUP($F716,'설정 Settings'!$A$122:$F$130,4,0)+VLOOKUP($F716,'설정 Settings'!$A$122:$F$130,5,0),0),2),$I716))</f>
      </c>
      <c r="M716" s="41">
        <f>IF($C716="","",$H716-$L716)</f>
      </c>
      <c r="N716" s="42">
        <f>IF($C716="","",IF($I716="","추정 ESTIMATE","실제 ACTUAL"))</f>
      </c>
      <c r="O716" s="41">
        <f>IF($A716="","",SUMIFS('입금 Payments'!$C$3:$C$1002,'입금 Payments'!$B$3:$B$1002,$A716))</f>
      </c>
      <c r="P716" s="41">
        <f>IF($C716="","",ROUND($H716*(1+IF('설정 Settings'!$C$24="YES",'설정 Settings'!$C$26,0)),2)-N($O716))</f>
      </c>
      <c r="Q716" s="42">
        <f>IF($A716="","","INV-"&amp;$A716)</f>
      </c>
      <c r="R716" s="42">
        <f>IF($H716="","",IF($H716&gt;'설정 Settings'!$C$36,"$2,000 초과: e-Transfer 나눠 받기 (F36)",""))</f>
      </c>
    </row>
    <row r="717" spans="12:18" x14ac:dyDescent="0.25">
      <c r="L717" s="41">
        <f>IF($C717="","",IF($I717="",ROUND(IFERROR($H717*VLOOKUP($F717,'설정 Settings'!$A$122:$F$130,4,0)+VLOOKUP($F717,'설정 Settings'!$A$122:$F$130,5,0),0),2),$I717))</f>
      </c>
      <c r="M717" s="41">
        <f>IF($C717="","",$H717-$L717)</f>
      </c>
      <c r="N717" s="42">
        <f>IF($C717="","",IF($I717="","추정 ESTIMATE","실제 ACTUAL"))</f>
      </c>
      <c r="O717" s="41">
        <f>IF($A717="","",SUMIFS('입금 Payments'!$C$3:$C$1002,'입금 Payments'!$B$3:$B$1002,$A717))</f>
      </c>
      <c r="P717" s="41">
        <f>IF($C717="","",ROUND($H717*(1+IF('설정 Settings'!$C$24="YES",'설정 Settings'!$C$26,0)),2)-N($O717))</f>
      </c>
      <c r="Q717" s="42">
        <f>IF($A717="","","INV-"&amp;$A717)</f>
      </c>
      <c r="R717" s="42">
        <f>IF($H717="","",IF($H717&gt;'설정 Settings'!$C$36,"$2,000 초과: e-Transfer 나눠 받기 (F36)",""))</f>
      </c>
    </row>
    <row r="718" spans="12:18" x14ac:dyDescent="0.25">
      <c r="L718" s="41">
        <f>IF($C718="","",IF($I718="",ROUND(IFERROR($H718*VLOOKUP($F718,'설정 Settings'!$A$122:$F$130,4,0)+VLOOKUP($F718,'설정 Settings'!$A$122:$F$130,5,0),0),2),$I718))</f>
      </c>
      <c r="M718" s="41">
        <f>IF($C718="","",$H718-$L718)</f>
      </c>
      <c r="N718" s="42">
        <f>IF($C718="","",IF($I718="","추정 ESTIMATE","실제 ACTUAL"))</f>
      </c>
      <c r="O718" s="41">
        <f>IF($A718="","",SUMIFS('입금 Payments'!$C$3:$C$1002,'입금 Payments'!$B$3:$B$1002,$A718))</f>
      </c>
      <c r="P718" s="41">
        <f>IF($C718="","",ROUND($H718*(1+IF('설정 Settings'!$C$24="YES",'설정 Settings'!$C$26,0)),2)-N($O718))</f>
      </c>
      <c r="Q718" s="42">
        <f>IF($A718="","","INV-"&amp;$A718)</f>
      </c>
      <c r="R718" s="42">
        <f>IF($H718="","",IF($H718&gt;'설정 Settings'!$C$36,"$2,000 초과: e-Transfer 나눠 받기 (F36)",""))</f>
      </c>
    </row>
    <row r="719" spans="12:18" x14ac:dyDescent="0.25">
      <c r="L719" s="41">
        <f>IF($C719="","",IF($I719="",ROUND(IFERROR($H719*VLOOKUP($F719,'설정 Settings'!$A$122:$F$130,4,0)+VLOOKUP($F719,'설정 Settings'!$A$122:$F$130,5,0),0),2),$I719))</f>
      </c>
      <c r="M719" s="41">
        <f>IF($C719="","",$H719-$L719)</f>
      </c>
      <c r="N719" s="42">
        <f>IF($C719="","",IF($I719="","추정 ESTIMATE","실제 ACTUAL"))</f>
      </c>
      <c r="O719" s="41">
        <f>IF($A719="","",SUMIFS('입금 Payments'!$C$3:$C$1002,'입금 Payments'!$B$3:$B$1002,$A719))</f>
      </c>
      <c r="P719" s="41">
        <f>IF($C719="","",ROUND($H719*(1+IF('설정 Settings'!$C$24="YES",'설정 Settings'!$C$26,0)),2)-N($O719))</f>
      </c>
      <c r="Q719" s="42">
        <f>IF($A719="","","INV-"&amp;$A719)</f>
      </c>
      <c r="R719" s="42">
        <f>IF($H719="","",IF($H719&gt;'설정 Settings'!$C$36,"$2,000 초과: e-Transfer 나눠 받기 (F36)",""))</f>
      </c>
    </row>
    <row r="720" spans="12:18" x14ac:dyDescent="0.25">
      <c r="L720" s="41">
        <f>IF($C720="","",IF($I720="",ROUND(IFERROR($H720*VLOOKUP($F720,'설정 Settings'!$A$122:$F$130,4,0)+VLOOKUP($F720,'설정 Settings'!$A$122:$F$130,5,0),0),2),$I720))</f>
      </c>
      <c r="M720" s="41">
        <f>IF($C720="","",$H720-$L720)</f>
      </c>
      <c r="N720" s="42">
        <f>IF($C720="","",IF($I720="","추정 ESTIMATE","실제 ACTUAL"))</f>
      </c>
      <c r="O720" s="41">
        <f>IF($A720="","",SUMIFS('입금 Payments'!$C$3:$C$1002,'입금 Payments'!$B$3:$B$1002,$A720))</f>
      </c>
      <c r="P720" s="41">
        <f>IF($C720="","",ROUND($H720*(1+IF('설정 Settings'!$C$24="YES",'설정 Settings'!$C$26,0)),2)-N($O720))</f>
      </c>
      <c r="Q720" s="42">
        <f>IF($A720="","","INV-"&amp;$A720)</f>
      </c>
      <c r="R720" s="42">
        <f>IF($H720="","",IF($H720&gt;'설정 Settings'!$C$36,"$2,000 초과: e-Transfer 나눠 받기 (F36)",""))</f>
      </c>
    </row>
    <row r="721" spans="12:18" x14ac:dyDescent="0.25">
      <c r="L721" s="41">
        <f>IF($C721="","",IF($I721="",ROUND(IFERROR($H721*VLOOKUP($F721,'설정 Settings'!$A$122:$F$130,4,0)+VLOOKUP($F721,'설정 Settings'!$A$122:$F$130,5,0),0),2),$I721))</f>
      </c>
      <c r="M721" s="41">
        <f>IF($C721="","",$H721-$L721)</f>
      </c>
      <c r="N721" s="42">
        <f>IF($C721="","",IF($I721="","추정 ESTIMATE","실제 ACTUAL"))</f>
      </c>
      <c r="O721" s="41">
        <f>IF($A721="","",SUMIFS('입금 Payments'!$C$3:$C$1002,'입금 Payments'!$B$3:$B$1002,$A721))</f>
      </c>
      <c r="P721" s="41">
        <f>IF($C721="","",ROUND($H721*(1+IF('설정 Settings'!$C$24="YES",'설정 Settings'!$C$26,0)),2)-N($O721))</f>
      </c>
      <c r="Q721" s="42">
        <f>IF($A721="","","INV-"&amp;$A721)</f>
      </c>
      <c r="R721" s="42">
        <f>IF($H721="","",IF($H721&gt;'설정 Settings'!$C$36,"$2,000 초과: e-Transfer 나눠 받기 (F36)",""))</f>
      </c>
    </row>
    <row r="722" spans="12:18" x14ac:dyDescent="0.25">
      <c r="L722" s="41">
        <f>IF($C722="","",IF($I722="",ROUND(IFERROR($H722*VLOOKUP($F722,'설정 Settings'!$A$122:$F$130,4,0)+VLOOKUP($F722,'설정 Settings'!$A$122:$F$130,5,0),0),2),$I722))</f>
      </c>
      <c r="M722" s="41">
        <f>IF($C722="","",$H722-$L722)</f>
      </c>
      <c r="N722" s="42">
        <f>IF($C722="","",IF($I722="","추정 ESTIMATE","실제 ACTUAL"))</f>
      </c>
      <c r="O722" s="41">
        <f>IF($A722="","",SUMIFS('입금 Payments'!$C$3:$C$1002,'입금 Payments'!$B$3:$B$1002,$A722))</f>
      </c>
      <c r="P722" s="41">
        <f>IF($C722="","",ROUND($H722*(1+IF('설정 Settings'!$C$24="YES",'설정 Settings'!$C$26,0)),2)-N($O722))</f>
      </c>
      <c r="Q722" s="42">
        <f>IF($A722="","","INV-"&amp;$A722)</f>
      </c>
      <c r="R722" s="42">
        <f>IF($H722="","",IF($H722&gt;'설정 Settings'!$C$36,"$2,000 초과: e-Transfer 나눠 받기 (F36)",""))</f>
      </c>
    </row>
    <row r="723" spans="12:18" x14ac:dyDescent="0.25">
      <c r="L723" s="41">
        <f>IF($C723="","",IF($I723="",ROUND(IFERROR($H723*VLOOKUP($F723,'설정 Settings'!$A$122:$F$130,4,0)+VLOOKUP($F723,'설정 Settings'!$A$122:$F$130,5,0),0),2),$I723))</f>
      </c>
      <c r="M723" s="41">
        <f>IF($C723="","",$H723-$L723)</f>
      </c>
      <c r="N723" s="42">
        <f>IF($C723="","",IF($I723="","추정 ESTIMATE","실제 ACTUAL"))</f>
      </c>
      <c r="O723" s="41">
        <f>IF($A723="","",SUMIFS('입금 Payments'!$C$3:$C$1002,'입금 Payments'!$B$3:$B$1002,$A723))</f>
      </c>
      <c r="P723" s="41">
        <f>IF($C723="","",ROUND($H723*(1+IF('설정 Settings'!$C$24="YES",'설정 Settings'!$C$26,0)),2)-N($O723))</f>
      </c>
      <c r="Q723" s="42">
        <f>IF($A723="","","INV-"&amp;$A723)</f>
      </c>
      <c r="R723" s="42">
        <f>IF($H723="","",IF($H723&gt;'설정 Settings'!$C$36,"$2,000 초과: e-Transfer 나눠 받기 (F36)",""))</f>
      </c>
    </row>
    <row r="724" spans="12:18" x14ac:dyDescent="0.25">
      <c r="L724" s="41">
        <f>IF($C724="","",IF($I724="",ROUND(IFERROR($H724*VLOOKUP($F724,'설정 Settings'!$A$122:$F$130,4,0)+VLOOKUP($F724,'설정 Settings'!$A$122:$F$130,5,0),0),2),$I724))</f>
      </c>
      <c r="M724" s="41">
        <f>IF($C724="","",$H724-$L724)</f>
      </c>
      <c r="N724" s="42">
        <f>IF($C724="","",IF($I724="","추정 ESTIMATE","실제 ACTUAL"))</f>
      </c>
      <c r="O724" s="41">
        <f>IF($A724="","",SUMIFS('입금 Payments'!$C$3:$C$1002,'입금 Payments'!$B$3:$B$1002,$A724))</f>
      </c>
      <c r="P724" s="41">
        <f>IF($C724="","",ROUND($H724*(1+IF('설정 Settings'!$C$24="YES",'설정 Settings'!$C$26,0)),2)-N($O724))</f>
      </c>
      <c r="Q724" s="42">
        <f>IF($A724="","","INV-"&amp;$A724)</f>
      </c>
      <c r="R724" s="42">
        <f>IF($H724="","",IF($H724&gt;'설정 Settings'!$C$36,"$2,000 초과: e-Transfer 나눠 받기 (F36)",""))</f>
      </c>
    </row>
    <row r="725" spans="12:18" x14ac:dyDescent="0.25">
      <c r="L725" s="41">
        <f>IF($C725="","",IF($I725="",ROUND(IFERROR($H725*VLOOKUP($F725,'설정 Settings'!$A$122:$F$130,4,0)+VLOOKUP($F725,'설정 Settings'!$A$122:$F$130,5,0),0),2),$I725))</f>
      </c>
      <c r="M725" s="41">
        <f>IF($C725="","",$H725-$L725)</f>
      </c>
      <c r="N725" s="42">
        <f>IF($C725="","",IF($I725="","추정 ESTIMATE","실제 ACTUAL"))</f>
      </c>
      <c r="O725" s="41">
        <f>IF($A725="","",SUMIFS('입금 Payments'!$C$3:$C$1002,'입금 Payments'!$B$3:$B$1002,$A725))</f>
      </c>
      <c r="P725" s="41">
        <f>IF($C725="","",ROUND($H725*(1+IF('설정 Settings'!$C$24="YES",'설정 Settings'!$C$26,0)),2)-N($O725))</f>
      </c>
      <c r="Q725" s="42">
        <f>IF($A725="","","INV-"&amp;$A725)</f>
      </c>
      <c r="R725" s="42">
        <f>IF($H725="","",IF($H725&gt;'설정 Settings'!$C$36,"$2,000 초과: e-Transfer 나눠 받기 (F36)",""))</f>
      </c>
    </row>
    <row r="726" spans="12:18" x14ac:dyDescent="0.25">
      <c r="L726" s="41">
        <f>IF($C726="","",IF($I726="",ROUND(IFERROR($H726*VLOOKUP($F726,'설정 Settings'!$A$122:$F$130,4,0)+VLOOKUP($F726,'설정 Settings'!$A$122:$F$130,5,0),0),2),$I726))</f>
      </c>
      <c r="M726" s="41">
        <f>IF($C726="","",$H726-$L726)</f>
      </c>
      <c r="N726" s="42">
        <f>IF($C726="","",IF($I726="","추정 ESTIMATE","실제 ACTUAL"))</f>
      </c>
      <c r="O726" s="41">
        <f>IF($A726="","",SUMIFS('입금 Payments'!$C$3:$C$1002,'입금 Payments'!$B$3:$B$1002,$A726))</f>
      </c>
      <c r="P726" s="41">
        <f>IF($C726="","",ROUND($H726*(1+IF('설정 Settings'!$C$24="YES",'설정 Settings'!$C$26,0)),2)-N($O726))</f>
      </c>
      <c r="Q726" s="42">
        <f>IF($A726="","","INV-"&amp;$A726)</f>
      </c>
      <c r="R726" s="42">
        <f>IF($H726="","",IF($H726&gt;'설정 Settings'!$C$36,"$2,000 초과: e-Transfer 나눠 받기 (F36)",""))</f>
      </c>
    </row>
    <row r="727" spans="12:18" x14ac:dyDescent="0.25">
      <c r="L727" s="41">
        <f>IF($C727="","",IF($I727="",ROUND(IFERROR($H727*VLOOKUP($F727,'설정 Settings'!$A$122:$F$130,4,0)+VLOOKUP($F727,'설정 Settings'!$A$122:$F$130,5,0),0),2),$I727))</f>
      </c>
      <c r="M727" s="41">
        <f>IF($C727="","",$H727-$L727)</f>
      </c>
      <c r="N727" s="42">
        <f>IF($C727="","",IF($I727="","추정 ESTIMATE","실제 ACTUAL"))</f>
      </c>
      <c r="O727" s="41">
        <f>IF($A727="","",SUMIFS('입금 Payments'!$C$3:$C$1002,'입금 Payments'!$B$3:$B$1002,$A727))</f>
      </c>
      <c r="P727" s="41">
        <f>IF($C727="","",ROUND($H727*(1+IF('설정 Settings'!$C$24="YES",'설정 Settings'!$C$26,0)),2)-N($O727))</f>
      </c>
      <c r="Q727" s="42">
        <f>IF($A727="","","INV-"&amp;$A727)</f>
      </c>
      <c r="R727" s="42">
        <f>IF($H727="","",IF($H727&gt;'설정 Settings'!$C$36,"$2,000 초과: e-Transfer 나눠 받기 (F36)",""))</f>
      </c>
    </row>
    <row r="728" spans="12:18" x14ac:dyDescent="0.25">
      <c r="L728" s="41">
        <f>IF($C728="","",IF($I728="",ROUND(IFERROR($H728*VLOOKUP($F728,'설정 Settings'!$A$122:$F$130,4,0)+VLOOKUP($F728,'설정 Settings'!$A$122:$F$130,5,0),0),2),$I728))</f>
      </c>
      <c r="M728" s="41">
        <f>IF($C728="","",$H728-$L728)</f>
      </c>
      <c r="N728" s="42">
        <f>IF($C728="","",IF($I728="","추정 ESTIMATE","실제 ACTUAL"))</f>
      </c>
      <c r="O728" s="41">
        <f>IF($A728="","",SUMIFS('입금 Payments'!$C$3:$C$1002,'입금 Payments'!$B$3:$B$1002,$A728))</f>
      </c>
      <c r="P728" s="41">
        <f>IF($C728="","",ROUND($H728*(1+IF('설정 Settings'!$C$24="YES",'설정 Settings'!$C$26,0)),2)-N($O728))</f>
      </c>
      <c r="Q728" s="42">
        <f>IF($A728="","","INV-"&amp;$A728)</f>
      </c>
      <c r="R728" s="42">
        <f>IF($H728="","",IF($H728&gt;'설정 Settings'!$C$36,"$2,000 초과: e-Transfer 나눠 받기 (F36)",""))</f>
      </c>
    </row>
    <row r="729" spans="12:18" x14ac:dyDescent="0.25">
      <c r="L729" s="41">
        <f>IF($C729="","",IF($I729="",ROUND(IFERROR($H729*VLOOKUP($F729,'설정 Settings'!$A$122:$F$130,4,0)+VLOOKUP($F729,'설정 Settings'!$A$122:$F$130,5,0),0),2),$I729))</f>
      </c>
      <c r="M729" s="41">
        <f>IF($C729="","",$H729-$L729)</f>
      </c>
      <c r="N729" s="42">
        <f>IF($C729="","",IF($I729="","추정 ESTIMATE","실제 ACTUAL"))</f>
      </c>
      <c r="O729" s="41">
        <f>IF($A729="","",SUMIFS('입금 Payments'!$C$3:$C$1002,'입금 Payments'!$B$3:$B$1002,$A729))</f>
      </c>
      <c r="P729" s="41">
        <f>IF($C729="","",ROUND($H729*(1+IF('설정 Settings'!$C$24="YES",'설정 Settings'!$C$26,0)),2)-N($O729))</f>
      </c>
      <c r="Q729" s="42">
        <f>IF($A729="","","INV-"&amp;$A729)</f>
      </c>
      <c r="R729" s="42">
        <f>IF($H729="","",IF($H729&gt;'설정 Settings'!$C$36,"$2,000 초과: e-Transfer 나눠 받기 (F36)",""))</f>
      </c>
    </row>
    <row r="730" spans="12:18" x14ac:dyDescent="0.25">
      <c r="L730" s="41">
        <f>IF($C730="","",IF($I730="",ROUND(IFERROR($H730*VLOOKUP($F730,'설정 Settings'!$A$122:$F$130,4,0)+VLOOKUP($F730,'설정 Settings'!$A$122:$F$130,5,0),0),2),$I730))</f>
      </c>
      <c r="M730" s="41">
        <f>IF($C730="","",$H730-$L730)</f>
      </c>
      <c r="N730" s="42">
        <f>IF($C730="","",IF($I730="","추정 ESTIMATE","실제 ACTUAL"))</f>
      </c>
      <c r="O730" s="41">
        <f>IF($A730="","",SUMIFS('입금 Payments'!$C$3:$C$1002,'입금 Payments'!$B$3:$B$1002,$A730))</f>
      </c>
      <c r="P730" s="41">
        <f>IF($C730="","",ROUND($H730*(1+IF('설정 Settings'!$C$24="YES",'설정 Settings'!$C$26,0)),2)-N($O730))</f>
      </c>
      <c r="Q730" s="42">
        <f>IF($A730="","","INV-"&amp;$A730)</f>
      </c>
      <c r="R730" s="42">
        <f>IF($H730="","",IF($H730&gt;'설정 Settings'!$C$36,"$2,000 초과: e-Transfer 나눠 받기 (F36)",""))</f>
      </c>
    </row>
    <row r="731" spans="12:18" x14ac:dyDescent="0.25">
      <c r="L731" s="41">
        <f>IF($C731="","",IF($I731="",ROUND(IFERROR($H731*VLOOKUP($F731,'설정 Settings'!$A$122:$F$130,4,0)+VLOOKUP($F731,'설정 Settings'!$A$122:$F$130,5,0),0),2),$I731))</f>
      </c>
      <c r="M731" s="41">
        <f>IF($C731="","",$H731-$L731)</f>
      </c>
      <c r="N731" s="42">
        <f>IF($C731="","",IF($I731="","추정 ESTIMATE","실제 ACTUAL"))</f>
      </c>
      <c r="O731" s="41">
        <f>IF($A731="","",SUMIFS('입금 Payments'!$C$3:$C$1002,'입금 Payments'!$B$3:$B$1002,$A731))</f>
      </c>
      <c r="P731" s="41">
        <f>IF($C731="","",ROUND($H731*(1+IF('설정 Settings'!$C$24="YES",'설정 Settings'!$C$26,0)),2)-N($O731))</f>
      </c>
      <c r="Q731" s="42">
        <f>IF($A731="","","INV-"&amp;$A731)</f>
      </c>
      <c r="R731" s="42">
        <f>IF($H731="","",IF($H731&gt;'설정 Settings'!$C$36,"$2,000 초과: e-Transfer 나눠 받기 (F36)",""))</f>
      </c>
    </row>
    <row r="732" spans="12:18" x14ac:dyDescent="0.25">
      <c r="L732" s="41">
        <f>IF($C732="","",IF($I732="",ROUND(IFERROR($H732*VLOOKUP($F732,'설정 Settings'!$A$122:$F$130,4,0)+VLOOKUP($F732,'설정 Settings'!$A$122:$F$130,5,0),0),2),$I732))</f>
      </c>
      <c r="M732" s="41">
        <f>IF($C732="","",$H732-$L732)</f>
      </c>
      <c r="N732" s="42">
        <f>IF($C732="","",IF($I732="","추정 ESTIMATE","실제 ACTUAL"))</f>
      </c>
      <c r="O732" s="41">
        <f>IF($A732="","",SUMIFS('입금 Payments'!$C$3:$C$1002,'입금 Payments'!$B$3:$B$1002,$A732))</f>
      </c>
      <c r="P732" s="41">
        <f>IF($C732="","",ROUND($H732*(1+IF('설정 Settings'!$C$24="YES",'설정 Settings'!$C$26,0)),2)-N($O732))</f>
      </c>
      <c r="Q732" s="42">
        <f>IF($A732="","","INV-"&amp;$A732)</f>
      </c>
      <c r="R732" s="42">
        <f>IF($H732="","",IF($H732&gt;'설정 Settings'!$C$36,"$2,000 초과: e-Transfer 나눠 받기 (F36)",""))</f>
      </c>
    </row>
    <row r="733" spans="12:18" x14ac:dyDescent="0.25">
      <c r="L733" s="41">
        <f>IF($C733="","",IF($I733="",ROUND(IFERROR($H733*VLOOKUP($F733,'설정 Settings'!$A$122:$F$130,4,0)+VLOOKUP($F733,'설정 Settings'!$A$122:$F$130,5,0),0),2),$I733))</f>
      </c>
      <c r="M733" s="41">
        <f>IF($C733="","",$H733-$L733)</f>
      </c>
      <c r="N733" s="42">
        <f>IF($C733="","",IF($I733="","추정 ESTIMATE","실제 ACTUAL"))</f>
      </c>
      <c r="O733" s="41">
        <f>IF($A733="","",SUMIFS('입금 Payments'!$C$3:$C$1002,'입금 Payments'!$B$3:$B$1002,$A733))</f>
      </c>
      <c r="P733" s="41">
        <f>IF($C733="","",ROUND($H733*(1+IF('설정 Settings'!$C$24="YES",'설정 Settings'!$C$26,0)),2)-N($O733))</f>
      </c>
      <c r="Q733" s="42">
        <f>IF($A733="","","INV-"&amp;$A733)</f>
      </c>
      <c r="R733" s="42">
        <f>IF($H733="","",IF($H733&gt;'설정 Settings'!$C$36,"$2,000 초과: e-Transfer 나눠 받기 (F36)",""))</f>
      </c>
    </row>
    <row r="734" spans="12:18" x14ac:dyDescent="0.25">
      <c r="L734" s="41">
        <f>IF($C734="","",IF($I734="",ROUND(IFERROR($H734*VLOOKUP($F734,'설정 Settings'!$A$122:$F$130,4,0)+VLOOKUP($F734,'설정 Settings'!$A$122:$F$130,5,0),0),2),$I734))</f>
      </c>
      <c r="M734" s="41">
        <f>IF($C734="","",$H734-$L734)</f>
      </c>
      <c r="N734" s="42">
        <f>IF($C734="","",IF($I734="","추정 ESTIMATE","실제 ACTUAL"))</f>
      </c>
      <c r="O734" s="41">
        <f>IF($A734="","",SUMIFS('입금 Payments'!$C$3:$C$1002,'입금 Payments'!$B$3:$B$1002,$A734))</f>
      </c>
      <c r="P734" s="41">
        <f>IF($C734="","",ROUND($H734*(1+IF('설정 Settings'!$C$24="YES",'설정 Settings'!$C$26,0)),2)-N($O734))</f>
      </c>
      <c r="Q734" s="42">
        <f>IF($A734="","","INV-"&amp;$A734)</f>
      </c>
      <c r="R734" s="42">
        <f>IF($H734="","",IF($H734&gt;'설정 Settings'!$C$36,"$2,000 초과: e-Transfer 나눠 받기 (F36)",""))</f>
      </c>
    </row>
    <row r="735" spans="12:18" x14ac:dyDescent="0.25">
      <c r="L735" s="41">
        <f>IF($C735="","",IF($I735="",ROUND(IFERROR($H735*VLOOKUP($F735,'설정 Settings'!$A$122:$F$130,4,0)+VLOOKUP($F735,'설정 Settings'!$A$122:$F$130,5,0),0),2),$I735))</f>
      </c>
      <c r="M735" s="41">
        <f>IF($C735="","",$H735-$L735)</f>
      </c>
      <c r="N735" s="42">
        <f>IF($C735="","",IF($I735="","추정 ESTIMATE","실제 ACTUAL"))</f>
      </c>
      <c r="O735" s="41">
        <f>IF($A735="","",SUMIFS('입금 Payments'!$C$3:$C$1002,'입금 Payments'!$B$3:$B$1002,$A735))</f>
      </c>
      <c r="P735" s="41">
        <f>IF($C735="","",ROUND($H735*(1+IF('설정 Settings'!$C$24="YES",'설정 Settings'!$C$26,0)),2)-N($O735))</f>
      </c>
      <c r="Q735" s="42">
        <f>IF($A735="","","INV-"&amp;$A735)</f>
      </c>
      <c r="R735" s="42">
        <f>IF($H735="","",IF($H735&gt;'설정 Settings'!$C$36,"$2,000 초과: e-Transfer 나눠 받기 (F36)",""))</f>
      </c>
    </row>
    <row r="736" spans="12:18" x14ac:dyDescent="0.25">
      <c r="L736" s="41">
        <f>IF($C736="","",IF($I736="",ROUND(IFERROR($H736*VLOOKUP($F736,'설정 Settings'!$A$122:$F$130,4,0)+VLOOKUP($F736,'설정 Settings'!$A$122:$F$130,5,0),0),2),$I736))</f>
      </c>
      <c r="M736" s="41">
        <f>IF($C736="","",$H736-$L736)</f>
      </c>
      <c r="N736" s="42">
        <f>IF($C736="","",IF($I736="","추정 ESTIMATE","실제 ACTUAL"))</f>
      </c>
      <c r="O736" s="41">
        <f>IF($A736="","",SUMIFS('입금 Payments'!$C$3:$C$1002,'입금 Payments'!$B$3:$B$1002,$A736))</f>
      </c>
      <c r="P736" s="41">
        <f>IF($C736="","",ROUND($H736*(1+IF('설정 Settings'!$C$24="YES",'설정 Settings'!$C$26,0)),2)-N($O736))</f>
      </c>
      <c r="Q736" s="42">
        <f>IF($A736="","","INV-"&amp;$A736)</f>
      </c>
      <c r="R736" s="42">
        <f>IF($H736="","",IF($H736&gt;'설정 Settings'!$C$36,"$2,000 초과: e-Transfer 나눠 받기 (F36)",""))</f>
      </c>
    </row>
    <row r="737" spans="12:18" x14ac:dyDescent="0.25">
      <c r="L737" s="41">
        <f>IF($C737="","",IF($I737="",ROUND(IFERROR($H737*VLOOKUP($F737,'설정 Settings'!$A$122:$F$130,4,0)+VLOOKUP($F737,'설정 Settings'!$A$122:$F$130,5,0),0),2),$I737))</f>
      </c>
      <c r="M737" s="41">
        <f>IF($C737="","",$H737-$L737)</f>
      </c>
      <c r="N737" s="42">
        <f>IF($C737="","",IF($I737="","추정 ESTIMATE","실제 ACTUAL"))</f>
      </c>
      <c r="O737" s="41">
        <f>IF($A737="","",SUMIFS('입금 Payments'!$C$3:$C$1002,'입금 Payments'!$B$3:$B$1002,$A737))</f>
      </c>
      <c r="P737" s="41">
        <f>IF($C737="","",ROUND($H737*(1+IF('설정 Settings'!$C$24="YES",'설정 Settings'!$C$26,0)),2)-N($O737))</f>
      </c>
      <c r="Q737" s="42">
        <f>IF($A737="","","INV-"&amp;$A737)</f>
      </c>
      <c r="R737" s="42">
        <f>IF($H737="","",IF($H737&gt;'설정 Settings'!$C$36,"$2,000 초과: e-Transfer 나눠 받기 (F36)",""))</f>
      </c>
    </row>
    <row r="738" spans="12:18" x14ac:dyDescent="0.25">
      <c r="L738" s="41">
        <f>IF($C738="","",IF($I738="",ROUND(IFERROR($H738*VLOOKUP($F738,'설정 Settings'!$A$122:$F$130,4,0)+VLOOKUP($F738,'설정 Settings'!$A$122:$F$130,5,0),0),2),$I738))</f>
      </c>
      <c r="M738" s="41">
        <f>IF($C738="","",$H738-$L738)</f>
      </c>
      <c r="N738" s="42">
        <f>IF($C738="","",IF($I738="","추정 ESTIMATE","실제 ACTUAL"))</f>
      </c>
      <c r="O738" s="41">
        <f>IF($A738="","",SUMIFS('입금 Payments'!$C$3:$C$1002,'입금 Payments'!$B$3:$B$1002,$A738))</f>
      </c>
      <c r="P738" s="41">
        <f>IF($C738="","",ROUND($H738*(1+IF('설정 Settings'!$C$24="YES",'설정 Settings'!$C$26,0)),2)-N($O738))</f>
      </c>
      <c r="Q738" s="42">
        <f>IF($A738="","","INV-"&amp;$A738)</f>
      </c>
      <c r="R738" s="42">
        <f>IF($H738="","",IF($H738&gt;'설정 Settings'!$C$36,"$2,000 초과: e-Transfer 나눠 받기 (F36)",""))</f>
      </c>
    </row>
    <row r="739" spans="12:18" x14ac:dyDescent="0.25">
      <c r="L739" s="41">
        <f>IF($C739="","",IF($I739="",ROUND(IFERROR($H739*VLOOKUP($F739,'설정 Settings'!$A$122:$F$130,4,0)+VLOOKUP($F739,'설정 Settings'!$A$122:$F$130,5,0),0),2),$I739))</f>
      </c>
      <c r="M739" s="41">
        <f>IF($C739="","",$H739-$L739)</f>
      </c>
      <c r="N739" s="42">
        <f>IF($C739="","",IF($I739="","추정 ESTIMATE","실제 ACTUAL"))</f>
      </c>
      <c r="O739" s="41">
        <f>IF($A739="","",SUMIFS('입금 Payments'!$C$3:$C$1002,'입금 Payments'!$B$3:$B$1002,$A739))</f>
      </c>
      <c r="P739" s="41">
        <f>IF($C739="","",ROUND($H739*(1+IF('설정 Settings'!$C$24="YES",'설정 Settings'!$C$26,0)),2)-N($O739))</f>
      </c>
      <c r="Q739" s="42">
        <f>IF($A739="","","INV-"&amp;$A739)</f>
      </c>
      <c r="R739" s="42">
        <f>IF($H739="","",IF($H739&gt;'설정 Settings'!$C$36,"$2,000 초과: e-Transfer 나눠 받기 (F36)",""))</f>
      </c>
    </row>
    <row r="740" spans="12:18" x14ac:dyDescent="0.25">
      <c r="L740" s="41">
        <f>IF($C740="","",IF($I740="",ROUND(IFERROR($H740*VLOOKUP($F740,'설정 Settings'!$A$122:$F$130,4,0)+VLOOKUP($F740,'설정 Settings'!$A$122:$F$130,5,0),0),2),$I740))</f>
      </c>
      <c r="M740" s="41">
        <f>IF($C740="","",$H740-$L740)</f>
      </c>
      <c r="N740" s="42">
        <f>IF($C740="","",IF($I740="","추정 ESTIMATE","실제 ACTUAL"))</f>
      </c>
      <c r="O740" s="41">
        <f>IF($A740="","",SUMIFS('입금 Payments'!$C$3:$C$1002,'입금 Payments'!$B$3:$B$1002,$A740))</f>
      </c>
      <c r="P740" s="41">
        <f>IF($C740="","",ROUND($H740*(1+IF('설정 Settings'!$C$24="YES",'설정 Settings'!$C$26,0)),2)-N($O740))</f>
      </c>
      <c r="Q740" s="42">
        <f>IF($A740="","","INV-"&amp;$A740)</f>
      </c>
      <c r="R740" s="42">
        <f>IF($H740="","",IF($H740&gt;'설정 Settings'!$C$36,"$2,000 초과: e-Transfer 나눠 받기 (F36)",""))</f>
      </c>
    </row>
    <row r="741" spans="12:18" x14ac:dyDescent="0.25">
      <c r="L741" s="41">
        <f>IF($C741="","",IF($I741="",ROUND(IFERROR($H741*VLOOKUP($F741,'설정 Settings'!$A$122:$F$130,4,0)+VLOOKUP($F741,'설정 Settings'!$A$122:$F$130,5,0),0),2),$I741))</f>
      </c>
      <c r="M741" s="41">
        <f>IF($C741="","",$H741-$L741)</f>
      </c>
      <c r="N741" s="42">
        <f>IF($C741="","",IF($I741="","추정 ESTIMATE","실제 ACTUAL"))</f>
      </c>
      <c r="O741" s="41">
        <f>IF($A741="","",SUMIFS('입금 Payments'!$C$3:$C$1002,'입금 Payments'!$B$3:$B$1002,$A741))</f>
      </c>
      <c r="P741" s="41">
        <f>IF($C741="","",ROUND($H741*(1+IF('설정 Settings'!$C$24="YES",'설정 Settings'!$C$26,0)),2)-N($O741))</f>
      </c>
      <c r="Q741" s="42">
        <f>IF($A741="","","INV-"&amp;$A741)</f>
      </c>
      <c r="R741" s="42">
        <f>IF($H741="","",IF($H741&gt;'설정 Settings'!$C$36,"$2,000 초과: e-Transfer 나눠 받기 (F36)",""))</f>
      </c>
    </row>
    <row r="742" spans="12:18" x14ac:dyDescent="0.25">
      <c r="L742" s="41">
        <f>IF($C742="","",IF($I742="",ROUND(IFERROR($H742*VLOOKUP($F742,'설정 Settings'!$A$122:$F$130,4,0)+VLOOKUP($F742,'설정 Settings'!$A$122:$F$130,5,0),0),2),$I742))</f>
      </c>
      <c r="M742" s="41">
        <f>IF($C742="","",$H742-$L742)</f>
      </c>
      <c r="N742" s="42">
        <f>IF($C742="","",IF($I742="","추정 ESTIMATE","실제 ACTUAL"))</f>
      </c>
      <c r="O742" s="41">
        <f>IF($A742="","",SUMIFS('입금 Payments'!$C$3:$C$1002,'입금 Payments'!$B$3:$B$1002,$A742))</f>
      </c>
      <c r="P742" s="41">
        <f>IF($C742="","",ROUND($H742*(1+IF('설정 Settings'!$C$24="YES",'설정 Settings'!$C$26,0)),2)-N($O742))</f>
      </c>
      <c r="Q742" s="42">
        <f>IF($A742="","","INV-"&amp;$A742)</f>
      </c>
      <c r="R742" s="42">
        <f>IF($H742="","",IF($H742&gt;'설정 Settings'!$C$36,"$2,000 초과: e-Transfer 나눠 받기 (F36)",""))</f>
      </c>
    </row>
    <row r="743" spans="12:18" x14ac:dyDescent="0.25">
      <c r="L743" s="41">
        <f>IF($C743="","",IF($I743="",ROUND(IFERROR($H743*VLOOKUP($F743,'설정 Settings'!$A$122:$F$130,4,0)+VLOOKUP($F743,'설정 Settings'!$A$122:$F$130,5,0),0),2),$I743))</f>
      </c>
      <c r="M743" s="41">
        <f>IF($C743="","",$H743-$L743)</f>
      </c>
      <c r="N743" s="42">
        <f>IF($C743="","",IF($I743="","추정 ESTIMATE","실제 ACTUAL"))</f>
      </c>
      <c r="O743" s="41">
        <f>IF($A743="","",SUMIFS('입금 Payments'!$C$3:$C$1002,'입금 Payments'!$B$3:$B$1002,$A743))</f>
      </c>
      <c r="P743" s="41">
        <f>IF($C743="","",ROUND($H743*(1+IF('설정 Settings'!$C$24="YES",'설정 Settings'!$C$26,0)),2)-N($O743))</f>
      </c>
      <c r="Q743" s="42">
        <f>IF($A743="","","INV-"&amp;$A743)</f>
      </c>
      <c r="R743" s="42">
        <f>IF($H743="","",IF($H743&gt;'설정 Settings'!$C$36,"$2,000 초과: e-Transfer 나눠 받기 (F36)",""))</f>
      </c>
    </row>
    <row r="744" spans="12:18" x14ac:dyDescent="0.25">
      <c r="L744" s="41">
        <f>IF($C744="","",IF($I744="",ROUND(IFERROR($H744*VLOOKUP($F744,'설정 Settings'!$A$122:$F$130,4,0)+VLOOKUP($F744,'설정 Settings'!$A$122:$F$130,5,0),0),2),$I744))</f>
      </c>
      <c r="M744" s="41">
        <f>IF($C744="","",$H744-$L744)</f>
      </c>
      <c r="N744" s="42">
        <f>IF($C744="","",IF($I744="","추정 ESTIMATE","실제 ACTUAL"))</f>
      </c>
      <c r="O744" s="41">
        <f>IF($A744="","",SUMIFS('입금 Payments'!$C$3:$C$1002,'입금 Payments'!$B$3:$B$1002,$A744))</f>
      </c>
      <c r="P744" s="41">
        <f>IF($C744="","",ROUND($H744*(1+IF('설정 Settings'!$C$24="YES",'설정 Settings'!$C$26,0)),2)-N($O744))</f>
      </c>
      <c r="Q744" s="42">
        <f>IF($A744="","","INV-"&amp;$A744)</f>
      </c>
      <c r="R744" s="42">
        <f>IF($H744="","",IF($H744&gt;'설정 Settings'!$C$36,"$2,000 초과: e-Transfer 나눠 받기 (F36)",""))</f>
      </c>
    </row>
    <row r="745" spans="12:18" x14ac:dyDescent="0.25">
      <c r="L745" s="41">
        <f>IF($C745="","",IF($I745="",ROUND(IFERROR($H745*VLOOKUP($F745,'설정 Settings'!$A$122:$F$130,4,0)+VLOOKUP($F745,'설정 Settings'!$A$122:$F$130,5,0),0),2),$I745))</f>
      </c>
      <c r="M745" s="41">
        <f>IF($C745="","",$H745-$L745)</f>
      </c>
      <c r="N745" s="42">
        <f>IF($C745="","",IF($I745="","추정 ESTIMATE","실제 ACTUAL"))</f>
      </c>
      <c r="O745" s="41">
        <f>IF($A745="","",SUMIFS('입금 Payments'!$C$3:$C$1002,'입금 Payments'!$B$3:$B$1002,$A745))</f>
      </c>
      <c r="P745" s="41">
        <f>IF($C745="","",ROUND($H745*(1+IF('설정 Settings'!$C$24="YES",'설정 Settings'!$C$26,0)),2)-N($O745))</f>
      </c>
      <c r="Q745" s="42">
        <f>IF($A745="","","INV-"&amp;$A745)</f>
      </c>
      <c r="R745" s="42">
        <f>IF($H745="","",IF($H745&gt;'설정 Settings'!$C$36,"$2,000 초과: e-Transfer 나눠 받기 (F36)",""))</f>
      </c>
    </row>
    <row r="746" spans="12:18" x14ac:dyDescent="0.25">
      <c r="L746" s="41">
        <f>IF($C746="","",IF($I746="",ROUND(IFERROR($H746*VLOOKUP($F746,'설정 Settings'!$A$122:$F$130,4,0)+VLOOKUP($F746,'설정 Settings'!$A$122:$F$130,5,0),0),2),$I746))</f>
      </c>
      <c r="M746" s="41">
        <f>IF($C746="","",$H746-$L746)</f>
      </c>
      <c r="N746" s="42">
        <f>IF($C746="","",IF($I746="","추정 ESTIMATE","실제 ACTUAL"))</f>
      </c>
      <c r="O746" s="41">
        <f>IF($A746="","",SUMIFS('입금 Payments'!$C$3:$C$1002,'입금 Payments'!$B$3:$B$1002,$A746))</f>
      </c>
      <c r="P746" s="41">
        <f>IF($C746="","",ROUND($H746*(1+IF('설정 Settings'!$C$24="YES",'설정 Settings'!$C$26,0)),2)-N($O746))</f>
      </c>
      <c r="Q746" s="42">
        <f>IF($A746="","","INV-"&amp;$A746)</f>
      </c>
      <c r="R746" s="42">
        <f>IF($H746="","",IF($H746&gt;'설정 Settings'!$C$36,"$2,000 초과: e-Transfer 나눠 받기 (F36)",""))</f>
      </c>
    </row>
    <row r="747" spans="12:18" x14ac:dyDescent="0.25">
      <c r="L747" s="41">
        <f>IF($C747="","",IF($I747="",ROUND(IFERROR($H747*VLOOKUP($F747,'설정 Settings'!$A$122:$F$130,4,0)+VLOOKUP($F747,'설정 Settings'!$A$122:$F$130,5,0),0),2),$I747))</f>
      </c>
      <c r="M747" s="41">
        <f>IF($C747="","",$H747-$L747)</f>
      </c>
      <c r="N747" s="42">
        <f>IF($C747="","",IF($I747="","추정 ESTIMATE","실제 ACTUAL"))</f>
      </c>
      <c r="O747" s="41">
        <f>IF($A747="","",SUMIFS('입금 Payments'!$C$3:$C$1002,'입금 Payments'!$B$3:$B$1002,$A747))</f>
      </c>
      <c r="P747" s="41">
        <f>IF($C747="","",ROUND($H747*(1+IF('설정 Settings'!$C$24="YES",'설정 Settings'!$C$26,0)),2)-N($O747))</f>
      </c>
      <c r="Q747" s="42">
        <f>IF($A747="","","INV-"&amp;$A747)</f>
      </c>
      <c r="R747" s="42">
        <f>IF($H747="","",IF($H747&gt;'설정 Settings'!$C$36,"$2,000 초과: e-Transfer 나눠 받기 (F36)",""))</f>
      </c>
    </row>
    <row r="748" spans="12:18" x14ac:dyDescent="0.25">
      <c r="L748" s="41">
        <f>IF($C748="","",IF($I748="",ROUND(IFERROR($H748*VLOOKUP($F748,'설정 Settings'!$A$122:$F$130,4,0)+VLOOKUP($F748,'설정 Settings'!$A$122:$F$130,5,0),0),2),$I748))</f>
      </c>
      <c r="M748" s="41">
        <f>IF($C748="","",$H748-$L748)</f>
      </c>
      <c r="N748" s="42">
        <f>IF($C748="","",IF($I748="","추정 ESTIMATE","실제 ACTUAL"))</f>
      </c>
      <c r="O748" s="41">
        <f>IF($A748="","",SUMIFS('입금 Payments'!$C$3:$C$1002,'입금 Payments'!$B$3:$B$1002,$A748))</f>
      </c>
      <c r="P748" s="41">
        <f>IF($C748="","",ROUND($H748*(1+IF('설정 Settings'!$C$24="YES",'설정 Settings'!$C$26,0)),2)-N($O748))</f>
      </c>
      <c r="Q748" s="42">
        <f>IF($A748="","","INV-"&amp;$A748)</f>
      </c>
      <c r="R748" s="42">
        <f>IF($H748="","",IF($H748&gt;'설정 Settings'!$C$36,"$2,000 초과: e-Transfer 나눠 받기 (F36)",""))</f>
      </c>
    </row>
    <row r="749" spans="12:18" x14ac:dyDescent="0.25">
      <c r="L749" s="41">
        <f>IF($C749="","",IF($I749="",ROUND(IFERROR($H749*VLOOKUP($F749,'설정 Settings'!$A$122:$F$130,4,0)+VLOOKUP($F749,'설정 Settings'!$A$122:$F$130,5,0),0),2),$I749))</f>
      </c>
      <c r="M749" s="41">
        <f>IF($C749="","",$H749-$L749)</f>
      </c>
      <c r="N749" s="42">
        <f>IF($C749="","",IF($I749="","추정 ESTIMATE","실제 ACTUAL"))</f>
      </c>
      <c r="O749" s="41">
        <f>IF($A749="","",SUMIFS('입금 Payments'!$C$3:$C$1002,'입금 Payments'!$B$3:$B$1002,$A749))</f>
      </c>
      <c r="P749" s="41">
        <f>IF($C749="","",ROUND($H749*(1+IF('설정 Settings'!$C$24="YES",'설정 Settings'!$C$26,0)),2)-N($O749))</f>
      </c>
      <c r="Q749" s="42">
        <f>IF($A749="","","INV-"&amp;$A749)</f>
      </c>
      <c r="R749" s="42">
        <f>IF($H749="","",IF($H749&gt;'설정 Settings'!$C$36,"$2,000 초과: e-Transfer 나눠 받기 (F36)",""))</f>
      </c>
    </row>
    <row r="750" spans="12:18" x14ac:dyDescent="0.25">
      <c r="L750" s="41">
        <f>IF($C750="","",IF($I750="",ROUND(IFERROR($H750*VLOOKUP($F750,'설정 Settings'!$A$122:$F$130,4,0)+VLOOKUP($F750,'설정 Settings'!$A$122:$F$130,5,0),0),2),$I750))</f>
      </c>
      <c r="M750" s="41">
        <f>IF($C750="","",$H750-$L750)</f>
      </c>
      <c r="N750" s="42">
        <f>IF($C750="","",IF($I750="","추정 ESTIMATE","실제 ACTUAL"))</f>
      </c>
      <c r="O750" s="41">
        <f>IF($A750="","",SUMIFS('입금 Payments'!$C$3:$C$1002,'입금 Payments'!$B$3:$B$1002,$A750))</f>
      </c>
      <c r="P750" s="41">
        <f>IF($C750="","",ROUND($H750*(1+IF('설정 Settings'!$C$24="YES",'설정 Settings'!$C$26,0)),2)-N($O750))</f>
      </c>
      <c r="Q750" s="42">
        <f>IF($A750="","","INV-"&amp;$A750)</f>
      </c>
      <c r="R750" s="42">
        <f>IF($H750="","",IF($H750&gt;'설정 Settings'!$C$36,"$2,000 초과: e-Transfer 나눠 받기 (F36)",""))</f>
      </c>
    </row>
    <row r="751" spans="12:18" x14ac:dyDescent="0.25">
      <c r="L751" s="41">
        <f>IF($C751="","",IF($I751="",ROUND(IFERROR($H751*VLOOKUP($F751,'설정 Settings'!$A$122:$F$130,4,0)+VLOOKUP($F751,'설정 Settings'!$A$122:$F$130,5,0),0),2),$I751))</f>
      </c>
      <c r="M751" s="41">
        <f>IF($C751="","",$H751-$L751)</f>
      </c>
      <c r="N751" s="42">
        <f>IF($C751="","",IF($I751="","추정 ESTIMATE","실제 ACTUAL"))</f>
      </c>
      <c r="O751" s="41">
        <f>IF($A751="","",SUMIFS('입금 Payments'!$C$3:$C$1002,'입금 Payments'!$B$3:$B$1002,$A751))</f>
      </c>
      <c r="P751" s="41">
        <f>IF($C751="","",ROUND($H751*(1+IF('설정 Settings'!$C$24="YES",'설정 Settings'!$C$26,0)),2)-N($O751))</f>
      </c>
      <c r="Q751" s="42">
        <f>IF($A751="","","INV-"&amp;$A751)</f>
      </c>
      <c r="R751" s="42">
        <f>IF($H751="","",IF($H751&gt;'설정 Settings'!$C$36,"$2,000 초과: e-Transfer 나눠 받기 (F36)",""))</f>
      </c>
    </row>
    <row r="752" spans="12:18" x14ac:dyDescent="0.25">
      <c r="L752" s="41">
        <f>IF($C752="","",IF($I752="",ROUND(IFERROR($H752*VLOOKUP($F752,'설정 Settings'!$A$122:$F$130,4,0)+VLOOKUP($F752,'설정 Settings'!$A$122:$F$130,5,0),0),2),$I752))</f>
      </c>
      <c r="M752" s="41">
        <f>IF($C752="","",$H752-$L752)</f>
      </c>
      <c r="N752" s="42">
        <f>IF($C752="","",IF($I752="","추정 ESTIMATE","실제 ACTUAL"))</f>
      </c>
      <c r="O752" s="41">
        <f>IF($A752="","",SUMIFS('입금 Payments'!$C$3:$C$1002,'입금 Payments'!$B$3:$B$1002,$A752))</f>
      </c>
      <c r="P752" s="41">
        <f>IF($C752="","",ROUND($H752*(1+IF('설정 Settings'!$C$24="YES",'설정 Settings'!$C$26,0)),2)-N($O752))</f>
      </c>
      <c r="Q752" s="42">
        <f>IF($A752="","","INV-"&amp;$A752)</f>
      </c>
      <c r="R752" s="42">
        <f>IF($H752="","",IF($H752&gt;'설정 Settings'!$C$36,"$2,000 초과: e-Transfer 나눠 받기 (F36)",""))</f>
      </c>
    </row>
    <row r="753" spans="12:18" x14ac:dyDescent="0.25">
      <c r="L753" s="41">
        <f>IF($C753="","",IF($I753="",ROUND(IFERROR($H753*VLOOKUP($F753,'설정 Settings'!$A$122:$F$130,4,0)+VLOOKUP($F753,'설정 Settings'!$A$122:$F$130,5,0),0),2),$I753))</f>
      </c>
      <c r="M753" s="41">
        <f>IF($C753="","",$H753-$L753)</f>
      </c>
      <c r="N753" s="42">
        <f>IF($C753="","",IF($I753="","추정 ESTIMATE","실제 ACTUAL"))</f>
      </c>
      <c r="O753" s="41">
        <f>IF($A753="","",SUMIFS('입금 Payments'!$C$3:$C$1002,'입금 Payments'!$B$3:$B$1002,$A753))</f>
      </c>
      <c r="P753" s="41">
        <f>IF($C753="","",ROUND($H753*(1+IF('설정 Settings'!$C$24="YES",'설정 Settings'!$C$26,0)),2)-N($O753))</f>
      </c>
      <c r="Q753" s="42">
        <f>IF($A753="","","INV-"&amp;$A753)</f>
      </c>
      <c r="R753" s="42">
        <f>IF($H753="","",IF($H753&gt;'설정 Settings'!$C$36,"$2,000 초과: e-Transfer 나눠 받기 (F36)",""))</f>
      </c>
    </row>
    <row r="754" spans="12:18" x14ac:dyDescent="0.25">
      <c r="L754" s="41">
        <f>IF($C754="","",IF($I754="",ROUND(IFERROR($H754*VLOOKUP($F754,'설정 Settings'!$A$122:$F$130,4,0)+VLOOKUP($F754,'설정 Settings'!$A$122:$F$130,5,0),0),2),$I754))</f>
      </c>
      <c r="M754" s="41">
        <f>IF($C754="","",$H754-$L754)</f>
      </c>
      <c r="N754" s="42">
        <f>IF($C754="","",IF($I754="","추정 ESTIMATE","실제 ACTUAL"))</f>
      </c>
      <c r="O754" s="41">
        <f>IF($A754="","",SUMIFS('입금 Payments'!$C$3:$C$1002,'입금 Payments'!$B$3:$B$1002,$A754))</f>
      </c>
      <c r="P754" s="41">
        <f>IF($C754="","",ROUND($H754*(1+IF('설정 Settings'!$C$24="YES",'설정 Settings'!$C$26,0)),2)-N($O754))</f>
      </c>
      <c r="Q754" s="42">
        <f>IF($A754="","","INV-"&amp;$A754)</f>
      </c>
      <c r="R754" s="42">
        <f>IF($H754="","",IF($H754&gt;'설정 Settings'!$C$36,"$2,000 초과: e-Transfer 나눠 받기 (F36)",""))</f>
      </c>
    </row>
    <row r="755" spans="12:18" x14ac:dyDescent="0.25">
      <c r="L755" s="41">
        <f>IF($C755="","",IF($I755="",ROUND(IFERROR($H755*VLOOKUP($F755,'설정 Settings'!$A$122:$F$130,4,0)+VLOOKUP($F755,'설정 Settings'!$A$122:$F$130,5,0),0),2),$I755))</f>
      </c>
      <c r="M755" s="41">
        <f>IF($C755="","",$H755-$L755)</f>
      </c>
      <c r="N755" s="42">
        <f>IF($C755="","",IF($I755="","추정 ESTIMATE","실제 ACTUAL"))</f>
      </c>
      <c r="O755" s="41">
        <f>IF($A755="","",SUMIFS('입금 Payments'!$C$3:$C$1002,'입금 Payments'!$B$3:$B$1002,$A755))</f>
      </c>
      <c r="P755" s="41">
        <f>IF($C755="","",ROUND($H755*(1+IF('설정 Settings'!$C$24="YES",'설정 Settings'!$C$26,0)),2)-N($O755))</f>
      </c>
      <c r="Q755" s="42">
        <f>IF($A755="","","INV-"&amp;$A755)</f>
      </c>
      <c r="R755" s="42">
        <f>IF($H755="","",IF($H755&gt;'설정 Settings'!$C$36,"$2,000 초과: e-Transfer 나눠 받기 (F36)",""))</f>
      </c>
    </row>
    <row r="756" spans="12:18" x14ac:dyDescent="0.25">
      <c r="L756" s="41">
        <f>IF($C756="","",IF($I756="",ROUND(IFERROR($H756*VLOOKUP($F756,'설정 Settings'!$A$122:$F$130,4,0)+VLOOKUP($F756,'설정 Settings'!$A$122:$F$130,5,0),0),2),$I756))</f>
      </c>
      <c r="M756" s="41">
        <f>IF($C756="","",$H756-$L756)</f>
      </c>
      <c r="N756" s="42">
        <f>IF($C756="","",IF($I756="","추정 ESTIMATE","실제 ACTUAL"))</f>
      </c>
      <c r="O756" s="41">
        <f>IF($A756="","",SUMIFS('입금 Payments'!$C$3:$C$1002,'입금 Payments'!$B$3:$B$1002,$A756))</f>
      </c>
      <c r="P756" s="41">
        <f>IF($C756="","",ROUND($H756*(1+IF('설정 Settings'!$C$24="YES",'설정 Settings'!$C$26,0)),2)-N($O756))</f>
      </c>
      <c r="Q756" s="42">
        <f>IF($A756="","","INV-"&amp;$A756)</f>
      </c>
      <c r="R756" s="42">
        <f>IF($H756="","",IF($H756&gt;'설정 Settings'!$C$36,"$2,000 초과: e-Transfer 나눠 받기 (F36)",""))</f>
      </c>
    </row>
    <row r="757" spans="12:18" x14ac:dyDescent="0.25">
      <c r="L757" s="41">
        <f>IF($C757="","",IF($I757="",ROUND(IFERROR($H757*VLOOKUP($F757,'설정 Settings'!$A$122:$F$130,4,0)+VLOOKUP($F757,'설정 Settings'!$A$122:$F$130,5,0),0),2),$I757))</f>
      </c>
      <c r="M757" s="41">
        <f>IF($C757="","",$H757-$L757)</f>
      </c>
      <c r="N757" s="42">
        <f>IF($C757="","",IF($I757="","추정 ESTIMATE","실제 ACTUAL"))</f>
      </c>
      <c r="O757" s="41">
        <f>IF($A757="","",SUMIFS('입금 Payments'!$C$3:$C$1002,'입금 Payments'!$B$3:$B$1002,$A757))</f>
      </c>
      <c r="P757" s="41">
        <f>IF($C757="","",ROUND($H757*(1+IF('설정 Settings'!$C$24="YES",'설정 Settings'!$C$26,0)),2)-N($O757))</f>
      </c>
      <c r="Q757" s="42">
        <f>IF($A757="","","INV-"&amp;$A757)</f>
      </c>
      <c r="R757" s="42">
        <f>IF($H757="","",IF($H757&gt;'설정 Settings'!$C$36,"$2,000 초과: e-Transfer 나눠 받기 (F36)",""))</f>
      </c>
    </row>
    <row r="758" spans="12:18" x14ac:dyDescent="0.25">
      <c r="L758" s="41">
        <f>IF($C758="","",IF($I758="",ROUND(IFERROR($H758*VLOOKUP($F758,'설정 Settings'!$A$122:$F$130,4,0)+VLOOKUP($F758,'설정 Settings'!$A$122:$F$130,5,0),0),2),$I758))</f>
      </c>
      <c r="M758" s="41">
        <f>IF($C758="","",$H758-$L758)</f>
      </c>
      <c r="N758" s="42">
        <f>IF($C758="","",IF($I758="","추정 ESTIMATE","실제 ACTUAL"))</f>
      </c>
      <c r="O758" s="41">
        <f>IF($A758="","",SUMIFS('입금 Payments'!$C$3:$C$1002,'입금 Payments'!$B$3:$B$1002,$A758))</f>
      </c>
      <c r="P758" s="41">
        <f>IF($C758="","",ROUND($H758*(1+IF('설정 Settings'!$C$24="YES",'설정 Settings'!$C$26,0)),2)-N($O758))</f>
      </c>
      <c r="Q758" s="42">
        <f>IF($A758="","","INV-"&amp;$A758)</f>
      </c>
      <c r="R758" s="42">
        <f>IF($H758="","",IF($H758&gt;'설정 Settings'!$C$36,"$2,000 초과: e-Transfer 나눠 받기 (F36)",""))</f>
      </c>
    </row>
    <row r="759" spans="12:18" x14ac:dyDescent="0.25">
      <c r="L759" s="41">
        <f>IF($C759="","",IF($I759="",ROUND(IFERROR($H759*VLOOKUP($F759,'설정 Settings'!$A$122:$F$130,4,0)+VLOOKUP($F759,'설정 Settings'!$A$122:$F$130,5,0),0),2),$I759))</f>
      </c>
      <c r="M759" s="41">
        <f>IF($C759="","",$H759-$L759)</f>
      </c>
      <c r="N759" s="42">
        <f>IF($C759="","",IF($I759="","추정 ESTIMATE","실제 ACTUAL"))</f>
      </c>
      <c r="O759" s="41">
        <f>IF($A759="","",SUMIFS('입금 Payments'!$C$3:$C$1002,'입금 Payments'!$B$3:$B$1002,$A759))</f>
      </c>
      <c r="P759" s="41">
        <f>IF($C759="","",ROUND($H759*(1+IF('설정 Settings'!$C$24="YES",'설정 Settings'!$C$26,0)),2)-N($O759))</f>
      </c>
      <c r="Q759" s="42">
        <f>IF($A759="","","INV-"&amp;$A759)</f>
      </c>
      <c r="R759" s="42">
        <f>IF($H759="","",IF($H759&gt;'설정 Settings'!$C$36,"$2,000 초과: e-Transfer 나눠 받기 (F36)",""))</f>
      </c>
    </row>
    <row r="760" spans="12:18" x14ac:dyDescent="0.25">
      <c r="L760" s="41">
        <f>IF($C760="","",IF($I760="",ROUND(IFERROR($H760*VLOOKUP($F760,'설정 Settings'!$A$122:$F$130,4,0)+VLOOKUP($F760,'설정 Settings'!$A$122:$F$130,5,0),0),2),$I760))</f>
      </c>
      <c r="M760" s="41">
        <f>IF($C760="","",$H760-$L760)</f>
      </c>
      <c r="N760" s="42">
        <f>IF($C760="","",IF($I760="","추정 ESTIMATE","실제 ACTUAL"))</f>
      </c>
      <c r="O760" s="41">
        <f>IF($A760="","",SUMIFS('입금 Payments'!$C$3:$C$1002,'입금 Payments'!$B$3:$B$1002,$A760))</f>
      </c>
      <c r="P760" s="41">
        <f>IF($C760="","",ROUND($H760*(1+IF('설정 Settings'!$C$24="YES",'설정 Settings'!$C$26,0)),2)-N($O760))</f>
      </c>
      <c r="Q760" s="42">
        <f>IF($A760="","","INV-"&amp;$A760)</f>
      </c>
      <c r="R760" s="42">
        <f>IF($H760="","",IF($H760&gt;'설정 Settings'!$C$36,"$2,000 초과: e-Transfer 나눠 받기 (F36)",""))</f>
      </c>
    </row>
    <row r="761" spans="12:18" x14ac:dyDescent="0.25">
      <c r="L761" s="41">
        <f>IF($C761="","",IF($I761="",ROUND(IFERROR($H761*VLOOKUP($F761,'설정 Settings'!$A$122:$F$130,4,0)+VLOOKUP($F761,'설정 Settings'!$A$122:$F$130,5,0),0),2),$I761))</f>
      </c>
      <c r="M761" s="41">
        <f>IF($C761="","",$H761-$L761)</f>
      </c>
      <c r="N761" s="42">
        <f>IF($C761="","",IF($I761="","추정 ESTIMATE","실제 ACTUAL"))</f>
      </c>
      <c r="O761" s="41">
        <f>IF($A761="","",SUMIFS('입금 Payments'!$C$3:$C$1002,'입금 Payments'!$B$3:$B$1002,$A761))</f>
      </c>
      <c r="P761" s="41">
        <f>IF($C761="","",ROUND($H761*(1+IF('설정 Settings'!$C$24="YES",'설정 Settings'!$C$26,0)),2)-N($O761))</f>
      </c>
      <c r="Q761" s="42">
        <f>IF($A761="","","INV-"&amp;$A761)</f>
      </c>
      <c r="R761" s="42">
        <f>IF($H761="","",IF($H761&gt;'설정 Settings'!$C$36,"$2,000 초과: e-Transfer 나눠 받기 (F36)",""))</f>
      </c>
    </row>
    <row r="762" spans="12:18" x14ac:dyDescent="0.25">
      <c r="L762" s="41">
        <f>IF($C762="","",IF($I762="",ROUND(IFERROR($H762*VLOOKUP($F762,'설정 Settings'!$A$122:$F$130,4,0)+VLOOKUP($F762,'설정 Settings'!$A$122:$F$130,5,0),0),2),$I762))</f>
      </c>
      <c r="M762" s="41">
        <f>IF($C762="","",$H762-$L762)</f>
      </c>
      <c r="N762" s="42">
        <f>IF($C762="","",IF($I762="","추정 ESTIMATE","실제 ACTUAL"))</f>
      </c>
      <c r="O762" s="41">
        <f>IF($A762="","",SUMIFS('입금 Payments'!$C$3:$C$1002,'입금 Payments'!$B$3:$B$1002,$A762))</f>
      </c>
      <c r="P762" s="41">
        <f>IF($C762="","",ROUND($H762*(1+IF('설정 Settings'!$C$24="YES",'설정 Settings'!$C$26,0)),2)-N($O762))</f>
      </c>
      <c r="Q762" s="42">
        <f>IF($A762="","","INV-"&amp;$A762)</f>
      </c>
      <c r="R762" s="42">
        <f>IF($H762="","",IF($H762&gt;'설정 Settings'!$C$36,"$2,000 초과: e-Transfer 나눠 받기 (F36)",""))</f>
      </c>
    </row>
    <row r="763" spans="12:18" x14ac:dyDescent="0.25">
      <c r="L763" s="41">
        <f>IF($C763="","",IF($I763="",ROUND(IFERROR($H763*VLOOKUP($F763,'설정 Settings'!$A$122:$F$130,4,0)+VLOOKUP($F763,'설정 Settings'!$A$122:$F$130,5,0),0),2),$I763))</f>
      </c>
      <c r="M763" s="41">
        <f>IF($C763="","",$H763-$L763)</f>
      </c>
      <c r="N763" s="42">
        <f>IF($C763="","",IF($I763="","추정 ESTIMATE","실제 ACTUAL"))</f>
      </c>
      <c r="O763" s="41">
        <f>IF($A763="","",SUMIFS('입금 Payments'!$C$3:$C$1002,'입금 Payments'!$B$3:$B$1002,$A763))</f>
      </c>
      <c r="P763" s="41">
        <f>IF($C763="","",ROUND($H763*(1+IF('설정 Settings'!$C$24="YES",'설정 Settings'!$C$26,0)),2)-N($O763))</f>
      </c>
      <c r="Q763" s="42">
        <f>IF($A763="","","INV-"&amp;$A763)</f>
      </c>
      <c r="R763" s="42">
        <f>IF($H763="","",IF($H763&gt;'설정 Settings'!$C$36,"$2,000 초과: e-Transfer 나눠 받기 (F36)",""))</f>
      </c>
    </row>
    <row r="764" spans="12:18" x14ac:dyDescent="0.25">
      <c r="L764" s="41">
        <f>IF($C764="","",IF($I764="",ROUND(IFERROR($H764*VLOOKUP($F764,'설정 Settings'!$A$122:$F$130,4,0)+VLOOKUP($F764,'설정 Settings'!$A$122:$F$130,5,0),0),2),$I764))</f>
      </c>
      <c r="M764" s="41">
        <f>IF($C764="","",$H764-$L764)</f>
      </c>
      <c r="N764" s="42">
        <f>IF($C764="","",IF($I764="","추정 ESTIMATE","실제 ACTUAL"))</f>
      </c>
      <c r="O764" s="41">
        <f>IF($A764="","",SUMIFS('입금 Payments'!$C$3:$C$1002,'입금 Payments'!$B$3:$B$1002,$A764))</f>
      </c>
      <c r="P764" s="41">
        <f>IF($C764="","",ROUND($H764*(1+IF('설정 Settings'!$C$24="YES",'설정 Settings'!$C$26,0)),2)-N($O764))</f>
      </c>
      <c r="Q764" s="42">
        <f>IF($A764="","","INV-"&amp;$A764)</f>
      </c>
      <c r="R764" s="42">
        <f>IF($H764="","",IF($H764&gt;'설정 Settings'!$C$36,"$2,000 초과: e-Transfer 나눠 받기 (F36)",""))</f>
      </c>
    </row>
    <row r="765" spans="12:18" x14ac:dyDescent="0.25">
      <c r="L765" s="41">
        <f>IF($C765="","",IF($I765="",ROUND(IFERROR($H765*VLOOKUP($F765,'설정 Settings'!$A$122:$F$130,4,0)+VLOOKUP($F765,'설정 Settings'!$A$122:$F$130,5,0),0),2),$I765))</f>
      </c>
      <c r="M765" s="41">
        <f>IF($C765="","",$H765-$L765)</f>
      </c>
      <c r="N765" s="42">
        <f>IF($C765="","",IF($I765="","추정 ESTIMATE","실제 ACTUAL"))</f>
      </c>
      <c r="O765" s="41">
        <f>IF($A765="","",SUMIFS('입금 Payments'!$C$3:$C$1002,'입금 Payments'!$B$3:$B$1002,$A765))</f>
      </c>
      <c r="P765" s="41">
        <f>IF($C765="","",ROUND($H765*(1+IF('설정 Settings'!$C$24="YES",'설정 Settings'!$C$26,0)),2)-N($O765))</f>
      </c>
      <c r="Q765" s="42">
        <f>IF($A765="","","INV-"&amp;$A765)</f>
      </c>
      <c r="R765" s="42">
        <f>IF($H765="","",IF($H765&gt;'설정 Settings'!$C$36,"$2,000 초과: e-Transfer 나눠 받기 (F36)",""))</f>
      </c>
    </row>
    <row r="766" spans="12:18" x14ac:dyDescent="0.25">
      <c r="L766" s="41">
        <f>IF($C766="","",IF($I766="",ROUND(IFERROR($H766*VLOOKUP($F766,'설정 Settings'!$A$122:$F$130,4,0)+VLOOKUP($F766,'설정 Settings'!$A$122:$F$130,5,0),0),2),$I766))</f>
      </c>
      <c r="M766" s="41">
        <f>IF($C766="","",$H766-$L766)</f>
      </c>
      <c r="N766" s="42">
        <f>IF($C766="","",IF($I766="","추정 ESTIMATE","실제 ACTUAL"))</f>
      </c>
      <c r="O766" s="41">
        <f>IF($A766="","",SUMIFS('입금 Payments'!$C$3:$C$1002,'입금 Payments'!$B$3:$B$1002,$A766))</f>
      </c>
      <c r="P766" s="41">
        <f>IF($C766="","",ROUND($H766*(1+IF('설정 Settings'!$C$24="YES",'설정 Settings'!$C$26,0)),2)-N($O766))</f>
      </c>
      <c r="Q766" s="42">
        <f>IF($A766="","","INV-"&amp;$A766)</f>
      </c>
      <c r="R766" s="42">
        <f>IF($H766="","",IF($H766&gt;'설정 Settings'!$C$36,"$2,000 초과: e-Transfer 나눠 받기 (F36)",""))</f>
      </c>
    </row>
    <row r="767" spans="12:18" x14ac:dyDescent="0.25">
      <c r="L767" s="41">
        <f>IF($C767="","",IF($I767="",ROUND(IFERROR($H767*VLOOKUP($F767,'설정 Settings'!$A$122:$F$130,4,0)+VLOOKUP($F767,'설정 Settings'!$A$122:$F$130,5,0),0),2),$I767))</f>
      </c>
      <c r="M767" s="41">
        <f>IF($C767="","",$H767-$L767)</f>
      </c>
      <c r="N767" s="42">
        <f>IF($C767="","",IF($I767="","추정 ESTIMATE","실제 ACTUAL"))</f>
      </c>
      <c r="O767" s="41">
        <f>IF($A767="","",SUMIFS('입금 Payments'!$C$3:$C$1002,'입금 Payments'!$B$3:$B$1002,$A767))</f>
      </c>
      <c r="P767" s="41">
        <f>IF($C767="","",ROUND($H767*(1+IF('설정 Settings'!$C$24="YES",'설정 Settings'!$C$26,0)),2)-N($O767))</f>
      </c>
      <c r="Q767" s="42">
        <f>IF($A767="","","INV-"&amp;$A767)</f>
      </c>
      <c r="R767" s="42">
        <f>IF($H767="","",IF($H767&gt;'설정 Settings'!$C$36,"$2,000 초과: e-Transfer 나눠 받기 (F36)",""))</f>
      </c>
    </row>
    <row r="768" spans="12:18" x14ac:dyDescent="0.25">
      <c r="L768" s="41">
        <f>IF($C768="","",IF($I768="",ROUND(IFERROR($H768*VLOOKUP($F768,'설정 Settings'!$A$122:$F$130,4,0)+VLOOKUP($F768,'설정 Settings'!$A$122:$F$130,5,0),0),2),$I768))</f>
      </c>
      <c r="M768" s="41">
        <f>IF($C768="","",$H768-$L768)</f>
      </c>
      <c r="N768" s="42">
        <f>IF($C768="","",IF($I768="","추정 ESTIMATE","실제 ACTUAL"))</f>
      </c>
      <c r="O768" s="41">
        <f>IF($A768="","",SUMIFS('입금 Payments'!$C$3:$C$1002,'입금 Payments'!$B$3:$B$1002,$A768))</f>
      </c>
      <c r="P768" s="41">
        <f>IF($C768="","",ROUND($H768*(1+IF('설정 Settings'!$C$24="YES",'설정 Settings'!$C$26,0)),2)-N($O768))</f>
      </c>
      <c r="Q768" s="42">
        <f>IF($A768="","","INV-"&amp;$A768)</f>
      </c>
      <c r="R768" s="42">
        <f>IF($H768="","",IF($H768&gt;'설정 Settings'!$C$36,"$2,000 초과: e-Transfer 나눠 받기 (F36)",""))</f>
      </c>
    </row>
    <row r="769" spans="12:18" x14ac:dyDescent="0.25">
      <c r="L769" s="41">
        <f>IF($C769="","",IF($I769="",ROUND(IFERROR($H769*VLOOKUP($F769,'설정 Settings'!$A$122:$F$130,4,0)+VLOOKUP($F769,'설정 Settings'!$A$122:$F$130,5,0),0),2),$I769))</f>
      </c>
      <c r="M769" s="41">
        <f>IF($C769="","",$H769-$L769)</f>
      </c>
      <c r="N769" s="42">
        <f>IF($C769="","",IF($I769="","추정 ESTIMATE","실제 ACTUAL"))</f>
      </c>
      <c r="O769" s="41">
        <f>IF($A769="","",SUMIFS('입금 Payments'!$C$3:$C$1002,'입금 Payments'!$B$3:$B$1002,$A769))</f>
      </c>
      <c r="P769" s="41">
        <f>IF($C769="","",ROUND($H769*(1+IF('설정 Settings'!$C$24="YES",'설정 Settings'!$C$26,0)),2)-N($O769))</f>
      </c>
      <c r="Q769" s="42">
        <f>IF($A769="","","INV-"&amp;$A769)</f>
      </c>
      <c r="R769" s="42">
        <f>IF($H769="","",IF($H769&gt;'설정 Settings'!$C$36,"$2,000 초과: e-Transfer 나눠 받기 (F36)",""))</f>
      </c>
    </row>
    <row r="770" spans="12:18" x14ac:dyDescent="0.25">
      <c r="L770" s="41">
        <f>IF($C770="","",IF($I770="",ROUND(IFERROR($H770*VLOOKUP($F770,'설정 Settings'!$A$122:$F$130,4,0)+VLOOKUP($F770,'설정 Settings'!$A$122:$F$130,5,0),0),2),$I770))</f>
      </c>
      <c r="M770" s="41">
        <f>IF($C770="","",$H770-$L770)</f>
      </c>
      <c r="N770" s="42">
        <f>IF($C770="","",IF($I770="","추정 ESTIMATE","실제 ACTUAL"))</f>
      </c>
      <c r="O770" s="41">
        <f>IF($A770="","",SUMIFS('입금 Payments'!$C$3:$C$1002,'입금 Payments'!$B$3:$B$1002,$A770))</f>
      </c>
      <c r="P770" s="41">
        <f>IF($C770="","",ROUND($H770*(1+IF('설정 Settings'!$C$24="YES",'설정 Settings'!$C$26,0)),2)-N($O770))</f>
      </c>
      <c r="Q770" s="42">
        <f>IF($A770="","","INV-"&amp;$A770)</f>
      </c>
      <c r="R770" s="42">
        <f>IF($H770="","",IF($H770&gt;'설정 Settings'!$C$36,"$2,000 초과: e-Transfer 나눠 받기 (F36)",""))</f>
      </c>
    </row>
    <row r="771" spans="12:18" x14ac:dyDescent="0.25">
      <c r="L771" s="41">
        <f>IF($C771="","",IF($I771="",ROUND(IFERROR($H771*VLOOKUP($F771,'설정 Settings'!$A$122:$F$130,4,0)+VLOOKUP($F771,'설정 Settings'!$A$122:$F$130,5,0),0),2),$I771))</f>
      </c>
      <c r="M771" s="41">
        <f>IF($C771="","",$H771-$L771)</f>
      </c>
      <c r="N771" s="42">
        <f>IF($C771="","",IF($I771="","추정 ESTIMATE","실제 ACTUAL"))</f>
      </c>
      <c r="O771" s="41">
        <f>IF($A771="","",SUMIFS('입금 Payments'!$C$3:$C$1002,'입금 Payments'!$B$3:$B$1002,$A771))</f>
      </c>
      <c r="P771" s="41">
        <f>IF($C771="","",ROUND($H771*(1+IF('설정 Settings'!$C$24="YES",'설정 Settings'!$C$26,0)),2)-N($O771))</f>
      </c>
      <c r="Q771" s="42">
        <f>IF($A771="","","INV-"&amp;$A771)</f>
      </c>
      <c r="R771" s="42">
        <f>IF($H771="","",IF($H771&gt;'설정 Settings'!$C$36,"$2,000 초과: e-Transfer 나눠 받기 (F36)",""))</f>
      </c>
    </row>
    <row r="772" spans="12:18" x14ac:dyDescent="0.25">
      <c r="L772" s="41">
        <f>IF($C772="","",IF($I772="",ROUND(IFERROR($H772*VLOOKUP($F772,'설정 Settings'!$A$122:$F$130,4,0)+VLOOKUP($F772,'설정 Settings'!$A$122:$F$130,5,0),0),2),$I772))</f>
      </c>
      <c r="M772" s="41">
        <f>IF($C772="","",$H772-$L772)</f>
      </c>
      <c r="N772" s="42">
        <f>IF($C772="","",IF($I772="","추정 ESTIMATE","실제 ACTUAL"))</f>
      </c>
      <c r="O772" s="41">
        <f>IF($A772="","",SUMIFS('입금 Payments'!$C$3:$C$1002,'입금 Payments'!$B$3:$B$1002,$A772))</f>
      </c>
      <c r="P772" s="41">
        <f>IF($C772="","",ROUND($H772*(1+IF('설정 Settings'!$C$24="YES",'설정 Settings'!$C$26,0)),2)-N($O772))</f>
      </c>
      <c r="Q772" s="42">
        <f>IF($A772="","","INV-"&amp;$A772)</f>
      </c>
      <c r="R772" s="42">
        <f>IF($H772="","",IF($H772&gt;'설정 Settings'!$C$36,"$2,000 초과: e-Transfer 나눠 받기 (F36)",""))</f>
      </c>
    </row>
    <row r="773" spans="12:18" x14ac:dyDescent="0.25">
      <c r="L773" s="41">
        <f>IF($C773="","",IF($I773="",ROUND(IFERROR($H773*VLOOKUP($F773,'설정 Settings'!$A$122:$F$130,4,0)+VLOOKUP($F773,'설정 Settings'!$A$122:$F$130,5,0),0),2),$I773))</f>
      </c>
      <c r="M773" s="41">
        <f>IF($C773="","",$H773-$L773)</f>
      </c>
      <c r="N773" s="42">
        <f>IF($C773="","",IF($I773="","추정 ESTIMATE","실제 ACTUAL"))</f>
      </c>
      <c r="O773" s="41">
        <f>IF($A773="","",SUMIFS('입금 Payments'!$C$3:$C$1002,'입금 Payments'!$B$3:$B$1002,$A773))</f>
      </c>
      <c r="P773" s="41">
        <f>IF($C773="","",ROUND($H773*(1+IF('설정 Settings'!$C$24="YES",'설정 Settings'!$C$26,0)),2)-N($O773))</f>
      </c>
      <c r="Q773" s="42">
        <f>IF($A773="","","INV-"&amp;$A773)</f>
      </c>
      <c r="R773" s="42">
        <f>IF($H773="","",IF($H773&gt;'설정 Settings'!$C$36,"$2,000 초과: e-Transfer 나눠 받기 (F36)",""))</f>
      </c>
    </row>
    <row r="774" spans="12:18" x14ac:dyDescent="0.25">
      <c r="L774" s="41">
        <f>IF($C774="","",IF($I774="",ROUND(IFERROR($H774*VLOOKUP($F774,'설정 Settings'!$A$122:$F$130,4,0)+VLOOKUP($F774,'설정 Settings'!$A$122:$F$130,5,0),0),2),$I774))</f>
      </c>
      <c r="M774" s="41">
        <f>IF($C774="","",$H774-$L774)</f>
      </c>
      <c r="N774" s="42">
        <f>IF($C774="","",IF($I774="","추정 ESTIMATE","실제 ACTUAL"))</f>
      </c>
      <c r="O774" s="41">
        <f>IF($A774="","",SUMIFS('입금 Payments'!$C$3:$C$1002,'입금 Payments'!$B$3:$B$1002,$A774))</f>
      </c>
      <c r="P774" s="41">
        <f>IF($C774="","",ROUND($H774*(1+IF('설정 Settings'!$C$24="YES",'설정 Settings'!$C$26,0)),2)-N($O774))</f>
      </c>
      <c r="Q774" s="42">
        <f>IF($A774="","","INV-"&amp;$A774)</f>
      </c>
      <c r="R774" s="42">
        <f>IF($H774="","",IF($H774&gt;'설정 Settings'!$C$36,"$2,000 초과: e-Transfer 나눠 받기 (F36)",""))</f>
      </c>
    </row>
    <row r="775" spans="12:18" x14ac:dyDescent="0.25">
      <c r="L775" s="41">
        <f>IF($C775="","",IF($I775="",ROUND(IFERROR($H775*VLOOKUP($F775,'설정 Settings'!$A$122:$F$130,4,0)+VLOOKUP($F775,'설정 Settings'!$A$122:$F$130,5,0),0),2),$I775))</f>
      </c>
      <c r="M775" s="41">
        <f>IF($C775="","",$H775-$L775)</f>
      </c>
      <c r="N775" s="42">
        <f>IF($C775="","",IF($I775="","추정 ESTIMATE","실제 ACTUAL"))</f>
      </c>
      <c r="O775" s="41">
        <f>IF($A775="","",SUMIFS('입금 Payments'!$C$3:$C$1002,'입금 Payments'!$B$3:$B$1002,$A775))</f>
      </c>
      <c r="P775" s="41">
        <f>IF($C775="","",ROUND($H775*(1+IF('설정 Settings'!$C$24="YES",'설정 Settings'!$C$26,0)),2)-N($O775))</f>
      </c>
      <c r="Q775" s="42">
        <f>IF($A775="","","INV-"&amp;$A775)</f>
      </c>
      <c r="R775" s="42">
        <f>IF($H775="","",IF($H775&gt;'설정 Settings'!$C$36,"$2,000 초과: e-Transfer 나눠 받기 (F36)",""))</f>
      </c>
    </row>
    <row r="776" spans="12:18" x14ac:dyDescent="0.25">
      <c r="L776" s="41">
        <f>IF($C776="","",IF($I776="",ROUND(IFERROR($H776*VLOOKUP($F776,'설정 Settings'!$A$122:$F$130,4,0)+VLOOKUP($F776,'설정 Settings'!$A$122:$F$130,5,0),0),2),$I776))</f>
      </c>
      <c r="M776" s="41">
        <f>IF($C776="","",$H776-$L776)</f>
      </c>
      <c r="N776" s="42">
        <f>IF($C776="","",IF($I776="","추정 ESTIMATE","실제 ACTUAL"))</f>
      </c>
      <c r="O776" s="41">
        <f>IF($A776="","",SUMIFS('입금 Payments'!$C$3:$C$1002,'입금 Payments'!$B$3:$B$1002,$A776))</f>
      </c>
      <c r="P776" s="41">
        <f>IF($C776="","",ROUND($H776*(1+IF('설정 Settings'!$C$24="YES",'설정 Settings'!$C$26,0)),2)-N($O776))</f>
      </c>
      <c r="Q776" s="42">
        <f>IF($A776="","","INV-"&amp;$A776)</f>
      </c>
      <c r="R776" s="42">
        <f>IF($H776="","",IF($H776&gt;'설정 Settings'!$C$36,"$2,000 초과: e-Transfer 나눠 받기 (F36)",""))</f>
      </c>
    </row>
    <row r="777" spans="12:18" x14ac:dyDescent="0.25">
      <c r="L777" s="41">
        <f>IF($C777="","",IF($I777="",ROUND(IFERROR($H777*VLOOKUP($F777,'설정 Settings'!$A$122:$F$130,4,0)+VLOOKUP($F777,'설정 Settings'!$A$122:$F$130,5,0),0),2),$I777))</f>
      </c>
      <c r="M777" s="41">
        <f>IF($C777="","",$H777-$L777)</f>
      </c>
      <c r="N777" s="42">
        <f>IF($C777="","",IF($I777="","추정 ESTIMATE","실제 ACTUAL"))</f>
      </c>
      <c r="O777" s="41">
        <f>IF($A777="","",SUMIFS('입금 Payments'!$C$3:$C$1002,'입금 Payments'!$B$3:$B$1002,$A777))</f>
      </c>
      <c r="P777" s="41">
        <f>IF($C777="","",ROUND($H777*(1+IF('설정 Settings'!$C$24="YES",'설정 Settings'!$C$26,0)),2)-N($O777))</f>
      </c>
      <c r="Q777" s="42">
        <f>IF($A777="","","INV-"&amp;$A777)</f>
      </c>
      <c r="R777" s="42">
        <f>IF($H777="","",IF($H777&gt;'설정 Settings'!$C$36,"$2,000 초과: e-Transfer 나눠 받기 (F36)",""))</f>
      </c>
    </row>
    <row r="778" spans="12:18" x14ac:dyDescent="0.25">
      <c r="L778" s="41">
        <f>IF($C778="","",IF($I778="",ROUND(IFERROR($H778*VLOOKUP($F778,'설정 Settings'!$A$122:$F$130,4,0)+VLOOKUP($F778,'설정 Settings'!$A$122:$F$130,5,0),0),2),$I778))</f>
      </c>
      <c r="M778" s="41">
        <f>IF($C778="","",$H778-$L778)</f>
      </c>
      <c r="N778" s="42">
        <f>IF($C778="","",IF($I778="","추정 ESTIMATE","실제 ACTUAL"))</f>
      </c>
      <c r="O778" s="41">
        <f>IF($A778="","",SUMIFS('입금 Payments'!$C$3:$C$1002,'입금 Payments'!$B$3:$B$1002,$A778))</f>
      </c>
      <c r="P778" s="41">
        <f>IF($C778="","",ROUND($H778*(1+IF('설정 Settings'!$C$24="YES",'설정 Settings'!$C$26,0)),2)-N($O778))</f>
      </c>
      <c r="Q778" s="42">
        <f>IF($A778="","","INV-"&amp;$A778)</f>
      </c>
      <c r="R778" s="42">
        <f>IF($H778="","",IF($H778&gt;'설정 Settings'!$C$36,"$2,000 초과: e-Transfer 나눠 받기 (F36)",""))</f>
      </c>
    </row>
    <row r="779" spans="12:18" x14ac:dyDescent="0.25">
      <c r="L779" s="41">
        <f>IF($C779="","",IF($I779="",ROUND(IFERROR($H779*VLOOKUP($F779,'설정 Settings'!$A$122:$F$130,4,0)+VLOOKUP($F779,'설정 Settings'!$A$122:$F$130,5,0),0),2),$I779))</f>
      </c>
      <c r="M779" s="41">
        <f>IF($C779="","",$H779-$L779)</f>
      </c>
      <c r="N779" s="42">
        <f>IF($C779="","",IF($I779="","추정 ESTIMATE","실제 ACTUAL"))</f>
      </c>
      <c r="O779" s="41">
        <f>IF($A779="","",SUMIFS('입금 Payments'!$C$3:$C$1002,'입금 Payments'!$B$3:$B$1002,$A779))</f>
      </c>
      <c r="P779" s="41">
        <f>IF($C779="","",ROUND($H779*(1+IF('설정 Settings'!$C$24="YES",'설정 Settings'!$C$26,0)),2)-N($O779))</f>
      </c>
      <c r="Q779" s="42">
        <f>IF($A779="","","INV-"&amp;$A779)</f>
      </c>
      <c r="R779" s="42">
        <f>IF($H779="","",IF($H779&gt;'설정 Settings'!$C$36,"$2,000 초과: e-Transfer 나눠 받기 (F36)",""))</f>
      </c>
    </row>
    <row r="780" spans="12:18" x14ac:dyDescent="0.25">
      <c r="L780" s="41">
        <f>IF($C780="","",IF($I780="",ROUND(IFERROR($H780*VLOOKUP($F780,'설정 Settings'!$A$122:$F$130,4,0)+VLOOKUP($F780,'설정 Settings'!$A$122:$F$130,5,0),0),2),$I780))</f>
      </c>
      <c r="M780" s="41">
        <f>IF($C780="","",$H780-$L780)</f>
      </c>
      <c r="N780" s="42">
        <f>IF($C780="","",IF($I780="","추정 ESTIMATE","실제 ACTUAL"))</f>
      </c>
      <c r="O780" s="41">
        <f>IF($A780="","",SUMIFS('입금 Payments'!$C$3:$C$1002,'입금 Payments'!$B$3:$B$1002,$A780))</f>
      </c>
      <c r="P780" s="41">
        <f>IF($C780="","",ROUND($H780*(1+IF('설정 Settings'!$C$24="YES",'설정 Settings'!$C$26,0)),2)-N($O780))</f>
      </c>
      <c r="Q780" s="42">
        <f>IF($A780="","","INV-"&amp;$A780)</f>
      </c>
      <c r="R780" s="42">
        <f>IF($H780="","",IF($H780&gt;'설정 Settings'!$C$36,"$2,000 초과: e-Transfer 나눠 받기 (F36)",""))</f>
      </c>
    </row>
    <row r="781" spans="12:18" x14ac:dyDescent="0.25">
      <c r="L781" s="41">
        <f>IF($C781="","",IF($I781="",ROUND(IFERROR($H781*VLOOKUP($F781,'설정 Settings'!$A$122:$F$130,4,0)+VLOOKUP($F781,'설정 Settings'!$A$122:$F$130,5,0),0),2),$I781))</f>
      </c>
      <c r="M781" s="41">
        <f>IF($C781="","",$H781-$L781)</f>
      </c>
      <c r="N781" s="42">
        <f>IF($C781="","",IF($I781="","추정 ESTIMATE","실제 ACTUAL"))</f>
      </c>
      <c r="O781" s="41">
        <f>IF($A781="","",SUMIFS('입금 Payments'!$C$3:$C$1002,'입금 Payments'!$B$3:$B$1002,$A781))</f>
      </c>
      <c r="P781" s="41">
        <f>IF($C781="","",ROUND($H781*(1+IF('설정 Settings'!$C$24="YES",'설정 Settings'!$C$26,0)),2)-N($O781))</f>
      </c>
      <c r="Q781" s="42">
        <f>IF($A781="","","INV-"&amp;$A781)</f>
      </c>
      <c r="R781" s="42">
        <f>IF($H781="","",IF($H781&gt;'설정 Settings'!$C$36,"$2,000 초과: e-Transfer 나눠 받기 (F36)",""))</f>
      </c>
    </row>
    <row r="782" spans="12:18" x14ac:dyDescent="0.25">
      <c r="L782" s="41">
        <f>IF($C782="","",IF($I782="",ROUND(IFERROR($H782*VLOOKUP($F782,'설정 Settings'!$A$122:$F$130,4,0)+VLOOKUP($F782,'설정 Settings'!$A$122:$F$130,5,0),0),2),$I782))</f>
      </c>
      <c r="M782" s="41">
        <f>IF($C782="","",$H782-$L782)</f>
      </c>
      <c r="N782" s="42">
        <f>IF($C782="","",IF($I782="","추정 ESTIMATE","실제 ACTUAL"))</f>
      </c>
      <c r="O782" s="41">
        <f>IF($A782="","",SUMIFS('입금 Payments'!$C$3:$C$1002,'입금 Payments'!$B$3:$B$1002,$A782))</f>
      </c>
      <c r="P782" s="41">
        <f>IF($C782="","",ROUND($H782*(1+IF('설정 Settings'!$C$24="YES",'설정 Settings'!$C$26,0)),2)-N($O782))</f>
      </c>
      <c r="Q782" s="42">
        <f>IF($A782="","","INV-"&amp;$A782)</f>
      </c>
      <c r="R782" s="42">
        <f>IF($H782="","",IF($H782&gt;'설정 Settings'!$C$36,"$2,000 초과: e-Transfer 나눠 받기 (F36)",""))</f>
      </c>
    </row>
    <row r="783" spans="12:18" x14ac:dyDescent="0.25">
      <c r="L783" s="41">
        <f>IF($C783="","",IF($I783="",ROUND(IFERROR($H783*VLOOKUP($F783,'설정 Settings'!$A$122:$F$130,4,0)+VLOOKUP($F783,'설정 Settings'!$A$122:$F$130,5,0),0),2),$I783))</f>
      </c>
      <c r="M783" s="41">
        <f>IF($C783="","",$H783-$L783)</f>
      </c>
      <c r="N783" s="42">
        <f>IF($C783="","",IF($I783="","추정 ESTIMATE","실제 ACTUAL"))</f>
      </c>
      <c r="O783" s="41">
        <f>IF($A783="","",SUMIFS('입금 Payments'!$C$3:$C$1002,'입금 Payments'!$B$3:$B$1002,$A783))</f>
      </c>
      <c r="P783" s="41">
        <f>IF($C783="","",ROUND($H783*(1+IF('설정 Settings'!$C$24="YES",'설정 Settings'!$C$26,0)),2)-N($O783))</f>
      </c>
      <c r="Q783" s="42">
        <f>IF($A783="","","INV-"&amp;$A783)</f>
      </c>
      <c r="R783" s="42">
        <f>IF($H783="","",IF($H783&gt;'설정 Settings'!$C$36,"$2,000 초과: e-Transfer 나눠 받기 (F36)",""))</f>
      </c>
    </row>
    <row r="784" spans="12:18" x14ac:dyDescent="0.25">
      <c r="L784" s="41">
        <f>IF($C784="","",IF($I784="",ROUND(IFERROR($H784*VLOOKUP($F784,'설정 Settings'!$A$122:$F$130,4,0)+VLOOKUP($F784,'설정 Settings'!$A$122:$F$130,5,0),0),2),$I784))</f>
      </c>
      <c r="M784" s="41">
        <f>IF($C784="","",$H784-$L784)</f>
      </c>
      <c r="N784" s="42">
        <f>IF($C784="","",IF($I784="","추정 ESTIMATE","실제 ACTUAL"))</f>
      </c>
      <c r="O784" s="41">
        <f>IF($A784="","",SUMIFS('입금 Payments'!$C$3:$C$1002,'입금 Payments'!$B$3:$B$1002,$A784))</f>
      </c>
      <c r="P784" s="41">
        <f>IF($C784="","",ROUND($H784*(1+IF('설정 Settings'!$C$24="YES",'설정 Settings'!$C$26,0)),2)-N($O784))</f>
      </c>
      <c r="Q784" s="42">
        <f>IF($A784="","","INV-"&amp;$A784)</f>
      </c>
      <c r="R784" s="42">
        <f>IF($H784="","",IF($H784&gt;'설정 Settings'!$C$36,"$2,000 초과: e-Transfer 나눠 받기 (F36)",""))</f>
      </c>
    </row>
    <row r="785" spans="12:18" x14ac:dyDescent="0.25">
      <c r="L785" s="41">
        <f>IF($C785="","",IF($I785="",ROUND(IFERROR($H785*VLOOKUP($F785,'설정 Settings'!$A$122:$F$130,4,0)+VLOOKUP($F785,'설정 Settings'!$A$122:$F$130,5,0),0),2),$I785))</f>
      </c>
      <c r="M785" s="41">
        <f>IF($C785="","",$H785-$L785)</f>
      </c>
      <c r="N785" s="42">
        <f>IF($C785="","",IF($I785="","추정 ESTIMATE","실제 ACTUAL"))</f>
      </c>
      <c r="O785" s="41">
        <f>IF($A785="","",SUMIFS('입금 Payments'!$C$3:$C$1002,'입금 Payments'!$B$3:$B$1002,$A785))</f>
      </c>
      <c r="P785" s="41">
        <f>IF($C785="","",ROUND($H785*(1+IF('설정 Settings'!$C$24="YES",'설정 Settings'!$C$26,0)),2)-N($O785))</f>
      </c>
      <c r="Q785" s="42">
        <f>IF($A785="","","INV-"&amp;$A785)</f>
      </c>
      <c r="R785" s="42">
        <f>IF($H785="","",IF($H785&gt;'설정 Settings'!$C$36,"$2,000 초과: e-Transfer 나눠 받기 (F36)",""))</f>
      </c>
    </row>
    <row r="786" spans="12:18" x14ac:dyDescent="0.25">
      <c r="L786" s="41">
        <f>IF($C786="","",IF($I786="",ROUND(IFERROR($H786*VLOOKUP($F786,'설정 Settings'!$A$122:$F$130,4,0)+VLOOKUP($F786,'설정 Settings'!$A$122:$F$130,5,0),0),2),$I786))</f>
      </c>
      <c r="M786" s="41">
        <f>IF($C786="","",$H786-$L786)</f>
      </c>
      <c r="N786" s="42">
        <f>IF($C786="","",IF($I786="","추정 ESTIMATE","실제 ACTUAL"))</f>
      </c>
      <c r="O786" s="41">
        <f>IF($A786="","",SUMIFS('입금 Payments'!$C$3:$C$1002,'입금 Payments'!$B$3:$B$1002,$A786))</f>
      </c>
      <c r="P786" s="41">
        <f>IF($C786="","",ROUND($H786*(1+IF('설정 Settings'!$C$24="YES",'설정 Settings'!$C$26,0)),2)-N($O786))</f>
      </c>
      <c r="Q786" s="42">
        <f>IF($A786="","","INV-"&amp;$A786)</f>
      </c>
      <c r="R786" s="42">
        <f>IF($H786="","",IF($H786&gt;'설정 Settings'!$C$36,"$2,000 초과: e-Transfer 나눠 받기 (F36)",""))</f>
      </c>
    </row>
    <row r="787" spans="12:18" x14ac:dyDescent="0.25">
      <c r="L787" s="41">
        <f>IF($C787="","",IF($I787="",ROUND(IFERROR($H787*VLOOKUP($F787,'설정 Settings'!$A$122:$F$130,4,0)+VLOOKUP($F787,'설정 Settings'!$A$122:$F$130,5,0),0),2),$I787))</f>
      </c>
      <c r="M787" s="41">
        <f>IF($C787="","",$H787-$L787)</f>
      </c>
      <c r="N787" s="42">
        <f>IF($C787="","",IF($I787="","추정 ESTIMATE","실제 ACTUAL"))</f>
      </c>
      <c r="O787" s="41">
        <f>IF($A787="","",SUMIFS('입금 Payments'!$C$3:$C$1002,'입금 Payments'!$B$3:$B$1002,$A787))</f>
      </c>
      <c r="P787" s="41">
        <f>IF($C787="","",ROUND($H787*(1+IF('설정 Settings'!$C$24="YES",'설정 Settings'!$C$26,0)),2)-N($O787))</f>
      </c>
      <c r="Q787" s="42">
        <f>IF($A787="","","INV-"&amp;$A787)</f>
      </c>
      <c r="R787" s="42">
        <f>IF($H787="","",IF($H787&gt;'설정 Settings'!$C$36,"$2,000 초과: e-Transfer 나눠 받기 (F36)",""))</f>
      </c>
    </row>
    <row r="788" spans="12:18" x14ac:dyDescent="0.25">
      <c r="L788" s="41">
        <f>IF($C788="","",IF($I788="",ROUND(IFERROR($H788*VLOOKUP($F788,'설정 Settings'!$A$122:$F$130,4,0)+VLOOKUP($F788,'설정 Settings'!$A$122:$F$130,5,0),0),2),$I788))</f>
      </c>
      <c r="M788" s="41">
        <f>IF($C788="","",$H788-$L788)</f>
      </c>
      <c r="N788" s="42">
        <f>IF($C788="","",IF($I788="","추정 ESTIMATE","실제 ACTUAL"))</f>
      </c>
      <c r="O788" s="41">
        <f>IF($A788="","",SUMIFS('입금 Payments'!$C$3:$C$1002,'입금 Payments'!$B$3:$B$1002,$A788))</f>
      </c>
      <c r="P788" s="41">
        <f>IF($C788="","",ROUND($H788*(1+IF('설정 Settings'!$C$24="YES",'설정 Settings'!$C$26,0)),2)-N($O788))</f>
      </c>
      <c r="Q788" s="42">
        <f>IF($A788="","","INV-"&amp;$A788)</f>
      </c>
      <c r="R788" s="42">
        <f>IF($H788="","",IF($H788&gt;'설정 Settings'!$C$36,"$2,000 초과: e-Transfer 나눠 받기 (F36)",""))</f>
      </c>
    </row>
    <row r="789" spans="12:18" x14ac:dyDescent="0.25">
      <c r="L789" s="41">
        <f>IF($C789="","",IF($I789="",ROUND(IFERROR($H789*VLOOKUP($F789,'설정 Settings'!$A$122:$F$130,4,0)+VLOOKUP($F789,'설정 Settings'!$A$122:$F$130,5,0),0),2),$I789))</f>
      </c>
      <c r="M789" s="41">
        <f>IF($C789="","",$H789-$L789)</f>
      </c>
      <c r="N789" s="42">
        <f>IF($C789="","",IF($I789="","추정 ESTIMATE","실제 ACTUAL"))</f>
      </c>
      <c r="O789" s="41">
        <f>IF($A789="","",SUMIFS('입금 Payments'!$C$3:$C$1002,'입금 Payments'!$B$3:$B$1002,$A789))</f>
      </c>
      <c r="P789" s="41">
        <f>IF($C789="","",ROUND($H789*(1+IF('설정 Settings'!$C$24="YES",'설정 Settings'!$C$26,0)),2)-N($O789))</f>
      </c>
      <c r="Q789" s="42">
        <f>IF($A789="","","INV-"&amp;$A789)</f>
      </c>
      <c r="R789" s="42">
        <f>IF($H789="","",IF($H789&gt;'설정 Settings'!$C$36,"$2,000 초과: e-Transfer 나눠 받기 (F36)",""))</f>
      </c>
    </row>
    <row r="790" spans="12:18" x14ac:dyDescent="0.25">
      <c r="L790" s="41">
        <f>IF($C790="","",IF($I790="",ROUND(IFERROR($H790*VLOOKUP($F790,'설정 Settings'!$A$122:$F$130,4,0)+VLOOKUP($F790,'설정 Settings'!$A$122:$F$130,5,0),0),2),$I790))</f>
      </c>
      <c r="M790" s="41">
        <f>IF($C790="","",$H790-$L790)</f>
      </c>
      <c r="N790" s="42">
        <f>IF($C790="","",IF($I790="","추정 ESTIMATE","실제 ACTUAL"))</f>
      </c>
      <c r="O790" s="41">
        <f>IF($A790="","",SUMIFS('입금 Payments'!$C$3:$C$1002,'입금 Payments'!$B$3:$B$1002,$A790))</f>
      </c>
      <c r="P790" s="41">
        <f>IF($C790="","",ROUND($H790*(1+IF('설정 Settings'!$C$24="YES",'설정 Settings'!$C$26,0)),2)-N($O790))</f>
      </c>
      <c r="Q790" s="42">
        <f>IF($A790="","","INV-"&amp;$A790)</f>
      </c>
      <c r="R790" s="42">
        <f>IF($H790="","",IF($H790&gt;'설정 Settings'!$C$36,"$2,000 초과: e-Transfer 나눠 받기 (F36)",""))</f>
      </c>
    </row>
    <row r="791" spans="12:18" x14ac:dyDescent="0.25">
      <c r="L791" s="41">
        <f>IF($C791="","",IF($I791="",ROUND(IFERROR($H791*VLOOKUP($F791,'설정 Settings'!$A$122:$F$130,4,0)+VLOOKUP($F791,'설정 Settings'!$A$122:$F$130,5,0),0),2),$I791))</f>
      </c>
      <c r="M791" s="41">
        <f>IF($C791="","",$H791-$L791)</f>
      </c>
      <c r="N791" s="42">
        <f>IF($C791="","",IF($I791="","추정 ESTIMATE","실제 ACTUAL"))</f>
      </c>
      <c r="O791" s="41">
        <f>IF($A791="","",SUMIFS('입금 Payments'!$C$3:$C$1002,'입금 Payments'!$B$3:$B$1002,$A791))</f>
      </c>
      <c r="P791" s="41">
        <f>IF($C791="","",ROUND($H791*(1+IF('설정 Settings'!$C$24="YES",'설정 Settings'!$C$26,0)),2)-N($O791))</f>
      </c>
      <c r="Q791" s="42">
        <f>IF($A791="","","INV-"&amp;$A791)</f>
      </c>
      <c r="R791" s="42">
        <f>IF($H791="","",IF($H791&gt;'설정 Settings'!$C$36,"$2,000 초과: e-Transfer 나눠 받기 (F36)",""))</f>
      </c>
    </row>
    <row r="792" spans="12:18" x14ac:dyDescent="0.25">
      <c r="L792" s="41">
        <f>IF($C792="","",IF($I792="",ROUND(IFERROR($H792*VLOOKUP($F792,'설정 Settings'!$A$122:$F$130,4,0)+VLOOKUP($F792,'설정 Settings'!$A$122:$F$130,5,0),0),2),$I792))</f>
      </c>
      <c r="M792" s="41">
        <f>IF($C792="","",$H792-$L792)</f>
      </c>
      <c r="N792" s="42">
        <f>IF($C792="","",IF($I792="","추정 ESTIMATE","실제 ACTUAL"))</f>
      </c>
      <c r="O792" s="41">
        <f>IF($A792="","",SUMIFS('입금 Payments'!$C$3:$C$1002,'입금 Payments'!$B$3:$B$1002,$A792))</f>
      </c>
      <c r="P792" s="41">
        <f>IF($C792="","",ROUND($H792*(1+IF('설정 Settings'!$C$24="YES",'설정 Settings'!$C$26,0)),2)-N($O792))</f>
      </c>
      <c r="Q792" s="42">
        <f>IF($A792="","","INV-"&amp;$A792)</f>
      </c>
      <c r="R792" s="42">
        <f>IF($H792="","",IF($H792&gt;'설정 Settings'!$C$36,"$2,000 초과: e-Transfer 나눠 받기 (F36)",""))</f>
      </c>
    </row>
    <row r="793" spans="12:18" x14ac:dyDescent="0.25">
      <c r="L793" s="41">
        <f>IF($C793="","",IF($I793="",ROUND(IFERROR($H793*VLOOKUP($F793,'설정 Settings'!$A$122:$F$130,4,0)+VLOOKUP($F793,'설정 Settings'!$A$122:$F$130,5,0),0),2),$I793))</f>
      </c>
      <c r="M793" s="41">
        <f>IF($C793="","",$H793-$L793)</f>
      </c>
      <c r="N793" s="42">
        <f>IF($C793="","",IF($I793="","추정 ESTIMATE","실제 ACTUAL"))</f>
      </c>
      <c r="O793" s="41">
        <f>IF($A793="","",SUMIFS('입금 Payments'!$C$3:$C$1002,'입금 Payments'!$B$3:$B$1002,$A793))</f>
      </c>
      <c r="P793" s="41">
        <f>IF($C793="","",ROUND($H793*(1+IF('설정 Settings'!$C$24="YES",'설정 Settings'!$C$26,0)),2)-N($O793))</f>
      </c>
      <c r="Q793" s="42">
        <f>IF($A793="","","INV-"&amp;$A793)</f>
      </c>
      <c r="R793" s="42">
        <f>IF($H793="","",IF($H793&gt;'설정 Settings'!$C$36,"$2,000 초과: e-Transfer 나눠 받기 (F36)",""))</f>
      </c>
    </row>
    <row r="794" spans="12:18" x14ac:dyDescent="0.25">
      <c r="L794" s="41">
        <f>IF($C794="","",IF($I794="",ROUND(IFERROR($H794*VLOOKUP($F794,'설정 Settings'!$A$122:$F$130,4,0)+VLOOKUP($F794,'설정 Settings'!$A$122:$F$130,5,0),0),2),$I794))</f>
      </c>
      <c r="M794" s="41">
        <f>IF($C794="","",$H794-$L794)</f>
      </c>
      <c r="N794" s="42">
        <f>IF($C794="","",IF($I794="","추정 ESTIMATE","실제 ACTUAL"))</f>
      </c>
      <c r="O794" s="41">
        <f>IF($A794="","",SUMIFS('입금 Payments'!$C$3:$C$1002,'입금 Payments'!$B$3:$B$1002,$A794))</f>
      </c>
      <c r="P794" s="41">
        <f>IF($C794="","",ROUND($H794*(1+IF('설정 Settings'!$C$24="YES",'설정 Settings'!$C$26,0)),2)-N($O794))</f>
      </c>
      <c r="Q794" s="42">
        <f>IF($A794="","","INV-"&amp;$A794)</f>
      </c>
      <c r="R794" s="42">
        <f>IF($H794="","",IF($H794&gt;'설정 Settings'!$C$36,"$2,000 초과: e-Transfer 나눠 받기 (F36)",""))</f>
      </c>
    </row>
    <row r="795" spans="12:18" x14ac:dyDescent="0.25">
      <c r="L795" s="41">
        <f>IF($C795="","",IF($I795="",ROUND(IFERROR($H795*VLOOKUP($F795,'설정 Settings'!$A$122:$F$130,4,0)+VLOOKUP($F795,'설정 Settings'!$A$122:$F$130,5,0),0),2),$I795))</f>
      </c>
      <c r="M795" s="41">
        <f>IF($C795="","",$H795-$L795)</f>
      </c>
      <c r="N795" s="42">
        <f>IF($C795="","",IF($I795="","추정 ESTIMATE","실제 ACTUAL"))</f>
      </c>
      <c r="O795" s="41">
        <f>IF($A795="","",SUMIFS('입금 Payments'!$C$3:$C$1002,'입금 Payments'!$B$3:$B$1002,$A795))</f>
      </c>
      <c r="P795" s="41">
        <f>IF($C795="","",ROUND($H795*(1+IF('설정 Settings'!$C$24="YES",'설정 Settings'!$C$26,0)),2)-N($O795))</f>
      </c>
      <c r="Q795" s="42">
        <f>IF($A795="","","INV-"&amp;$A795)</f>
      </c>
      <c r="R795" s="42">
        <f>IF($H795="","",IF($H795&gt;'설정 Settings'!$C$36,"$2,000 초과: e-Transfer 나눠 받기 (F36)",""))</f>
      </c>
    </row>
    <row r="796" spans="12:18" x14ac:dyDescent="0.25">
      <c r="L796" s="41">
        <f>IF($C796="","",IF($I796="",ROUND(IFERROR($H796*VLOOKUP($F796,'설정 Settings'!$A$122:$F$130,4,0)+VLOOKUP($F796,'설정 Settings'!$A$122:$F$130,5,0),0),2),$I796))</f>
      </c>
      <c r="M796" s="41">
        <f>IF($C796="","",$H796-$L796)</f>
      </c>
      <c r="N796" s="42">
        <f>IF($C796="","",IF($I796="","추정 ESTIMATE","실제 ACTUAL"))</f>
      </c>
      <c r="O796" s="41">
        <f>IF($A796="","",SUMIFS('입금 Payments'!$C$3:$C$1002,'입금 Payments'!$B$3:$B$1002,$A796))</f>
      </c>
      <c r="P796" s="41">
        <f>IF($C796="","",ROUND($H796*(1+IF('설정 Settings'!$C$24="YES",'설정 Settings'!$C$26,0)),2)-N($O796))</f>
      </c>
      <c r="Q796" s="42">
        <f>IF($A796="","","INV-"&amp;$A796)</f>
      </c>
      <c r="R796" s="42">
        <f>IF($H796="","",IF($H796&gt;'설정 Settings'!$C$36,"$2,000 초과: e-Transfer 나눠 받기 (F36)",""))</f>
      </c>
    </row>
    <row r="797" spans="12:18" x14ac:dyDescent="0.25">
      <c r="L797" s="41">
        <f>IF($C797="","",IF($I797="",ROUND(IFERROR($H797*VLOOKUP($F797,'설정 Settings'!$A$122:$F$130,4,0)+VLOOKUP($F797,'설정 Settings'!$A$122:$F$130,5,0),0),2),$I797))</f>
      </c>
      <c r="M797" s="41">
        <f>IF($C797="","",$H797-$L797)</f>
      </c>
      <c r="N797" s="42">
        <f>IF($C797="","",IF($I797="","추정 ESTIMATE","실제 ACTUAL"))</f>
      </c>
      <c r="O797" s="41">
        <f>IF($A797="","",SUMIFS('입금 Payments'!$C$3:$C$1002,'입금 Payments'!$B$3:$B$1002,$A797))</f>
      </c>
      <c r="P797" s="41">
        <f>IF($C797="","",ROUND($H797*(1+IF('설정 Settings'!$C$24="YES",'설정 Settings'!$C$26,0)),2)-N($O797))</f>
      </c>
      <c r="Q797" s="42">
        <f>IF($A797="","","INV-"&amp;$A797)</f>
      </c>
      <c r="R797" s="42">
        <f>IF($H797="","",IF($H797&gt;'설정 Settings'!$C$36,"$2,000 초과: e-Transfer 나눠 받기 (F36)",""))</f>
      </c>
    </row>
    <row r="798" spans="12:18" x14ac:dyDescent="0.25">
      <c r="L798" s="41">
        <f>IF($C798="","",IF($I798="",ROUND(IFERROR($H798*VLOOKUP($F798,'설정 Settings'!$A$122:$F$130,4,0)+VLOOKUP($F798,'설정 Settings'!$A$122:$F$130,5,0),0),2),$I798))</f>
      </c>
      <c r="M798" s="41">
        <f>IF($C798="","",$H798-$L798)</f>
      </c>
      <c r="N798" s="42">
        <f>IF($C798="","",IF($I798="","추정 ESTIMATE","실제 ACTUAL"))</f>
      </c>
      <c r="O798" s="41">
        <f>IF($A798="","",SUMIFS('입금 Payments'!$C$3:$C$1002,'입금 Payments'!$B$3:$B$1002,$A798))</f>
      </c>
      <c r="P798" s="41">
        <f>IF($C798="","",ROUND($H798*(1+IF('설정 Settings'!$C$24="YES",'설정 Settings'!$C$26,0)),2)-N($O798))</f>
      </c>
      <c r="Q798" s="42">
        <f>IF($A798="","","INV-"&amp;$A798)</f>
      </c>
      <c r="R798" s="42">
        <f>IF($H798="","",IF($H798&gt;'설정 Settings'!$C$36,"$2,000 초과: e-Transfer 나눠 받기 (F36)",""))</f>
      </c>
    </row>
    <row r="799" spans="12:18" x14ac:dyDescent="0.25">
      <c r="L799" s="41">
        <f>IF($C799="","",IF($I799="",ROUND(IFERROR($H799*VLOOKUP($F799,'설정 Settings'!$A$122:$F$130,4,0)+VLOOKUP($F799,'설정 Settings'!$A$122:$F$130,5,0),0),2),$I799))</f>
      </c>
      <c r="M799" s="41">
        <f>IF($C799="","",$H799-$L799)</f>
      </c>
      <c r="N799" s="42">
        <f>IF($C799="","",IF($I799="","추정 ESTIMATE","실제 ACTUAL"))</f>
      </c>
      <c r="O799" s="41">
        <f>IF($A799="","",SUMIFS('입금 Payments'!$C$3:$C$1002,'입금 Payments'!$B$3:$B$1002,$A799))</f>
      </c>
      <c r="P799" s="41">
        <f>IF($C799="","",ROUND($H799*(1+IF('설정 Settings'!$C$24="YES",'설정 Settings'!$C$26,0)),2)-N($O799))</f>
      </c>
      <c r="Q799" s="42">
        <f>IF($A799="","","INV-"&amp;$A799)</f>
      </c>
      <c r="R799" s="42">
        <f>IF($H799="","",IF($H799&gt;'설정 Settings'!$C$36,"$2,000 초과: e-Transfer 나눠 받기 (F36)",""))</f>
      </c>
    </row>
    <row r="800" spans="12:18" x14ac:dyDescent="0.25">
      <c r="L800" s="41">
        <f>IF($C800="","",IF($I800="",ROUND(IFERROR($H800*VLOOKUP($F800,'설정 Settings'!$A$122:$F$130,4,0)+VLOOKUP($F800,'설정 Settings'!$A$122:$F$130,5,0),0),2),$I800))</f>
      </c>
      <c r="M800" s="41">
        <f>IF($C800="","",$H800-$L800)</f>
      </c>
      <c r="N800" s="42">
        <f>IF($C800="","",IF($I800="","추정 ESTIMATE","실제 ACTUAL"))</f>
      </c>
      <c r="O800" s="41">
        <f>IF($A800="","",SUMIFS('입금 Payments'!$C$3:$C$1002,'입금 Payments'!$B$3:$B$1002,$A800))</f>
      </c>
      <c r="P800" s="41">
        <f>IF($C800="","",ROUND($H800*(1+IF('설정 Settings'!$C$24="YES",'설정 Settings'!$C$26,0)),2)-N($O800))</f>
      </c>
      <c r="Q800" s="42">
        <f>IF($A800="","","INV-"&amp;$A800)</f>
      </c>
      <c r="R800" s="42">
        <f>IF($H800="","",IF($H800&gt;'설정 Settings'!$C$36,"$2,000 초과: e-Transfer 나눠 받기 (F36)",""))</f>
      </c>
    </row>
    <row r="801" spans="12:18" x14ac:dyDescent="0.25">
      <c r="L801" s="41">
        <f>IF($C801="","",IF($I801="",ROUND(IFERROR($H801*VLOOKUP($F801,'설정 Settings'!$A$122:$F$130,4,0)+VLOOKUP($F801,'설정 Settings'!$A$122:$F$130,5,0),0),2),$I801))</f>
      </c>
      <c r="M801" s="41">
        <f>IF($C801="","",$H801-$L801)</f>
      </c>
      <c r="N801" s="42">
        <f>IF($C801="","",IF($I801="","추정 ESTIMATE","실제 ACTUAL"))</f>
      </c>
      <c r="O801" s="41">
        <f>IF($A801="","",SUMIFS('입금 Payments'!$C$3:$C$1002,'입금 Payments'!$B$3:$B$1002,$A801))</f>
      </c>
      <c r="P801" s="41">
        <f>IF($C801="","",ROUND($H801*(1+IF('설정 Settings'!$C$24="YES",'설정 Settings'!$C$26,0)),2)-N($O801))</f>
      </c>
      <c r="Q801" s="42">
        <f>IF($A801="","","INV-"&amp;$A801)</f>
      </c>
      <c r="R801" s="42">
        <f>IF($H801="","",IF($H801&gt;'설정 Settings'!$C$36,"$2,000 초과: e-Transfer 나눠 받기 (F36)",""))</f>
      </c>
    </row>
    <row r="802" spans="12:18" x14ac:dyDescent="0.25">
      <c r="L802" s="41">
        <f>IF($C802="","",IF($I802="",ROUND(IFERROR($H802*VLOOKUP($F802,'설정 Settings'!$A$122:$F$130,4,0)+VLOOKUP($F802,'설정 Settings'!$A$122:$F$130,5,0),0),2),$I802))</f>
      </c>
      <c r="M802" s="41">
        <f>IF($C802="","",$H802-$L802)</f>
      </c>
      <c r="N802" s="42">
        <f>IF($C802="","",IF($I802="","추정 ESTIMATE","실제 ACTUAL"))</f>
      </c>
      <c r="O802" s="41">
        <f>IF($A802="","",SUMIFS('입금 Payments'!$C$3:$C$1002,'입금 Payments'!$B$3:$B$1002,$A802))</f>
      </c>
      <c r="P802" s="41">
        <f>IF($C802="","",ROUND($H802*(1+IF('설정 Settings'!$C$24="YES",'설정 Settings'!$C$26,0)),2)-N($O802))</f>
      </c>
      <c r="Q802" s="42">
        <f>IF($A802="","","INV-"&amp;$A802)</f>
      </c>
      <c r="R802" s="42">
        <f>IF($H802="","",IF($H802&gt;'설정 Settings'!$C$36,"$2,000 초과: e-Transfer 나눠 받기 (F36)",""))</f>
      </c>
    </row>
    <row r="803" spans="12:18" x14ac:dyDescent="0.25">
      <c r="L803" s="41">
        <f>IF($C803="","",IF($I803="",ROUND(IFERROR($H803*VLOOKUP($F803,'설정 Settings'!$A$122:$F$130,4,0)+VLOOKUP($F803,'설정 Settings'!$A$122:$F$130,5,0),0),2),$I803))</f>
      </c>
      <c r="M803" s="41">
        <f>IF($C803="","",$H803-$L803)</f>
      </c>
      <c r="N803" s="42">
        <f>IF($C803="","",IF($I803="","추정 ESTIMATE","실제 ACTUAL"))</f>
      </c>
      <c r="O803" s="41">
        <f>IF($A803="","",SUMIFS('입금 Payments'!$C$3:$C$1002,'입금 Payments'!$B$3:$B$1002,$A803))</f>
      </c>
      <c r="P803" s="41">
        <f>IF($C803="","",ROUND($H803*(1+IF('설정 Settings'!$C$24="YES",'설정 Settings'!$C$26,0)),2)-N($O803))</f>
      </c>
      <c r="Q803" s="42">
        <f>IF($A803="","","INV-"&amp;$A803)</f>
      </c>
      <c r="R803" s="42">
        <f>IF($H803="","",IF($H803&gt;'설정 Settings'!$C$36,"$2,000 초과: e-Transfer 나눠 받기 (F36)",""))</f>
      </c>
    </row>
    <row r="804" spans="12:18" x14ac:dyDescent="0.25">
      <c r="L804" s="41">
        <f>IF($C804="","",IF($I804="",ROUND(IFERROR($H804*VLOOKUP($F804,'설정 Settings'!$A$122:$F$130,4,0)+VLOOKUP($F804,'설정 Settings'!$A$122:$F$130,5,0),0),2),$I804))</f>
      </c>
      <c r="M804" s="41">
        <f>IF($C804="","",$H804-$L804)</f>
      </c>
      <c r="N804" s="42">
        <f>IF($C804="","",IF($I804="","추정 ESTIMATE","실제 ACTUAL"))</f>
      </c>
      <c r="O804" s="41">
        <f>IF($A804="","",SUMIFS('입금 Payments'!$C$3:$C$1002,'입금 Payments'!$B$3:$B$1002,$A804))</f>
      </c>
      <c r="P804" s="41">
        <f>IF($C804="","",ROUND($H804*(1+IF('설정 Settings'!$C$24="YES",'설정 Settings'!$C$26,0)),2)-N($O804))</f>
      </c>
      <c r="Q804" s="42">
        <f>IF($A804="","","INV-"&amp;$A804)</f>
      </c>
      <c r="R804" s="42">
        <f>IF($H804="","",IF($H804&gt;'설정 Settings'!$C$36,"$2,000 초과: e-Transfer 나눠 받기 (F36)",""))</f>
      </c>
    </row>
    <row r="805" spans="12:18" x14ac:dyDescent="0.25">
      <c r="L805" s="41">
        <f>IF($C805="","",IF($I805="",ROUND(IFERROR($H805*VLOOKUP($F805,'설정 Settings'!$A$122:$F$130,4,0)+VLOOKUP($F805,'설정 Settings'!$A$122:$F$130,5,0),0),2),$I805))</f>
      </c>
      <c r="M805" s="41">
        <f>IF($C805="","",$H805-$L805)</f>
      </c>
      <c r="N805" s="42">
        <f>IF($C805="","",IF($I805="","추정 ESTIMATE","실제 ACTUAL"))</f>
      </c>
      <c r="O805" s="41">
        <f>IF($A805="","",SUMIFS('입금 Payments'!$C$3:$C$1002,'입금 Payments'!$B$3:$B$1002,$A805))</f>
      </c>
      <c r="P805" s="41">
        <f>IF($C805="","",ROUND($H805*(1+IF('설정 Settings'!$C$24="YES",'설정 Settings'!$C$26,0)),2)-N($O805))</f>
      </c>
      <c r="Q805" s="42">
        <f>IF($A805="","","INV-"&amp;$A805)</f>
      </c>
      <c r="R805" s="42">
        <f>IF($H805="","",IF($H805&gt;'설정 Settings'!$C$36,"$2,000 초과: e-Transfer 나눠 받기 (F36)",""))</f>
      </c>
    </row>
    <row r="806" spans="12:18" x14ac:dyDescent="0.25">
      <c r="L806" s="41">
        <f>IF($C806="","",IF($I806="",ROUND(IFERROR($H806*VLOOKUP($F806,'설정 Settings'!$A$122:$F$130,4,0)+VLOOKUP($F806,'설정 Settings'!$A$122:$F$130,5,0),0),2),$I806))</f>
      </c>
      <c r="M806" s="41">
        <f>IF($C806="","",$H806-$L806)</f>
      </c>
      <c r="N806" s="42">
        <f>IF($C806="","",IF($I806="","추정 ESTIMATE","실제 ACTUAL"))</f>
      </c>
      <c r="O806" s="41">
        <f>IF($A806="","",SUMIFS('입금 Payments'!$C$3:$C$1002,'입금 Payments'!$B$3:$B$1002,$A806))</f>
      </c>
      <c r="P806" s="41">
        <f>IF($C806="","",ROUND($H806*(1+IF('설정 Settings'!$C$24="YES",'설정 Settings'!$C$26,0)),2)-N($O806))</f>
      </c>
      <c r="Q806" s="42">
        <f>IF($A806="","","INV-"&amp;$A806)</f>
      </c>
      <c r="R806" s="42">
        <f>IF($H806="","",IF($H806&gt;'설정 Settings'!$C$36,"$2,000 초과: e-Transfer 나눠 받기 (F36)",""))</f>
      </c>
    </row>
    <row r="807" spans="12:18" x14ac:dyDescent="0.25">
      <c r="L807" s="41">
        <f>IF($C807="","",IF($I807="",ROUND(IFERROR($H807*VLOOKUP($F807,'설정 Settings'!$A$122:$F$130,4,0)+VLOOKUP($F807,'설정 Settings'!$A$122:$F$130,5,0),0),2),$I807))</f>
      </c>
      <c r="M807" s="41">
        <f>IF($C807="","",$H807-$L807)</f>
      </c>
      <c r="N807" s="42">
        <f>IF($C807="","",IF($I807="","추정 ESTIMATE","실제 ACTUAL"))</f>
      </c>
      <c r="O807" s="41">
        <f>IF($A807="","",SUMIFS('입금 Payments'!$C$3:$C$1002,'입금 Payments'!$B$3:$B$1002,$A807))</f>
      </c>
      <c r="P807" s="41">
        <f>IF($C807="","",ROUND($H807*(1+IF('설정 Settings'!$C$24="YES",'설정 Settings'!$C$26,0)),2)-N($O807))</f>
      </c>
      <c r="Q807" s="42">
        <f>IF($A807="","","INV-"&amp;$A807)</f>
      </c>
      <c r="R807" s="42">
        <f>IF($H807="","",IF($H807&gt;'설정 Settings'!$C$36,"$2,000 초과: e-Transfer 나눠 받기 (F36)",""))</f>
      </c>
    </row>
    <row r="808" spans="12:18" x14ac:dyDescent="0.25">
      <c r="L808" s="41">
        <f>IF($C808="","",IF($I808="",ROUND(IFERROR($H808*VLOOKUP($F808,'설정 Settings'!$A$122:$F$130,4,0)+VLOOKUP($F808,'설정 Settings'!$A$122:$F$130,5,0),0),2),$I808))</f>
      </c>
      <c r="M808" s="41">
        <f>IF($C808="","",$H808-$L808)</f>
      </c>
      <c r="N808" s="42">
        <f>IF($C808="","",IF($I808="","추정 ESTIMATE","실제 ACTUAL"))</f>
      </c>
      <c r="O808" s="41">
        <f>IF($A808="","",SUMIFS('입금 Payments'!$C$3:$C$1002,'입금 Payments'!$B$3:$B$1002,$A808))</f>
      </c>
      <c r="P808" s="41">
        <f>IF($C808="","",ROUND($H808*(1+IF('설정 Settings'!$C$24="YES",'설정 Settings'!$C$26,0)),2)-N($O808))</f>
      </c>
      <c r="Q808" s="42">
        <f>IF($A808="","","INV-"&amp;$A808)</f>
      </c>
      <c r="R808" s="42">
        <f>IF($H808="","",IF($H808&gt;'설정 Settings'!$C$36,"$2,000 초과: e-Transfer 나눠 받기 (F36)",""))</f>
      </c>
    </row>
    <row r="809" spans="12:18" x14ac:dyDescent="0.25">
      <c r="L809" s="41">
        <f>IF($C809="","",IF($I809="",ROUND(IFERROR($H809*VLOOKUP($F809,'설정 Settings'!$A$122:$F$130,4,0)+VLOOKUP($F809,'설정 Settings'!$A$122:$F$130,5,0),0),2),$I809))</f>
      </c>
      <c r="M809" s="41">
        <f>IF($C809="","",$H809-$L809)</f>
      </c>
      <c r="N809" s="42">
        <f>IF($C809="","",IF($I809="","추정 ESTIMATE","실제 ACTUAL"))</f>
      </c>
      <c r="O809" s="41">
        <f>IF($A809="","",SUMIFS('입금 Payments'!$C$3:$C$1002,'입금 Payments'!$B$3:$B$1002,$A809))</f>
      </c>
      <c r="P809" s="41">
        <f>IF($C809="","",ROUND($H809*(1+IF('설정 Settings'!$C$24="YES",'설정 Settings'!$C$26,0)),2)-N($O809))</f>
      </c>
      <c r="Q809" s="42">
        <f>IF($A809="","","INV-"&amp;$A809)</f>
      </c>
      <c r="R809" s="42">
        <f>IF($H809="","",IF($H809&gt;'설정 Settings'!$C$36,"$2,000 초과: e-Transfer 나눠 받기 (F36)",""))</f>
      </c>
    </row>
    <row r="810" spans="12:18" x14ac:dyDescent="0.25">
      <c r="L810" s="41">
        <f>IF($C810="","",IF($I810="",ROUND(IFERROR($H810*VLOOKUP($F810,'설정 Settings'!$A$122:$F$130,4,0)+VLOOKUP($F810,'설정 Settings'!$A$122:$F$130,5,0),0),2),$I810))</f>
      </c>
      <c r="M810" s="41">
        <f>IF($C810="","",$H810-$L810)</f>
      </c>
      <c r="N810" s="42">
        <f>IF($C810="","",IF($I810="","추정 ESTIMATE","실제 ACTUAL"))</f>
      </c>
      <c r="O810" s="41">
        <f>IF($A810="","",SUMIFS('입금 Payments'!$C$3:$C$1002,'입금 Payments'!$B$3:$B$1002,$A810))</f>
      </c>
      <c r="P810" s="41">
        <f>IF($C810="","",ROUND($H810*(1+IF('설정 Settings'!$C$24="YES",'설정 Settings'!$C$26,0)),2)-N($O810))</f>
      </c>
      <c r="Q810" s="42">
        <f>IF($A810="","","INV-"&amp;$A810)</f>
      </c>
      <c r="R810" s="42">
        <f>IF($H810="","",IF($H810&gt;'설정 Settings'!$C$36,"$2,000 초과: e-Transfer 나눠 받기 (F36)",""))</f>
      </c>
    </row>
    <row r="811" spans="12:18" x14ac:dyDescent="0.25">
      <c r="L811" s="41">
        <f>IF($C811="","",IF($I811="",ROUND(IFERROR($H811*VLOOKUP($F811,'설정 Settings'!$A$122:$F$130,4,0)+VLOOKUP($F811,'설정 Settings'!$A$122:$F$130,5,0),0),2),$I811))</f>
      </c>
      <c r="M811" s="41">
        <f>IF($C811="","",$H811-$L811)</f>
      </c>
      <c r="N811" s="42">
        <f>IF($C811="","",IF($I811="","추정 ESTIMATE","실제 ACTUAL"))</f>
      </c>
      <c r="O811" s="41">
        <f>IF($A811="","",SUMIFS('입금 Payments'!$C$3:$C$1002,'입금 Payments'!$B$3:$B$1002,$A811))</f>
      </c>
      <c r="P811" s="41">
        <f>IF($C811="","",ROUND($H811*(1+IF('설정 Settings'!$C$24="YES",'설정 Settings'!$C$26,0)),2)-N($O811))</f>
      </c>
      <c r="Q811" s="42">
        <f>IF($A811="","","INV-"&amp;$A811)</f>
      </c>
      <c r="R811" s="42">
        <f>IF($H811="","",IF($H811&gt;'설정 Settings'!$C$36,"$2,000 초과: e-Transfer 나눠 받기 (F36)",""))</f>
      </c>
    </row>
    <row r="812" spans="12:18" x14ac:dyDescent="0.25">
      <c r="L812" s="41">
        <f>IF($C812="","",IF($I812="",ROUND(IFERROR($H812*VLOOKUP($F812,'설정 Settings'!$A$122:$F$130,4,0)+VLOOKUP($F812,'설정 Settings'!$A$122:$F$130,5,0),0),2),$I812))</f>
      </c>
      <c r="M812" s="41">
        <f>IF($C812="","",$H812-$L812)</f>
      </c>
      <c r="N812" s="42">
        <f>IF($C812="","",IF($I812="","추정 ESTIMATE","실제 ACTUAL"))</f>
      </c>
      <c r="O812" s="41">
        <f>IF($A812="","",SUMIFS('입금 Payments'!$C$3:$C$1002,'입금 Payments'!$B$3:$B$1002,$A812))</f>
      </c>
      <c r="P812" s="41">
        <f>IF($C812="","",ROUND($H812*(1+IF('설정 Settings'!$C$24="YES",'설정 Settings'!$C$26,0)),2)-N($O812))</f>
      </c>
      <c r="Q812" s="42">
        <f>IF($A812="","","INV-"&amp;$A812)</f>
      </c>
      <c r="R812" s="42">
        <f>IF($H812="","",IF($H812&gt;'설정 Settings'!$C$36,"$2,000 초과: e-Transfer 나눠 받기 (F36)",""))</f>
      </c>
    </row>
    <row r="813" spans="12:18" x14ac:dyDescent="0.25">
      <c r="L813" s="41">
        <f>IF($C813="","",IF($I813="",ROUND(IFERROR($H813*VLOOKUP($F813,'설정 Settings'!$A$122:$F$130,4,0)+VLOOKUP($F813,'설정 Settings'!$A$122:$F$130,5,0),0),2),$I813))</f>
      </c>
      <c r="M813" s="41">
        <f>IF($C813="","",$H813-$L813)</f>
      </c>
      <c r="N813" s="42">
        <f>IF($C813="","",IF($I813="","추정 ESTIMATE","실제 ACTUAL"))</f>
      </c>
      <c r="O813" s="41">
        <f>IF($A813="","",SUMIFS('입금 Payments'!$C$3:$C$1002,'입금 Payments'!$B$3:$B$1002,$A813))</f>
      </c>
      <c r="P813" s="41">
        <f>IF($C813="","",ROUND($H813*(1+IF('설정 Settings'!$C$24="YES",'설정 Settings'!$C$26,0)),2)-N($O813))</f>
      </c>
      <c r="Q813" s="42">
        <f>IF($A813="","","INV-"&amp;$A813)</f>
      </c>
      <c r="R813" s="42">
        <f>IF($H813="","",IF($H813&gt;'설정 Settings'!$C$36,"$2,000 초과: e-Transfer 나눠 받기 (F36)",""))</f>
      </c>
    </row>
    <row r="814" spans="12:18" x14ac:dyDescent="0.25">
      <c r="L814" s="41">
        <f>IF($C814="","",IF($I814="",ROUND(IFERROR($H814*VLOOKUP($F814,'설정 Settings'!$A$122:$F$130,4,0)+VLOOKUP($F814,'설정 Settings'!$A$122:$F$130,5,0),0),2),$I814))</f>
      </c>
      <c r="M814" s="41">
        <f>IF($C814="","",$H814-$L814)</f>
      </c>
      <c r="N814" s="42">
        <f>IF($C814="","",IF($I814="","추정 ESTIMATE","실제 ACTUAL"))</f>
      </c>
      <c r="O814" s="41">
        <f>IF($A814="","",SUMIFS('입금 Payments'!$C$3:$C$1002,'입금 Payments'!$B$3:$B$1002,$A814))</f>
      </c>
      <c r="P814" s="41">
        <f>IF($C814="","",ROUND($H814*(1+IF('설정 Settings'!$C$24="YES",'설정 Settings'!$C$26,0)),2)-N($O814))</f>
      </c>
      <c r="Q814" s="42">
        <f>IF($A814="","","INV-"&amp;$A814)</f>
      </c>
      <c r="R814" s="42">
        <f>IF($H814="","",IF($H814&gt;'설정 Settings'!$C$36,"$2,000 초과: e-Transfer 나눠 받기 (F36)",""))</f>
      </c>
    </row>
    <row r="815" spans="12:18" x14ac:dyDescent="0.25">
      <c r="L815" s="41">
        <f>IF($C815="","",IF($I815="",ROUND(IFERROR($H815*VLOOKUP($F815,'설정 Settings'!$A$122:$F$130,4,0)+VLOOKUP($F815,'설정 Settings'!$A$122:$F$130,5,0),0),2),$I815))</f>
      </c>
      <c r="M815" s="41">
        <f>IF($C815="","",$H815-$L815)</f>
      </c>
      <c r="N815" s="42">
        <f>IF($C815="","",IF($I815="","추정 ESTIMATE","실제 ACTUAL"))</f>
      </c>
      <c r="O815" s="41">
        <f>IF($A815="","",SUMIFS('입금 Payments'!$C$3:$C$1002,'입금 Payments'!$B$3:$B$1002,$A815))</f>
      </c>
      <c r="P815" s="41">
        <f>IF($C815="","",ROUND($H815*(1+IF('설정 Settings'!$C$24="YES",'설정 Settings'!$C$26,0)),2)-N($O815))</f>
      </c>
      <c r="Q815" s="42">
        <f>IF($A815="","","INV-"&amp;$A815)</f>
      </c>
      <c r="R815" s="42">
        <f>IF($H815="","",IF($H815&gt;'설정 Settings'!$C$36,"$2,000 초과: e-Transfer 나눠 받기 (F36)",""))</f>
      </c>
    </row>
    <row r="816" spans="12:18" x14ac:dyDescent="0.25">
      <c r="L816" s="41">
        <f>IF($C816="","",IF($I816="",ROUND(IFERROR($H816*VLOOKUP($F816,'설정 Settings'!$A$122:$F$130,4,0)+VLOOKUP($F816,'설정 Settings'!$A$122:$F$130,5,0),0),2),$I816))</f>
      </c>
      <c r="M816" s="41">
        <f>IF($C816="","",$H816-$L816)</f>
      </c>
      <c r="N816" s="42">
        <f>IF($C816="","",IF($I816="","추정 ESTIMATE","실제 ACTUAL"))</f>
      </c>
      <c r="O816" s="41">
        <f>IF($A816="","",SUMIFS('입금 Payments'!$C$3:$C$1002,'입금 Payments'!$B$3:$B$1002,$A816))</f>
      </c>
      <c r="P816" s="41">
        <f>IF($C816="","",ROUND($H816*(1+IF('설정 Settings'!$C$24="YES",'설정 Settings'!$C$26,0)),2)-N($O816))</f>
      </c>
      <c r="Q816" s="42">
        <f>IF($A816="","","INV-"&amp;$A816)</f>
      </c>
      <c r="R816" s="42">
        <f>IF($H816="","",IF($H816&gt;'설정 Settings'!$C$36,"$2,000 초과: e-Transfer 나눠 받기 (F36)",""))</f>
      </c>
    </row>
    <row r="817" spans="12:18" x14ac:dyDescent="0.25">
      <c r="L817" s="41">
        <f>IF($C817="","",IF($I817="",ROUND(IFERROR($H817*VLOOKUP($F817,'설정 Settings'!$A$122:$F$130,4,0)+VLOOKUP($F817,'설정 Settings'!$A$122:$F$130,5,0),0),2),$I817))</f>
      </c>
      <c r="M817" s="41">
        <f>IF($C817="","",$H817-$L817)</f>
      </c>
      <c r="N817" s="42">
        <f>IF($C817="","",IF($I817="","추정 ESTIMATE","실제 ACTUAL"))</f>
      </c>
      <c r="O817" s="41">
        <f>IF($A817="","",SUMIFS('입금 Payments'!$C$3:$C$1002,'입금 Payments'!$B$3:$B$1002,$A817))</f>
      </c>
      <c r="P817" s="41">
        <f>IF($C817="","",ROUND($H817*(1+IF('설정 Settings'!$C$24="YES",'설정 Settings'!$C$26,0)),2)-N($O817))</f>
      </c>
      <c r="Q817" s="42">
        <f>IF($A817="","","INV-"&amp;$A817)</f>
      </c>
      <c r="R817" s="42">
        <f>IF($H817="","",IF($H817&gt;'설정 Settings'!$C$36,"$2,000 초과: e-Transfer 나눠 받기 (F36)",""))</f>
      </c>
    </row>
    <row r="818" spans="12:18" x14ac:dyDescent="0.25">
      <c r="L818" s="41">
        <f>IF($C818="","",IF($I818="",ROUND(IFERROR($H818*VLOOKUP($F818,'설정 Settings'!$A$122:$F$130,4,0)+VLOOKUP($F818,'설정 Settings'!$A$122:$F$130,5,0),0),2),$I818))</f>
      </c>
      <c r="M818" s="41">
        <f>IF($C818="","",$H818-$L818)</f>
      </c>
      <c r="N818" s="42">
        <f>IF($C818="","",IF($I818="","추정 ESTIMATE","실제 ACTUAL"))</f>
      </c>
      <c r="O818" s="41">
        <f>IF($A818="","",SUMIFS('입금 Payments'!$C$3:$C$1002,'입금 Payments'!$B$3:$B$1002,$A818))</f>
      </c>
      <c r="P818" s="41">
        <f>IF($C818="","",ROUND($H818*(1+IF('설정 Settings'!$C$24="YES",'설정 Settings'!$C$26,0)),2)-N($O818))</f>
      </c>
      <c r="Q818" s="42">
        <f>IF($A818="","","INV-"&amp;$A818)</f>
      </c>
      <c r="R818" s="42">
        <f>IF($H818="","",IF($H818&gt;'설정 Settings'!$C$36,"$2,000 초과: e-Transfer 나눠 받기 (F36)",""))</f>
      </c>
    </row>
    <row r="819" spans="12:18" x14ac:dyDescent="0.25">
      <c r="L819" s="41">
        <f>IF($C819="","",IF($I819="",ROUND(IFERROR($H819*VLOOKUP($F819,'설정 Settings'!$A$122:$F$130,4,0)+VLOOKUP($F819,'설정 Settings'!$A$122:$F$130,5,0),0),2),$I819))</f>
      </c>
      <c r="M819" s="41">
        <f>IF($C819="","",$H819-$L819)</f>
      </c>
      <c r="N819" s="42">
        <f>IF($C819="","",IF($I819="","추정 ESTIMATE","실제 ACTUAL"))</f>
      </c>
      <c r="O819" s="41">
        <f>IF($A819="","",SUMIFS('입금 Payments'!$C$3:$C$1002,'입금 Payments'!$B$3:$B$1002,$A819))</f>
      </c>
      <c r="P819" s="41">
        <f>IF($C819="","",ROUND($H819*(1+IF('설정 Settings'!$C$24="YES",'설정 Settings'!$C$26,0)),2)-N($O819))</f>
      </c>
      <c r="Q819" s="42">
        <f>IF($A819="","","INV-"&amp;$A819)</f>
      </c>
      <c r="R819" s="42">
        <f>IF($H819="","",IF($H819&gt;'설정 Settings'!$C$36,"$2,000 초과: e-Transfer 나눠 받기 (F36)",""))</f>
      </c>
    </row>
    <row r="820" spans="12:18" x14ac:dyDescent="0.25">
      <c r="L820" s="41">
        <f>IF($C820="","",IF($I820="",ROUND(IFERROR($H820*VLOOKUP($F820,'설정 Settings'!$A$122:$F$130,4,0)+VLOOKUP($F820,'설정 Settings'!$A$122:$F$130,5,0),0),2),$I820))</f>
      </c>
      <c r="M820" s="41">
        <f>IF($C820="","",$H820-$L820)</f>
      </c>
      <c r="N820" s="42">
        <f>IF($C820="","",IF($I820="","추정 ESTIMATE","실제 ACTUAL"))</f>
      </c>
      <c r="O820" s="41">
        <f>IF($A820="","",SUMIFS('입금 Payments'!$C$3:$C$1002,'입금 Payments'!$B$3:$B$1002,$A820))</f>
      </c>
      <c r="P820" s="41">
        <f>IF($C820="","",ROUND($H820*(1+IF('설정 Settings'!$C$24="YES",'설정 Settings'!$C$26,0)),2)-N($O820))</f>
      </c>
      <c r="Q820" s="42">
        <f>IF($A820="","","INV-"&amp;$A820)</f>
      </c>
      <c r="R820" s="42">
        <f>IF($H820="","",IF($H820&gt;'설정 Settings'!$C$36,"$2,000 초과: e-Transfer 나눠 받기 (F36)",""))</f>
      </c>
    </row>
    <row r="821" spans="12:18" x14ac:dyDescent="0.25">
      <c r="L821" s="41">
        <f>IF($C821="","",IF($I821="",ROUND(IFERROR($H821*VLOOKUP($F821,'설정 Settings'!$A$122:$F$130,4,0)+VLOOKUP($F821,'설정 Settings'!$A$122:$F$130,5,0),0),2),$I821))</f>
      </c>
      <c r="M821" s="41">
        <f>IF($C821="","",$H821-$L821)</f>
      </c>
      <c r="N821" s="42">
        <f>IF($C821="","",IF($I821="","추정 ESTIMATE","실제 ACTUAL"))</f>
      </c>
      <c r="O821" s="41">
        <f>IF($A821="","",SUMIFS('입금 Payments'!$C$3:$C$1002,'입금 Payments'!$B$3:$B$1002,$A821))</f>
      </c>
      <c r="P821" s="41">
        <f>IF($C821="","",ROUND($H821*(1+IF('설정 Settings'!$C$24="YES",'설정 Settings'!$C$26,0)),2)-N($O821))</f>
      </c>
      <c r="Q821" s="42">
        <f>IF($A821="","","INV-"&amp;$A821)</f>
      </c>
      <c r="R821" s="42">
        <f>IF($H821="","",IF($H821&gt;'설정 Settings'!$C$36,"$2,000 초과: e-Transfer 나눠 받기 (F36)",""))</f>
      </c>
    </row>
    <row r="822" spans="12:18" x14ac:dyDescent="0.25">
      <c r="L822" s="41">
        <f>IF($C822="","",IF($I822="",ROUND(IFERROR($H822*VLOOKUP($F822,'설정 Settings'!$A$122:$F$130,4,0)+VLOOKUP($F822,'설정 Settings'!$A$122:$F$130,5,0),0),2),$I822))</f>
      </c>
      <c r="M822" s="41">
        <f>IF($C822="","",$H822-$L822)</f>
      </c>
      <c r="N822" s="42">
        <f>IF($C822="","",IF($I822="","추정 ESTIMATE","실제 ACTUAL"))</f>
      </c>
      <c r="O822" s="41">
        <f>IF($A822="","",SUMIFS('입금 Payments'!$C$3:$C$1002,'입금 Payments'!$B$3:$B$1002,$A822))</f>
      </c>
      <c r="P822" s="41">
        <f>IF($C822="","",ROUND($H822*(1+IF('설정 Settings'!$C$24="YES",'설정 Settings'!$C$26,0)),2)-N($O822))</f>
      </c>
      <c r="Q822" s="42">
        <f>IF($A822="","","INV-"&amp;$A822)</f>
      </c>
      <c r="R822" s="42">
        <f>IF($H822="","",IF($H822&gt;'설정 Settings'!$C$36,"$2,000 초과: e-Transfer 나눠 받기 (F36)",""))</f>
      </c>
    </row>
    <row r="823" spans="12:18" x14ac:dyDescent="0.25">
      <c r="L823" s="41">
        <f>IF($C823="","",IF($I823="",ROUND(IFERROR($H823*VLOOKUP($F823,'설정 Settings'!$A$122:$F$130,4,0)+VLOOKUP($F823,'설정 Settings'!$A$122:$F$130,5,0),0),2),$I823))</f>
      </c>
      <c r="M823" s="41">
        <f>IF($C823="","",$H823-$L823)</f>
      </c>
      <c r="N823" s="42">
        <f>IF($C823="","",IF($I823="","추정 ESTIMATE","실제 ACTUAL"))</f>
      </c>
      <c r="O823" s="41">
        <f>IF($A823="","",SUMIFS('입금 Payments'!$C$3:$C$1002,'입금 Payments'!$B$3:$B$1002,$A823))</f>
      </c>
      <c r="P823" s="41">
        <f>IF($C823="","",ROUND($H823*(1+IF('설정 Settings'!$C$24="YES",'설정 Settings'!$C$26,0)),2)-N($O823))</f>
      </c>
      <c r="Q823" s="42">
        <f>IF($A823="","","INV-"&amp;$A823)</f>
      </c>
      <c r="R823" s="42">
        <f>IF($H823="","",IF($H823&gt;'설정 Settings'!$C$36,"$2,000 초과: e-Transfer 나눠 받기 (F36)",""))</f>
      </c>
    </row>
    <row r="824" spans="12:18" x14ac:dyDescent="0.25">
      <c r="L824" s="41">
        <f>IF($C824="","",IF($I824="",ROUND(IFERROR($H824*VLOOKUP($F824,'설정 Settings'!$A$122:$F$130,4,0)+VLOOKUP($F824,'설정 Settings'!$A$122:$F$130,5,0),0),2),$I824))</f>
      </c>
      <c r="M824" s="41">
        <f>IF($C824="","",$H824-$L824)</f>
      </c>
      <c r="N824" s="42">
        <f>IF($C824="","",IF($I824="","추정 ESTIMATE","실제 ACTUAL"))</f>
      </c>
      <c r="O824" s="41">
        <f>IF($A824="","",SUMIFS('입금 Payments'!$C$3:$C$1002,'입금 Payments'!$B$3:$B$1002,$A824))</f>
      </c>
      <c r="P824" s="41">
        <f>IF($C824="","",ROUND($H824*(1+IF('설정 Settings'!$C$24="YES",'설정 Settings'!$C$26,0)),2)-N($O824))</f>
      </c>
      <c r="Q824" s="42">
        <f>IF($A824="","","INV-"&amp;$A824)</f>
      </c>
      <c r="R824" s="42">
        <f>IF($H824="","",IF($H824&gt;'설정 Settings'!$C$36,"$2,000 초과: e-Transfer 나눠 받기 (F36)",""))</f>
      </c>
    </row>
    <row r="825" spans="12:18" x14ac:dyDescent="0.25">
      <c r="L825" s="41">
        <f>IF($C825="","",IF($I825="",ROUND(IFERROR($H825*VLOOKUP($F825,'설정 Settings'!$A$122:$F$130,4,0)+VLOOKUP($F825,'설정 Settings'!$A$122:$F$130,5,0),0),2),$I825))</f>
      </c>
      <c r="M825" s="41">
        <f>IF($C825="","",$H825-$L825)</f>
      </c>
      <c r="N825" s="42">
        <f>IF($C825="","",IF($I825="","추정 ESTIMATE","실제 ACTUAL"))</f>
      </c>
      <c r="O825" s="41">
        <f>IF($A825="","",SUMIFS('입금 Payments'!$C$3:$C$1002,'입금 Payments'!$B$3:$B$1002,$A825))</f>
      </c>
      <c r="P825" s="41">
        <f>IF($C825="","",ROUND($H825*(1+IF('설정 Settings'!$C$24="YES",'설정 Settings'!$C$26,0)),2)-N($O825))</f>
      </c>
      <c r="Q825" s="42">
        <f>IF($A825="","","INV-"&amp;$A825)</f>
      </c>
      <c r="R825" s="42">
        <f>IF($H825="","",IF($H825&gt;'설정 Settings'!$C$36,"$2,000 초과: e-Transfer 나눠 받기 (F36)",""))</f>
      </c>
    </row>
    <row r="826" spans="12:18" x14ac:dyDescent="0.25">
      <c r="L826" s="41">
        <f>IF($C826="","",IF($I826="",ROUND(IFERROR($H826*VLOOKUP($F826,'설정 Settings'!$A$122:$F$130,4,0)+VLOOKUP($F826,'설정 Settings'!$A$122:$F$130,5,0),0),2),$I826))</f>
      </c>
      <c r="M826" s="41">
        <f>IF($C826="","",$H826-$L826)</f>
      </c>
      <c r="N826" s="42">
        <f>IF($C826="","",IF($I826="","추정 ESTIMATE","실제 ACTUAL"))</f>
      </c>
      <c r="O826" s="41">
        <f>IF($A826="","",SUMIFS('입금 Payments'!$C$3:$C$1002,'입금 Payments'!$B$3:$B$1002,$A826))</f>
      </c>
      <c r="P826" s="41">
        <f>IF($C826="","",ROUND($H826*(1+IF('설정 Settings'!$C$24="YES",'설정 Settings'!$C$26,0)),2)-N($O826))</f>
      </c>
      <c r="Q826" s="42">
        <f>IF($A826="","","INV-"&amp;$A826)</f>
      </c>
      <c r="R826" s="42">
        <f>IF($H826="","",IF($H826&gt;'설정 Settings'!$C$36,"$2,000 초과: e-Transfer 나눠 받기 (F36)",""))</f>
      </c>
    </row>
    <row r="827" spans="12:18" x14ac:dyDescent="0.25">
      <c r="L827" s="41">
        <f>IF($C827="","",IF($I827="",ROUND(IFERROR($H827*VLOOKUP($F827,'설정 Settings'!$A$122:$F$130,4,0)+VLOOKUP($F827,'설정 Settings'!$A$122:$F$130,5,0),0),2),$I827))</f>
      </c>
      <c r="M827" s="41">
        <f>IF($C827="","",$H827-$L827)</f>
      </c>
      <c r="N827" s="42">
        <f>IF($C827="","",IF($I827="","추정 ESTIMATE","실제 ACTUAL"))</f>
      </c>
      <c r="O827" s="41">
        <f>IF($A827="","",SUMIFS('입금 Payments'!$C$3:$C$1002,'입금 Payments'!$B$3:$B$1002,$A827))</f>
      </c>
      <c r="P827" s="41">
        <f>IF($C827="","",ROUND($H827*(1+IF('설정 Settings'!$C$24="YES",'설정 Settings'!$C$26,0)),2)-N($O827))</f>
      </c>
      <c r="Q827" s="42">
        <f>IF($A827="","","INV-"&amp;$A827)</f>
      </c>
      <c r="R827" s="42">
        <f>IF($H827="","",IF($H827&gt;'설정 Settings'!$C$36,"$2,000 초과: e-Transfer 나눠 받기 (F36)",""))</f>
      </c>
    </row>
    <row r="828" spans="12:18" x14ac:dyDescent="0.25">
      <c r="L828" s="41">
        <f>IF($C828="","",IF($I828="",ROUND(IFERROR($H828*VLOOKUP($F828,'설정 Settings'!$A$122:$F$130,4,0)+VLOOKUP($F828,'설정 Settings'!$A$122:$F$130,5,0),0),2),$I828))</f>
      </c>
      <c r="M828" s="41">
        <f>IF($C828="","",$H828-$L828)</f>
      </c>
      <c r="N828" s="42">
        <f>IF($C828="","",IF($I828="","추정 ESTIMATE","실제 ACTUAL"))</f>
      </c>
      <c r="O828" s="41">
        <f>IF($A828="","",SUMIFS('입금 Payments'!$C$3:$C$1002,'입금 Payments'!$B$3:$B$1002,$A828))</f>
      </c>
      <c r="P828" s="41">
        <f>IF($C828="","",ROUND($H828*(1+IF('설정 Settings'!$C$24="YES",'설정 Settings'!$C$26,0)),2)-N($O828))</f>
      </c>
      <c r="Q828" s="42">
        <f>IF($A828="","","INV-"&amp;$A828)</f>
      </c>
      <c r="R828" s="42">
        <f>IF($H828="","",IF($H828&gt;'설정 Settings'!$C$36,"$2,000 초과: e-Transfer 나눠 받기 (F36)",""))</f>
      </c>
    </row>
    <row r="829" spans="12:18" x14ac:dyDescent="0.25">
      <c r="L829" s="41">
        <f>IF($C829="","",IF($I829="",ROUND(IFERROR($H829*VLOOKUP($F829,'설정 Settings'!$A$122:$F$130,4,0)+VLOOKUP($F829,'설정 Settings'!$A$122:$F$130,5,0),0),2),$I829))</f>
      </c>
      <c r="M829" s="41">
        <f>IF($C829="","",$H829-$L829)</f>
      </c>
      <c r="N829" s="42">
        <f>IF($C829="","",IF($I829="","추정 ESTIMATE","실제 ACTUAL"))</f>
      </c>
      <c r="O829" s="41">
        <f>IF($A829="","",SUMIFS('입금 Payments'!$C$3:$C$1002,'입금 Payments'!$B$3:$B$1002,$A829))</f>
      </c>
      <c r="P829" s="41">
        <f>IF($C829="","",ROUND($H829*(1+IF('설정 Settings'!$C$24="YES",'설정 Settings'!$C$26,0)),2)-N($O829))</f>
      </c>
      <c r="Q829" s="42">
        <f>IF($A829="","","INV-"&amp;$A829)</f>
      </c>
      <c r="R829" s="42">
        <f>IF($H829="","",IF($H829&gt;'설정 Settings'!$C$36,"$2,000 초과: e-Transfer 나눠 받기 (F36)",""))</f>
      </c>
    </row>
    <row r="830" spans="12:18" x14ac:dyDescent="0.25">
      <c r="L830" s="41">
        <f>IF($C830="","",IF($I830="",ROUND(IFERROR($H830*VLOOKUP($F830,'설정 Settings'!$A$122:$F$130,4,0)+VLOOKUP($F830,'설정 Settings'!$A$122:$F$130,5,0),0),2),$I830))</f>
      </c>
      <c r="M830" s="41">
        <f>IF($C830="","",$H830-$L830)</f>
      </c>
      <c r="N830" s="42">
        <f>IF($C830="","",IF($I830="","추정 ESTIMATE","실제 ACTUAL"))</f>
      </c>
      <c r="O830" s="41">
        <f>IF($A830="","",SUMIFS('입금 Payments'!$C$3:$C$1002,'입금 Payments'!$B$3:$B$1002,$A830))</f>
      </c>
      <c r="P830" s="41">
        <f>IF($C830="","",ROUND($H830*(1+IF('설정 Settings'!$C$24="YES",'설정 Settings'!$C$26,0)),2)-N($O830))</f>
      </c>
      <c r="Q830" s="42">
        <f>IF($A830="","","INV-"&amp;$A830)</f>
      </c>
      <c r="R830" s="42">
        <f>IF($H830="","",IF($H830&gt;'설정 Settings'!$C$36,"$2,000 초과: e-Transfer 나눠 받기 (F36)",""))</f>
      </c>
    </row>
    <row r="831" spans="12:18" x14ac:dyDescent="0.25">
      <c r="L831" s="41">
        <f>IF($C831="","",IF($I831="",ROUND(IFERROR($H831*VLOOKUP($F831,'설정 Settings'!$A$122:$F$130,4,0)+VLOOKUP($F831,'설정 Settings'!$A$122:$F$130,5,0),0),2),$I831))</f>
      </c>
      <c r="M831" s="41">
        <f>IF($C831="","",$H831-$L831)</f>
      </c>
      <c r="N831" s="42">
        <f>IF($C831="","",IF($I831="","추정 ESTIMATE","실제 ACTUAL"))</f>
      </c>
      <c r="O831" s="41">
        <f>IF($A831="","",SUMIFS('입금 Payments'!$C$3:$C$1002,'입금 Payments'!$B$3:$B$1002,$A831))</f>
      </c>
      <c r="P831" s="41">
        <f>IF($C831="","",ROUND($H831*(1+IF('설정 Settings'!$C$24="YES",'설정 Settings'!$C$26,0)),2)-N($O831))</f>
      </c>
      <c r="Q831" s="42">
        <f>IF($A831="","","INV-"&amp;$A831)</f>
      </c>
      <c r="R831" s="42">
        <f>IF($H831="","",IF($H831&gt;'설정 Settings'!$C$36,"$2,000 초과: e-Transfer 나눠 받기 (F36)",""))</f>
      </c>
    </row>
    <row r="832" spans="12:18" x14ac:dyDescent="0.25">
      <c r="L832" s="41">
        <f>IF($C832="","",IF($I832="",ROUND(IFERROR($H832*VLOOKUP($F832,'설정 Settings'!$A$122:$F$130,4,0)+VLOOKUP($F832,'설정 Settings'!$A$122:$F$130,5,0),0),2),$I832))</f>
      </c>
      <c r="M832" s="41">
        <f>IF($C832="","",$H832-$L832)</f>
      </c>
      <c r="N832" s="42">
        <f>IF($C832="","",IF($I832="","추정 ESTIMATE","실제 ACTUAL"))</f>
      </c>
      <c r="O832" s="41">
        <f>IF($A832="","",SUMIFS('입금 Payments'!$C$3:$C$1002,'입금 Payments'!$B$3:$B$1002,$A832))</f>
      </c>
      <c r="P832" s="41">
        <f>IF($C832="","",ROUND($H832*(1+IF('설정 Settings'!$C$24="YES",'설정 Settings'!$C$26,0)),2)-N($O832))</f>
      </c>
      <c r="Q832" s="42">
        <f>IF($A832="","","INV-"&amp;$A832)</f>
      </c>
      <c r="R832" s="42">
        <f>IF($H832="","",IF($H832&gt;'설정 Settings'!$C$36,"$2,000 초과: e-Transfer 나눠 받기 (F36)",""))</f>
      </c>
    </row>
    <row r="833" spans="12:18" x14ac:dyDescent="0.25">
      <c r="L833" s="41">
        <f>IF($C833="","",IF($I833="",ROUND(IFERROR($H833*VLOOKUP($F833,'설정 Settings'!$A$122:$F$130,4,0)+VLOOKUP($F833,'설정 Settings'!$A$122:$F$130,5,0),0),2),$I833))</f>
      </c>
      <c r="M833" s="41">
        <f>IF($C833="","",$H833-$L833)</f>
      </c>
      <c r="N833" s="42">
        <f>IF($C833="","",IF($I833="","추정 ESTIMATE","실제 ACTUAL"))</f>
      </c>
      <c r="O833" s="41">
        <f>IF($A833="","",SUMIFS('입금 Payments'!$C$3:$C$1002,'입금 Payments'!$B$3:$B$1002,$A833))</f>
      </c>
      <c r="P833" s="41">
        <f>IF($C833="","",ROUND($H833*(1+IF('설정 Settings'!$C$24="YES",'설정 Settings'!$C$26,0)),2)-N($O833))</f>
      </c>
      <c r="Q833" s="42">
        <f>IF($A833="","","INV-"&amp;$A833)</f>
      </c>
      <c r="R833" s="42">
        <f>IF($H833="","",IF($H833&gt;'설정 Settings'!$C$36,"$2,000 초과: e-Transfer 나눠 받기 (F36)",""))</f>
      </c>
    </row>
    <row r="834" spans="12:18" x14ac:dyDescent="0.25">
      <c r="L834" s="41">
        <f>IF($C834="","",IF($I834="",ROUND(IFERROR($H834*VLOOKUP($F834,'설정 Settings'!$A$122:$F$130,4,0)+VLOOKUP($F834,'설정 Settings'!$A$122:$F$130,5,0),0),2),$I834))</f>
      </c>
      <c r="M834" s="41">
        <f>IF($C834="","",$H834-$L834)</f>
      </c>
      <c r="N834" s="42">
        <f>IF($C834="","",IF($I834="","추정 ESTIMATE","실제 ACTUAL"))</f>
      </c>
      <c r="O834" s="41">
        <f>IF($A834="","",SUMIFS('입금 Payments'!$C$3:$C$1002,'입금 Payments'!$B$3:$B$1002,$A834))</f>
      </c>
      <c r="P834" s="41">
        <f>IF($C834="","",ROUND($H834*(1+IF('설정 Settings'!$C$24="YES",'설정 Settings'!$C$26,0)),2)-N($O834))</f>
      </c>
      <c r="Q834" s="42">
        <f>IF($A834="","","INV-"&amp;$A834)</f>
      </c>
      <c r="R834" s="42">
        <f>IF($H834="","",IF($H834&gt;'설정 Settings'!$C$36,"$2,000 초과: e-Transfer 나눠 받기 (F36)",""))</f>
      </c>
    </row>
    <row r="835" spans="12:18" x14ac:dyDescent="0.25">
      <c r="L835" s="41">
        <f>IF($C835="","",IF($I835="",ROUND(IFERROR($H835*VLOOKUP($F835,'설정 Settings'!$A$122:$F$130,4,0)+VLOOKUP($F835,'설정 Settings'!$A$122:$F$130,5,0),0),2),$I835))</f>
      </c>
      <c r="M835" s="41">
        <f>IF($C835="","",$H835-$L835)</f>
      </c>
      <c r="N835" s="42">
        <f>IF($C835="","",IF($I835="","추정 ESTIMATE","실제 ACTUAL"))</f>
      </c>
      <c r="O835" s="41">
        <f>IF($A835="","",SUMIFS('입금 Payments'!$C$3:$C$1002,'입금 Payments'!$B$3:$B$1002,$A835))</f>
      </c>
      <c r="P835" s="41">
        <f>IF($C835="","",ROUND($H835*(1+IF('설정 Settings'!$C$24="YES",'설정 Settings'!$C$26,0)),2)-N($O835))</f>
      </c>
      <c r="Q835" s="42">
        <f>IF($A835="","","INV-"&amp;$A835)</f>
      </c>
      <c r="R835" s="42">
        <f>IF($H835="","",IF($H835&gt;'설정 Settings'!$C$36,"$2,000 초과: e-Transfer 나눠 받기 (F36)",""))</f>
      </c>
    </row>
    <row r="836" spans="12:18" x14ac:dyDescent="0.25">
      <c r="L836" s="41">
        <f>IF($C836="","",IF($I836="",ROUND(IFERROR($H836*VLOOKUP($F836,'설정 Settings'!$A$122:$F$130,4,0)+VLOOKUP($F836,'설정 Settings'!$A$122:$F$130,5,0),0),2),$I836))</f>
      </c>
      <c r="M836" s="41">
        <f>IF($C836="","",$H836-$L836)</f>
      </c>
      <c r="N836" s="42">
        <f>IF($C836="","",IF($I836="","추정 ESTIMATE","실제 ACTUAL"))</f>
      </c>
      <c r="O836" s="41">
        <f>IF($A836="","",SUMIFS('입금 Payments'!$C$3:$C$1002,'입금 Payments'!$B$3:$B$1002,$A836))</f>
      </c>
      <c r="P836" s="41">
        <f>IF($C836="","",ROUND($H836*(1+IF('설정 Settings'!$C$24="YES",'설정 Settings'!$C$26,0)),2)-N($O836))</f>
      </c>
      <c r="Q836" s="42">
        <f>IF($A836="","","INV-"&amp;$A836)</f>
      </c>
      <c r="R836" s="42">
        <f>IF($H836="","",IF($H836&gt;'설정 Settings'!$C$36,"$2,000 초과: e-Transfer 나눠 받기 (F36)",""))</f>
      </c>
    </row>
    <row r="837" spans="12:18" x14ac:dyDescent="0.25">
      <c r="L837" s="41">
        <f>IF($C837="","",IF($I837="",ROUND(IFERROR($H837*VLOOKUP($F837,'설정 Settings'!$A$122:$F$130,4,0)+VLOOKUP($F837,'설정 Settings'!$A$122:$F$130,5,0),0),2),$I837))</f>
      </c>
      <c r="M837" s="41">
        <f>IF($C837="","",$H837-$L837)</f>
      </c>
      <c r="N837" s="42">
        <f>IF($C837="","",IF($I837="","추정 ESTIMATE","실제 ACTUAL"))</f>
      </c>
      <c r="O837" s="41">
        <f>IF($A837="","",SUMIFS('입금 Payments'!$C$3:$C$1002,'입금 Payments'!$B$3:$B$1002,$A837))</f>
      </c>
      <c r="P837" s="41">
        <f>IF($C837="","",ROUND($H837*(1+IF('설정 Settings'!$C$24="YES",'설정 Settings'!$C$26,0)),2)-N($O837))</f>
      </c>
      <c r="Q837" s="42">
        <f>IF($A837="","","INV-"&amp;$A837)</f>
      </c>
      <c r="R837" s="42">
        <f>IF($H837="","",IF($H837&gt;'설정 Settings'!$C$36,"$2,000 초과: e-Transfer 나눠 받기 (F36)",""))</f>
      </c>
    </row>
    <row r="838" spans="12:18" x14ac:dyDescent="0.25">
      <c r="L838" s="41">
        <f>IF($C838="","",IF($I838="",ROUND(IFERROR($H838*VLOOKUP($F838,'설정 Settings'!$A$122:$F$130,4,0)+VLOOKUP($F838,'설정 Settings'!$A$122:$F$130,5,0),0),2),$I838))</f>
      </c>
      <c r="M838" s="41">
        <f>IF($C838="","",$H838-$L838)</f>
      </c>
      <c r="N838" s="42">
        <f>IF($C838="","",IF($I838="","추정 ESTIMATE","실제 ACTUAL"))</f>
      </c>
      <c r="O838" s="41">
        <f>IF($A838="","",SUMIFS('입금 Payments'!$C$3:$C$1002,'입금 Payments'!$B$3:$B$1002,$A838))</f>
      </c>
      <c r="P838" s="41">
        <f>IF($C838="","",ROUND($H838*(1+IF('설정 Settings'!$C$24="YES",'설정 Settings'!$C$26,0)),2)-N($O838))</f>
      </c>
      <c r="Q838" s="42">
        <f>IF($A838="","","INV-"&amp;$A838)</f>
      </c>
      <c r="R838" s="42">
        <f>IF($H838="","",IF($H838&gt;'설정 Settings'!$C$36,"$2,000 초과: e-Transfer 나눠 받기 (F36)",""))</f>
      </c>
    </row>
    <row r="839" spans="12:18" x14ac:dyDescent="0.25">
      <c r="L839" s="41">
        <f>IF($C839="","",IF($I839="",ROUND(IFERROR($H839*VLOOKUP($F839,'설정 Settings'!$A$122:$F$130,4,0)+VLOOKUP($F839,'설정 Settings'!$A$122:$F$130,5,0),0),2),$I839))</f>
      </c>
      <c r="M839" s="41">
        <f>IF($C839="","",$H839-$L839)</f>
      </c>
      <c r="N839" s="42">
        <f>IF($C839="","",IF($I839="","추정 ESTIMATE","실제 ACTUAL"))</f>
      </c>
      <c r="O839" s="41">
        <f>IF($A839="","",SUMIFS('입금 Payments'!$C$3:$C$1002,'입금 Payments'!$B$3:$B$1002,$A839))</f>
      </c>
      <c r="P839" s="41">
        <f>IF($C839="","",ROUND($H839*(1+IF('설정 Settings'!$C$24="YES",'설정 Settings'!$C$26,0)),2)-N($O839))</f>
      </c>
      <c r="Q839" s="42">
        <f>IF($A839="","","INV-"&amp;$A839)</f>
      </c>
      <c r="R839" s="42">
        <f>IF($H839="","",IF($H839&gt;'설정 Settings'!$C$36,"$2,000 초과: e-Transfer 나눠 받기 (F36)",""))</f>
      </c>
    </row>
    <row r="840" spans="12:18" x14ac:dyDescent="0.25">
      <c r="L840" s="41">
        <f>IF($C840="","",IF($I840="",ROUND(IFERROR($H840*VLOOKUP($F840,'설정 Settings'!$A$122:$F$130,4,0)+VLOOKUP($F840,'설정 Settings'!$A$122:$F$130,5,0),0),2),$I840))</f>
      </c>
      <c r="M840" s="41">
        <f>IF($C840="","",$H840-$L840)</f>
      </c>
      <c r="N840" s="42">
        <f>IF($C840="","",IF($I840="","추정 ESTIMATE","실제 ACTUAL"))</f>
      </c>
      <c r="O840" s="41">
        <f>IF($A840="","",SUMIFS('입금 Payments'!$C$3:$C$1002,'입금 Payments'!$B$3:$B$1002,$A840))</f>
      </c>
      <c r="P840" s="41">
        <f>IF($C840="","",ROUND($H840*(1+IF('설정 Settings'!$C$24="YES",'설정 Settings'!$C$26,0)),2)-N($O840))</f>
      </c>
      <c r="Q840" s="42">
        <f>IF($A840="","","INV-"&amp;$A840)</f>
      </c>
      <c r="R840" s="42">
        <f>IF($H840="","",IF($H840&gt;'설정 Settings'!$C$36,"$2,000 초과: e-Transfer 나눠 받기 (F36)",""))</f>
      </c>
    </row>
    <row r="841" spans="12:18" x14ac:dyDescent="0.25">
      <c r="L841" s="41">
        <f>IF($C841="","",IF($I841="",ROUND(IFERROR($H841*VLOOKUP($F841,'설정 Settings'!$A$122:$F$130,4,0)+VLOOKUP($F841,'설정 Settings'!$A$122:$F$130,5,0),0),2),$I841))</f>
      </c>
      <c r="M841" s="41">
        <f>IF($C841="","",$H841-$L841)</f>
      </c>
      <c r="N841" s="42">
        <f>IF($C841="","",IF($I841="","추정 ESTIMATE","실제 ACTUAL"))</f>
      </c>
      <c r="O841" s="41">
        <f>IF($A841="","",SUMIFS('입금 Payments'!$C$3:$C$1002,'입금 Payments'!$B$3:$B$1002,$A841))</f>
      </c>
      <c r="P841" s="41">
        <f>IF($C841="","",ROUND($H841*(1+IF('설정 Settings'!$C$24="YES",'설정 Settings'!$C$26,0)),2)-N($O841))</f>
      </c>
      <c r="Q841" s="42">
        <f>IF($A841="","","INV-"&amp;$A841)</f>
      </c>
      <c r="R841" s="42">
        <f>IF($H841="","",IF($H841&gt;'설정 Settings'!$C$36,"$2,000 초과: e-Transfer 나눠 받기 (F36)",""))</f>
      </c>
    </row>
    <row r="842" spans="12:18" x14ac:dyDescent="0.25">
      <c r="L842" s="41">
        <f>IF($C842="","",IF($I842="",ROUND(IFERROR($H842*VLOOKUP($F842,'설정 Settings'!$A$122:$F$130,4,0)+VLOOKUP($F842,'설정 Settings'!$A$122:$F$130,5,0),0),2),$I842))</f>
      </c>
      <c r="M842" s="41">
        <f>IF($C842="","",$H842-$L842)</f>
      </c>
      <c r="N842" s="42">
        <f>IF($C842="","",IF($I842="","추정 ESTIMATE","실제 ACTUAL"))</f>
      </c>
      <c r="O842" s="41">
        <f>IF($A842="","",SUMIFS('입금 Payments'!$C$3:$C$1002,'입금 Payments'!$B$3:$B$1002,$A842))</f>
      </c>
      <c r="P842" s="41">
        <f>IF($C842="","",ROUND($H842*(1+IF('설정 Settings'!$C$24="YES",'설정 Settings'!$C$26,0)),2)-N($O842))</f>
      </c>
      <c r="Q842" s="42">
        <f>IF($A842="","","INV-"&amp;$A842)</f>
      </c>
      <c r="R842" s="42">
        <f>IF($H842="","",IF($H842&gt;'설정 Settings'!$C$36,"$2,000 초과: e-Transfer 나눠 받기 (F36)",""))</f>
      </c>
    </row>
    <row r="843" spans="12:18" x14ac:dyDescent="0.25">
      <c r="L843" s="41">
        <f>IF($C843="","",IF($I843="",ROUND(IFERROR($H843*VLOOKUP($F843,'설정 Settings'!$A$122:$F$130,4,0)+VLOOKUP($F843,'설정 Settings'!$A$122:$F$130,5,0),0),2),$I843))</f>
      </c>
      <c r="M843" s="41">
        <f>IF($C843="","",$H843-$L843)</f>
      </c>
      <c r="N843" s="42">
        <f>IF($C843="","",IF($I843="","추정 ESTIMATE","실제 ACTUAL"))</f>
      </c>
      <c r="O843" s="41">
        <f>IF($A843="","",SUMIFS('입금 Payments'!$C$3:$C$1002,'입금 Payments'!$B$3:$B$1002,$A843))</f>
      </c>
      <c r="P843" s="41">
        <f>IF($C843="","",ROUND($H843*(1+IF('설정 Settings'!$C$24="YES",'설정 Settings'!$C$26,0)),2)-N($O843))</f>
      </c>
      <c r="Q843" s="42">
        <f>IF($A843="","","INV-"&amp;$A843)</f>
      </c>
      <c r="R843" s="42">
        <f>IF($H843="","",IF($H843&gt;'설정 Settings'!$C$36,"$2,000 초과: e-Transfer 나눠 받기 (F36)",""))</f>
      </c>
    </row>
    <row r="844" spans="12:18" x14ac:dyDescent="0.25">
      <c r="L844" s="41">
        <f>IF($C844="","",IF($I844="",ROUND(IFERROR($H844*VLOOKUP($F844,'설정 Settings'!$A$122:$F$130,4,0)+VLOOKUP($F844,'설정 Settings'!$A$122:$F$130,5,0),0),2),$I844))</f>
      </c>
      <c r="M844" s="41">
        <f>IF($C844="","",$H844-$L844)</f>
      </c>
      <c r="N844" s="42">
        <f>IF($C844="","",IF($I844="","추정 ESTIMATE","실제 ACTUAL"))</f>
      </c>
      <c r="O844" s="41">
        <f>IF($A844="","",SUMIFS('입금 Payments'!$C$3:$C$1002,'입금 Payments'!$B$3:$B$1002,$A844))</f>
      </c>
      <c r="P844" s="41">
        <f>IF($C844="","",ROUND($H844*(1+IF('설정 Settings'!$C$24="YES",'설정 Settings'!$C$26,0)),2)-N($O844))</f>
      </c>
      <c r="Q844" s="42">
        <f>IF($A844="","","INV-"&amp;$A844)</f>
      </c>
      <c r="R844" s="42">
        <f>IF($H844="","",IF($H844&gt;'설정 Settings'!$C$36,"$2,000 초과: e-Transfer 나눠 받기 (F36)",""))</f>
      </c>
    </row>
    <row r="845" spans="12:18" x14ac:dyDescent="0.25">
      <c r="L845" s="41">
        <f>IF($C845="","",IF($I845="",ROUND(IFERROR($H845*VLOOKUP($F845,'설정 Settings'!$A$122:$F$130,4,0)+VLOOKUP($F845,'설정 Settings'!$A$122:$F$130,5,0),0),2),$I845))</f>
      </c>
      <c r="M845" s="41">
        <f>IF($C845="","",$H845-$L845)</f>
      </c>
      <c r="N845" s="42">
        <f>IF($C845="","",IF($I845="","추정 ESTIMATE","실제 ACTUAL"))</f>
      </c>
      <c r="O845" s="41">
        <f>IF($A845="","",SUMIFS('입금 Payments'!$C$3:$C$1002,'입금 Payments'!$B$3:$B$1002,$A845))</f>
      </c>
      <c r="P845" s="41">
        <f>IF($C845="","",ROUND($H845*(1+IF('설정 Settings'!$C$24="YES",'설정 Settings'!$C$26,0)),2)-N($O845))</f>
      </c>
      <c r="Q845" s="42">
        <f>IF($A845="","","INV-"&amp;$A845)</f>
      </c>
      <c r="R845" s="42">
        <f>IF($H845="","",IF($H845&gt;'설정 Settings'!$C$36,"$2,000 초과: e-Transfer 나눠 받기 (F36)",""))</f>
      </c>
    </row>
    <row r="846" spans="12:18" x14ac:dyDescent="0.25">
      <c r="L846" s="41">
        <f>IF($C846="","",IF($I846="",ROUND(IFERROR($H846*VLOOKUP($F846,'설정 Settings'!$A$122:$F$130,4,0)+VLOOKUP($F846,'설정 Settings'!$A$122:$F$130,5,0),0),2),$I846))</f>
      </c>
      <c r="M846" s="41">
        <f>IF($C846="","",$H846-$L846)</f>
      </c>
      <c r="N846" s="42">
        <f>IF($C846="","",IF($I846="","추정 ESTIMATE","실제 ACTUAL"))</f>
      </c>
      <c r="O846" s="41">
        <f>IF($A846="","",SUMIFS('입금 Payments'!$C$3:$C$1002,'입금 Payments'!$B$3:$B$1002,$A846))</f>
      </c>
      <c r="P846" s="41">
        <f>IF($C846="","",ROUND($H846*(1+IF('설정 Settings'!$C$24="YES",'설정 Settings'!$C$26,0)),2)-N($O846))</f>
      </c>
      <c r="Q846" s="42">
        <f>IF($A846="","","INV-"&amp;$A846)</f>
      </c>
      <c r="R846" s="42">
        <f>IF($H846="","",IF($H846&gt;'설정 Settings'!$C$36,"$2,000 초과: e-Transfer 나눠 받기 (F36)",""))</f>
      </c>
    </row>
    <row r="847" spans="12:18" x14ac:dyDescent="0.25">
      <c r="L847" s="41">
        <f>IF($C847="","",IF($I847="",ROUND(IFERROR($H847*VLOOKUP($F847,'설정 Settings'!$A$122:$F$130,4,0)+VLOOKUP($F847,'설정 Settings'!$A$122:$F$130,5,0),0),2),$I847))</f>
      </c>
      <c r="M847" s="41">
        <f>IF($C847="","",$H847-$L847)</f>
      </c>
      <c r="N847" s="42">
        <f>IF($C847="","",IF($I847="","추정 ESTIMATE","실제 ACTUAL"))</f>
      </c>
      <c r="O847" s="41">
        <f>IF($A847="","",SUMIFS('입금 Payments'!$C$3:$C$1002,'입금 Payments'!$B$3:$B$1002,$A847))</f>
      </c>
      <c r="P847" s="41">
        <f>IF($C847="","",ROUND($H847*(1+IF('설정 Settings'!$C$24="YES",'설정 Settings'!$C$26,0)),2)-N($O847))</f>
      </c>
      <c r="Q847" s="42">
        <f>IF($A847="","","INV-"&amp;$A847)</f>
      </c>
      <c r="R847" s="42">
        <f>IF($H847="","",IF($H847&gt;'설정 Settings'!$C$36,"$2,000 초과: e-Transfer 나눠 받기 (F36)",""))</f>
      </c>
    </row>
    <row r="848" spans="12:18" x14ac:dyDescent="0.25">
      <c r="L848" s="41">
        <f>IF($C848="","",IF($I848="",ROUND(IFERROR($H848*VLOOKUP($F848,'설정 Settings'!$A$122:$F$130,4,0)+VLOOKUP($F848,'설정 Settings'!$A$122:$F$130,5,0),0),2),$I848))</f>
      </c>
      <c r="M848" s="41">
        <f>IF($C848="","",$H848-$L848)</f>
      </c>
      <c r="N848" s="42">
        <f>IF($C848="","",IF($I848="","추정 ESTIMATE","실제 ACTUAL"))</f>
      </c>
      <c r="O848" s="41">
        <f>IF($A848="","",SUMIFS('입금 Payments'!$C$3:$C$1002,'입금 Payments'!$B$3:$B$1002,$A848))</f>
      </c>
      <c r="P848" s="41">
        <f>IF($C848="","",ROUND($H848*(1+IF('설정 Settings'!$C$24="YES",'설정 Settings'!$C$26,0)),2)-N($O848))</f>
      </c>
      <c r="Q848" s="42">
        <f>IF($A848="","","INV-"&amp;$A848)</f>
      </c>
      <c r="R848" s="42">
        <f>IF($H848="","",IF($H848&gt;'설정 Settings'!$C$36,"$2,000 초과: e-Transfer 나눠 받기 (F36)",""))</f>
      </c>
    </row>
    <row r="849" spans="12:18" x14ac:dyDescent="0.25">
      <c r="L849" s="41">
        <f>IF($C849="","",IF($I849="",ROUND(IFERROR($H849*VLOOKUP($F849,'설정 Settings'!$A$122:$F$130,4,0)+VLOOKUP($F849,'설정 Settings'!$A$122:$F$130,5,0),0),2),$I849))</f>
      </c>
      <c r="M849" s="41">
        <f>IF($C849="","",$H849-$L849)</f>
      </c>
      <c r="N849" s="42">
        <f>IF($C849="","",IF($I849="","추정 ESTIMATE","실제 ACTUAL"))</f>
      </c>
      <c r="O849" s="41">
        <f>IF($A849="","",SUMIFS('입금 Payments'!$C$3:$C$1002,'입금 Payments'!$B$3:$B$1002,$A849))</f>
      </c>
      <c r="P849" s="41">
        <f>IF($C849="","",ROUND($H849*(1+IF('설정 Settings'!$C$24="YES",'설정 Settings'!$C$26,0)),2)-N($O849))</f>
      </c>
      <c r="Q849" s="42">
        <f>IF($A849="","","INV-"&amp;$A849)</f>
      </c>
      <c r="R849" s="42">
        <f>IF($H849="","",IF($H849&gt;'설정 Settings'!$C$36,"$2,000 초과: e-Transfer 나눠 받기 (F36)",""))</f>
      </c>
    </row>
    <row r="850" spans="12:18" x14ac:dyDescent="0.25">
      <c r="L850" s="41">
        <f>IF($C850="","",IF($I850="",ROUND(IFERROR($H850*VLOOKUP($F850,'설정 Settings'!$A$122:$F$130,4,0)+VLOOKUP($F850,'설정 Settings'!$A$122:$F$130,5,0),0),2),$I850))</f>
      </c>
      <c r="M850" s="41">
        <f>IF($C850="","",$H850-$L850)</f>
      </c>
      <c r="N850" s="42">
        <f>IF($C850="","",IF($I850="","추정 ESTIMATE","실제 ACTUAL"))</f>
      </c>
      <c r="O850" s="41">
        <f>IF($A850="","",SUMIFS('입금 Payments'!$C$3:$C$1002,'입금 Payments'!$B$3:$B$1002,$A850))</f>
      </c>
      <c r="P850" s="41">
        <f>IF($C850="","",ROUND($H850*(1+IF('설정 Settings'!$C$24="YES",'설정 Settings'!$C$26,0)),2)-N($O850))</f>
      </c>
      <c r="Q850" s="42">
        <f>IF($A850="","","INV-"&amp;$A850)</f>
      </c>
      <c r="R850" s="42">
        <f>IF($H850="","",IF($H850&gt;'설정 Settings'!$C$36,"$2,000 초과: e-Transfer 나눠 받기 (F36)",""))</f>
      </c>
    </row>
    <row r="851" spans="12:18" x14ac:dyDescent="0.25">
      <c r="L851" s="41">
        <f>IF($C851="","",IF($I851="",ROUND(IFERROR($H851*VLOOKUP($F851,'설정 Settings'!$A$122:$F$130,4,0)+VLOOKUP($F851,'설정 Settings'!$A$122:$F$130,5,0),0),2),$I851))</f>
      </c>
      <c r="M851" s="41">
        <f>IF($C851="","",$H851-$L851)</f>
      </c>
      <c r="N851" s="42">
        <f>IF($C851="","",IF($I851="","추정 ESTIMATE","실제 ACTUAL"))</f>
      </c>
      <c r="O851" s="41">
        <f>IF($A851="","",SUMIFS('입금 Payments'!$C$3:$C$1002,'입금 Payments'!$B$3:$B$1002,$A851))</f>
      </c>
      <c r="P851" s="41">
        <f>IF($C851="","",ROUND($H851*(1+IF('설정 Settings'!$C$24="YES",'설정 Settings'!$C$26,0)),2)-N($O851))</f>
      </c>
      <c r="Q851" s="42">
        <f>IF($A851="","","INV-"&amp;$A851)</f>
      </c>
      <c r="R851" s="42">
        <f>IF($H851="","",IF($H851&gt;'설정 Settings'!$C$36,"$2,000 초과: e-Transfer 나눠 받기 (F36)",""))</f>
      </c>
    </row>
    <row r="852" spans="12:18" x14ac:dyDescent="0.25">
      <c r="L852" s="41">
        <f>IF($C852="","",IF($I852="",ROUND(IFERROR($H852*VLOOKUP($F852,'설정 Settings'!$A$122:$F$130,4,0)+VLOOKUP($F852,'설정 Settings'!$A$122:$F$130,5,0),0),2),$I852))</f>
      </c>
      <c r="M852" s="41">
        <f>IF($C852="","",$H852-$L852)</f>
      </c>
      <c r="N852" s="42">
        <f>IF($C852="","",IF($I852="","추정 ESTIMATE","실제 ACTUAL"))</f>
      </c>
      <c r="O852" s="41">
        <f>IF($A852="","",SUMIFS('입금 Payments'!$C$3:$C$1002,'입금 Payments'!$B$3:$B$1002,$A852))</f>
      </c>
      <c r="P852" s="41">
        <f>IF($C852="","",ROUND($H852*(1+IF('설정 Settings'!$C$24="YES",'설정 Settings'!$C$26,0)),2)-N($O852))</f>
      </c>
      <c r="Q852" s="42">
        <f>IF($A852="","","INV-"&amp;$A852)</f>
      </c>
      <c r="R852" s="42">
        <f>IF($H852="","",IF($H852&gt;'설정 Settings'!$C$36,"$2,000 초과: e-Transfer 나눠 받기 (F36)",""))</f>
      </c>
    </row>
    <row r="853" spans="12:18" x14ac:dyDescent="0.25">
      <c r="L853" s="41">
        <f>IF($C853="","",IF($I853="",ROUND(IFERROR($H853*VLOOKUP($F853,'설정 Settings'!$A$122:$F$130,4,0)+VLOOKUP($F853,'설정 Settings'!$A$122:$F$130,5,0),0),2),$I853))</f>
      </c>
      <c r="M853" s="41">
        <f>IF($C853="","",$H853-$L853)</f>
      </c>
      <c r="N853" s="42">
        <f>IF($C853="","",IF($I853="","추정 ESTIMATE","실제 ACTUAL"))</f>
      </c>
      <c r="O853" s="41">
        <f>IF($A853="","",SUMIFS('입금 Payments'!$C$3:$C$1002,'입금 Payments'!$B$3:$B$1002,$A853))</f>
      </c>
      <c r="P853" s="41">
        <f>IF($C853="","",ROUND($H853*(1+IF('설정 Settings'!$C$24="YES",'설정 Settings'!$C$26,0)),2)-N($O853))</f>
      </c>
      <c r="Q853" s="42">
        <f>IF($A853="","","INV-"&amp;$A853)</f>
      </c>
      <c r="R853" s="42">
        <f>IF($H853="","",IF($H853&gt;'설정 Settings'!$C$36,"$2,000 초과: e-Transfer 나눠 받기 (F36)",""))</f>
      </c>
    </row>
    <row r="854" spans="12:18" x14ac:dyDescent="0.25">
      <c r="L854" s="41">
        <f>IF($C854="","",IF($I854="",ROUND(IFERROR($H854*VLOOKUP($F854,'설정 Settings'!$A$122:$F$130,4,0)+VLOOKUP($F854,'설정 Settings'!$A$122:$F$130,5,0),0),2),$I854))</f>
      </c>
      <c r="M854" s="41">
        <f>IF($C854="","",$H854-$L854)</f>
      </c>
      <c r="N854" s="42">
        <f>IF($C854="","",IF($I854="","추정 ESTIMATE","실제 ACTUAL"))</f>
      </c>
      <c r="O854" s="41">
        <f>IF($A854="","",SUMIFS('입금 Payments'!$C$3:$C$1002,'입금 Payments'!$B$3:$B$1002,$A854))</f>
      </c>
      <c r="P854" s="41">
        <f>IF($C854="","",ROUND($H854*(1+IF('설정 Settings'!$C$24="YES",'설정 Settings'!$C$26,0)),2)-N($O854))</f>
      </c>
      <c r="Q854" s="42">
        <f>IF($A854="","","INV-"&amp;$A854)</f>
      </c>
      <c r="R854" s="42">
        <f>IF($H854="","",IF($H854&gt;'설정 Settings'!$C$36,"$2,000 초과: e-Transfer 나눠 받기 (F36)",""))</f>
      </c>
    </row>
    <row r="855" spans="12:18" x14ac:dyDescent="0.25">
      <c r="L855" s="41">
        <f>IF($C855="","",IF($I855="",ROUND(IFERROR($H855*VLOOKUP($F855,'설정 Settings'!$A$122:$F$130,4,0)+VLOOKUP($F855,'설정 Settings'!$A$122:$F$130,5,0),0),2),$I855))</f>
      </c>
      <c r="M855" s="41">
        <f>IF($C855="","",$H855-$L855)</f>
      </c>
      <c r="N855" s="42">
        <f>IF($C855="","",IF($I855="","추정 ESTIMATE","실제 ACTUAL"))</f>
      </c>
      <c r="O855" s="41">
        <f>IF($A855="","",SUMIFS('입금 Payments'!$C$3:$C$1002,'입금 Payments'!$B$3:$B$1002,$A855))</f>
      </c>
      <c r="P855" s="41">
        <f>IF($C855="","",ROUND($H855*(1+IF('설정 Settings'!$C$24="YES",'설정 Settings'!$C$26,0)),2)-N($O855))</f>
      </c>
      <c r="Q855" s="42">
        <f>IF($A855="","","INV-"&amp;$A855)</f>
      </c>
      <c r="R855" s="42">
        <f>IF($H855="","",IF($H855&gt;'설정 Settings'!$C$36,"$2,000 초과: e-Transfer 나눠 받기 (F36)",""))</f>
      </c>
    </row>
    <row r="856" spans="12:18" x14ac:dyDescent="0.25">
      <c r="L856" s="41">
        <f>IF($C856="","",IF($I856="",ROUND(IFERROR($H856*VLOOKUP($F856,'설정 Settings'!$A$122:$F$130,4,0)+VLOOKUP($F856,'설정 Settings'!$A$122:$F$130,5,0),0),2),$I856))</f>
      </c>
      <c r="M856" s="41">
        <f>IF($C856="","",$H856-$L856)</f>
      </c>
      <c r="N856" s="42">
        <f>IF($C856="","",IF($I856="","추정 ESTIMATE","실제 ACTUAL"))</f>
      </c>
      <c r="O856" s="41">
        <f>IF($A856="","",SUMIFS('입금 Payments'!$C$3:$C$1002,'입금 Payments'!$B$3:$B$1002,$A856))</f>
      </c>
      <c r="P856" s="41">
        <f>IF($C856="","",ROUND($H856*(1+IF('설정 Settings'!$C$24="YES",'설정 Settings'!$C$26,0)),2)-N($O856))</f>
      </c>
      <c r="Q856" s="42">
        <f>IF($A856="","","INV-"&amp;$A856)</f>
      </c>
      <c r="R856" s="42">
        <f>IF($H856="","",IF($H856&gt;'설정 Settings'!$C$36,"$2,000 초과: e-Transfer 나눠 받기 (F36)",""))</f>
      </c>
    </row>
    <row r="857" spans="12:18" x14ac:dyDescent="0.25">
      <c r="L857" s="41">
        <f>IF($C857="","",IF($I857="",ROUND(IFERROR($H857*VLOOKUP($F857,'설정 Settings'!$A$122:$F$130,4,0)+VLOOKUP($F857,'설정 Settings'!$A$122:$F$130,5,0),0),2),$I857))</f>
      </c>
      <c r="M857" s="41">
        <f>IF($C857="","",$H857-$L857)</f>
      </c>
      <c r="N857" s="42">
        <f>IF($C857="","",IF($I857="","추정 ESTIMATE","실제 ACTUAL"))</f>
      </c>
      <c r="O857" s="41">
        <f>IF($A857="","",SUMIFS('입금 Payments'!$C$3:$C$1002,'입금 Payments'!$B$3:$B$1002,$A857))</f>
      </c>
      <c r="P857" s="41">
        <f>IF($C857="","",ROUND($H857*(1+IF('설정 Settings'!$C$24="YES",'설정 Settings'!$C$26,0)),2)-N($O857))</f>
      </c>
      <c r="Q857" s="42">
        <f>IF($A857="","","INV-"&amp;$A857)</f>
      </c>
      <c r="R857" s="42">
        <f>IF($H857="","",IF($H857&gt;'설정 Settings'!$C$36,"$2,000 초과: e-Transfer 나눠 받기 (F36)",""))</f>
      </c>
    </row>
    <row r="858" spans="12:18" x14ac:dyDescent="0.25">
      <c r="L858" s="41">
        <f>IF($C858="","",IF($I858="",ROUND(IFERROR($H858*VLOOKUP($F858,'설정 Settings'!$A$122:$F$130,4,0)+VLOOKUP($F858,'설정 Settings'!$A$122:$F$130,5,0),0),2),$I858))</f>
      </c>
      <c r="M858" s="41">
        <f>IF($C858="","",$H858-$L858)</f>
      </c>
      <c r="N858" s="42">
        <f>IF($C858="","",IF($I858="","추정 ESTIMATE","실제 ACTUAL"))</f>
      </c>
      <c r="O858" s="41">
        <f>IF($A858="","",SUMIFS('입금 Payments'!$C$3:$C$1002,'입금 Payments'!$B$3:$B$1002,$A858))</f>
      </c>
      <c r="P858" s="41">
        <f>IF($C858="","",ROUND($H858*(1+IF('설정 Settings'!$C$24="YES",'설정 Settings'!$C$26,0)),2)-N($O858))</f>
      </c>
      <c r="Q858" s="42">
        <f>IF($A858="","","INV-"&amp;$A858)</f>
      </c>
      <c r="R858" s="42">
        <f>IF($H858="","",IF($H858&gt;'설정 Settings'!$C$36,"$2,000 초과: e-Transfer 나눠 받기 (F36)",""))</f>
      </c>
    </row>
    <row r="859" spans="12:18" x14ac:dyDescent="0.25">
      <c r="L859" s="41">
        <f>IF($C859="","",IF($I859="",ROUND(IFERROR($H859*VLOOKUP($F859,'설정 Settings'!$A$122:$F$130,4,0)+VLOOKUP($F859,'설정 Settings'!$A$122:$F$130,5,0),0),2),$I859))</f>
      </c>
      <c r="M859" s="41">
        <f>IF($C859="","",$H859-$L859)</f>
      </c>
      <c r="N859" s="42">
        <f>IF($C859="","",IF($I859="","추정 ESTIMATE","실제 ACTUAL"))</f>
      </c>
      <c r="O859" s="41">
        <f>IF($A859="","",SUMIFS('입금 Payments'!$C$3:$C$1002,'입금 Payments'!$B$3:$B$1002,$A859))</f>
      </c>
      <c r="P859" s="41">
        <f>IF($C859="","",ROUND($H859*(1+IF('설정 Settings'!$C$24="YES",'설정 Settings'!$C$26,0)),2)-N($O859))</f>
      </c>
      <c r="Q859" s="42">
        <f>IF($A859="","","INV-"&amp;$A859)</f>
      </c>
      <c r="R859" s="42">
        <f>IF($H859="","",IF($H859&gt;'설정 Settings'!$C$36,"$2,000 초과: e-Transfer 나눠 받기 (F36)",""))</f>
      </c>
    </row>
    <row r="860" spans="12:18" x14ac:dyDescent="0.25">
      <c r="L860" s="41">
        <f>IF($C860="","",IF($I860="",ROUND(IFERROR($H860*VLOOKUP($F860,'설정 Settings'!$A$122:$F$130,4,0)+VLOOKUP($F860,'설정 Settings'!$A$122:$F$130,5,0),0),2),$I860))</f>
      </c>
      <c r="M860" s="41">
        <f>IF($C860="","",$H860-$L860)</f>
      </c>
      <c r="N860" s="42">
        <f>IF($C860="","",IF($I860="","추정 ESTIMATE","실제 ACTUAL"))</f>
      </c>
      <c r="O860" s="41">
        <f>IF($A860="","",SUMIFS('입금 Payments'!$C$3:$C$1002,'입금 Payments'!$B$3:$B$1002,$A860))</f>
      </c>
      <c r="P860" s="41">
        <f>IF($C860="","",ROUND($H860*(1+IF('설정 Settings'!$C$24="YES",'설정 Settings'!$C$26,0)),2)-N($O860))</f>
      </c>
      <c r="Q860" s="42">
        <f>IF($A860="","","INV-"&amp;$A860)</f>
      </c>
      <c r="R860" s="42">
        <f>IF($H860="","",IF($H860&gt;'설정 Settings'!$C$36,"$2,000 초과: e-Transfer 나눠 받기 (F36)",""))</f>
      </c>
    </row>
    <row r="861" spans="12:18" x14ac:dyDescent="0.25">
      <c r="L861" s="41">
        <f>IF($C861="","",IF($I861="",ROUND(IFERROR($H861*VLOOKUP($F861,'설정 Settings'!$A$122:$F$130,4,0)+VLOOKUP($F861,'설정 Settings'!$A$122:$F$130,5,0),0),2),$I861))</f>
      </c>
      <c r="M861" s="41">
        <f>IF($C861="","",$H861-$L861)</f>
      </c>
      <c r="N861" s="42">
        <f>IF($C861="","",IF($I861="","추정 ESTIMATE","실제 ACTUAL"))</f>
      </c>
      <c r="O861" s="41">
        <f>IF($A861="","",SUMIFS('입금 Payments'!$C$3:$C$1002,'입금 Payments'!$B$3:$B$1002,$A861))</f>
      </c>
      <c r="P861" s="41">
        <f>IF($C861="","",ROUND($H861*(1+IF('설정 Settings'!$C$24="YES",'설정 Settings'!$C$26,0)),2)-N($O861))</f>
      </c>
      <c r="Q861" s="42">
        <f>IF($A861="","","INV-"&amp;$A861)</f>
      </c>
      <c r="R861" s="42">
        <f>IF($H861="","",IF($H861&gt;'설정 Settings'!$C$36,"$2,000 초과: e-Transfer 나눠 받기 (F36)",""))</f>
      </c>
    </row>
    <row r="862" spans="12:18" x14ac:dyDescent="0.25">
      <c r="L862" s="41">
        <f>IF($C862="","",IF($I862="",ROUND(IFERROR($H862*VLOOKUP($F862,'설정 Settings'!$A$122:$F$130,4,0)+VLOOKUP($F862,'설정 Settings'!$A$122:$F$130,5,0),0),2),$I862))</f>
      </c>
      <c r="M862" s="41">
        <f>IF($C862="","",$H862-$L862)</f>
      </c>
      <c r="N862" s="42">
        <f>IF($C862="","",IF($I862="","추정 ESTIMATE","실제 ACTUAL"))</f>
      </c>
      <c r="O862" s="41">
        <f>IF($A862="","",SUMIFS('입금 Payments'!$C$3:$C$1002,'입금 Payments'!$B$3:$B$1002,$A862))</f>
      </c>
      <c r="P862" s="41">
        <f>IF($C862="","",ROUND($H862*(1+IF('설정 Settings'!$C$24="YES",'설정 Settings'!$C$26,0)),2)-N($O862))</f>
      </c>
      <c r="Q862" s="42">
        <f>IF($A862="","","INV-"&amp;$A862)</f>
      </c>
      <c r="R862" s="42">
        <f>IF($H862="","",IF($H862&gt;'설정 Settings'!$C$36,"$2,000 초과: e-Transfer 나눠 받기 (F36)",""))</f>
      </c>
    </row>
    <row r="863" spans="12:18" x14ac:dyDescent="0.25">
      <c r="L863" s="41">
        <f>IF($C863="","",IF($I863="",ROUND(IFERROR($H863*VLOOKUP($F863,'설정 Settings'!$A$122:$F$130,4,0)+VLOOKUP($F863,'설정 Settings'!$A$122:$F$130,5,0),0),2),$I863))</f>
      </c>
      <c r="M863" s="41">
        <f>IF($C863="","",$H863-$L863)</f>
      </c>
      <c r="N863" s="42">
        <f>IF($C863="","",IF($I863="","추정 ESTIMATE","실제 ACTUAL"))</f>
      </c>
      <c r="O863" s="41">
        <f>IF($A863="","",SUMIFS('입금 Payments'!$C$3:$C$1002,'입금 Payments'!$B$3:$B$1002,$A863))</f>
      </c>
      <c r="P863" s="41">
        <f>IF($C863="","",ROUND($H863*(1+IF('설정 Settings'!$C$24="YES",'설정 Settings'!$C$26,0)),2)-N($O863))</f>
      </c>
      <c r="Q863" s="42">
        <f>IF($A863="","","INV-"&amp;$A863)</f>
      </c>
      <c r="R863" s="42">
        <f>IF($H863="","",IF($H863&gt;'설정 Settings'!$C$36,"$2,000 초과: e-Transfer 나눠 받기 (F36)",""))</f>
      </c>
    </row>
    <row r="864" spans="12:18" x14ac:dyDescent="0.25">
      <c r="L864" s="41">
        <f>IF($C864="","",IF($I864="",ROUND(IFERROR($H864*VLOOKUP($F864,'설정 Settings'!$A$122:$F$130,4,0)+VLOOKUP($F864,'설정 Settings'!$A$122:$F$130,5,0),0),2),$I864))</f>
      </c>
      <c r="M864" s="41">
        <f>IF($C864="","",$H864-$L864)</f>
      </c>
      <c r="N864" s="42">
        <f>IF($C864="","",IF($I864="","추정 ESTIMATE","실제 ACTUAL"))</f>
      </c>
      <c r="O864" s="41">
        <f>IF($A864="","",SUMIFS('입금 Payments'!$C$3:$C$1002,'입금 Payments'!$B$3:$B$1002,$A864))</f>
      </c>
      <c r="P864" s="41">
        <f>IF($C864="","",ROUND($H864*(1+IF('설정 Settings'!$C$24="YES",'설정 Settings'!$C$26,0)),2)-N($O864))</f>
      </c>
      <c r="Q864" s="42">
        <f>IF($A864="","","INV-"&amp;$A864)</f>
      </c>
      <c r="R864" s="42">
        <f>IF($H864="","",IF($H864&gt;'설정 Settings'!$C$36,"$2,000 초과: e-Transfer 나눠 받기 (F36)",""))</f>
      </c>
    </row>
    <row r="865" spans="12:18" x14ac:dyDescent="0.25">
      <c r="L865" s="41">
        <f>IF($C865="","",IF($I865="",ROUND(IFERROR($H865*VLOOKUP($F865,'설정 Settings'!$A$122:$F$130,4,0)+VLOOKUP($F865,'설정 Settings'!$A$122:$F$130,5,0),0),2),$I865))</f>
      </c>
      <c r="M865" s="41">
        <f>IF($C865="","",$H865-$L865)</f>
      </c>
      <c r="N865" s="42">
        <f>IF($C865="","",IF($I865="","추정 ESTIMATE","실제 ACTUAL"))</f>
      </c>
      <c r="O865" s="41">
        <f>IF($A865="","",SUMIFS('입금 Payments'!$C$3:$C$1002,'입금 Payments'!$B$3:$B$1002,$A865))</f>
      </c>
      <c r="P865" s="41">
        <f>IF($C865="","",ROUND($H865*(1+IF('설정 Settings'!$C$24="YES",'설정 Settings'!$C$26,0)),2)-N($O865))</f>
      </c>
      <c r="Q865" s="42">
        <f>IF($A865="","","INV-"&amp;$A865)</f>
      </c>
      <c r="R865" s="42">
        <f>IF($H865="","",IF($H865&gt;'설정 Settings'!$C$36,"$2,000 초과: e-Transfer 나눠 받기 (F36)",""))</f>
      </c>
    </row>
    <row r="866" spans="12:18" x14ac:dyDescent="0.25">
      <c r="L866" s="41">
        <f>IF($C866="","",IF($I866="",ROUND(IFERROR($H866*VLOOKUP($F866,'설정 Settings'!$A$122:$F$130,4,0)+VLOOKUP($F866,'설정 Settings'!$A$122:$F$130,5,0),0),2),$I866))</f>
      </c>
      <c r="M866" s="41">
        <f>IF($C866="","",$H866-$L866)</f>
      </c>
      <c r="N866" s="42">
        <f>IF($C866="","",IF($I866="","추정 ESTIMATE","실제 ACTUAL"))</f>
      </c>
      <c r="O866" s="41">
        <f>IF($A866="","",SUMIFS('입금 Payments'!$C$3:$C$1002,'입금 Payments'!$B$3:$B$1002,$A866))</f>
      </c>
      <c r="P866" s="41">
        <f>IF($C866="","",ROUND($H866*(1+IF('설정 Settings'!$C$24="YES",'설정 Settings'!$C$26,0)),2)-N($O866))</f>
      </c>
      <c r="Q866" s="42">
        <f>IF($A866="","","INV-"&amp;$A866)</f>
      </c>
      <c r="R866" s="42">
        <f>IF($H866="","",IF($H866&gt;'설정 Settings'!$C$36,"$2,000 초과: e-Transfer 나눠 받기 (F36)",""))</f>
      </c>
    </row>
    <row r="867" spans="12:18" x14ac:dyDescent="0.25">
      <c r="L867" s="41">
        <f>IF($C867="","",IF($I867="",ROUND(IFERROR($H867*VLOOKUP($F867,'설정 Settings'!$A$122:$F$130,4,0)+VLOOKUP($F867,'설정 Settings'!$A$122:$F$130,5,0),0),2),$I867))</f>
      </c>
      <c r="M867" s="41">
        <f>IF($C867="","",$H867-$L867)</f>
      </c>
      <c r="N867" s="42">
        <f>IF($C867="","",IF($I867="","추정 ESTIMATE","실제 ACTUAL"))</f>
      </c>
      <c r="O867" s="41">
        <f>IF($A867="","",SUMIFS('입금 Payments'!$C$3:$C$1002,'입금 Payments'!$B$3:$B$1002,$A867))</f>
      </c>
      <c r="P867" s="41">
        <f>IF($C867="","",ROUND($H867*(1+IF('설정 Settings'!$C$24="YES",'설정 Settings'!$C$26,0)),2)-N($O867))</f>
      </c>
      <c r="Q867" s="42">
        <f>IF($A867="","","INV-"&amp;$A867)</f>
      </c>
      <c r="R867" s="42">
        <f>IF($H867="","",IF($H867&gt;'설정 Settings'!$C$36,"$2,000 초과: e-Transfer 나눠 받기 (F36)",""))</f>
      </c>
    </row>
    <row r="868" spans="12:18" x14ac:dyDescent="0.25">
      <c r="L868" s="41">
        <f>IF($C868="","",IF($I868="",ROUND(IFERROR($H868*VLOOKUP($F868,'설정 Settings'!$A$122:$F$130,4,0)+VLOOKUP($F868,'설정 Settings'!$A$122:$F$130,5,0),0),2),$I868))</f>
      </c>
      <c r="M868" s="41">
        <f>IF($C868="","",$H868-$L868)</f>
      </c>
      <c r="N868" s="42">
        <f>IF($C868="","",IF($I868="","추정 ESTIMATE","실제 ACTUAL"))</f>
      </c>
      <c r="O868" s="41">
        <f>IF($A868="","",SUMIFS('입금 Payments'!$C$3:$C$1002,'입금 Payments'!$B$3:$B$1002,$A868))</f>
      </c>
      <c r="P868" s="41">
        <f>IF($C868="","",ROUND($H868*(1+IF('설정 Settings'!$C$24="YES",'설정 Settings'!$C$26,0)),2)-N($O868))</f>
      </c>
      <c r="Q868" s="42">
        <f>IF($A868="","","INV-"&amp;$A868)</f>
      </c>
      <c r="R868" s="42">
        <f>IF($H868="","",IF($H868&gt;'설정 Settings'!$C$36,"$2,000 초과: e-Transfer 나눠 받기 (F36)",""))</f>
      </c>
    </row>
    <row r="869" spans="12:18" x14ac:dyDescent="0.25">
      <c r="L869" s="41">
        <f>IF($C869="","",IF($I869="",ROUND(IFERROR($H869*VLOOKUP($F869,'설정 Settings'!$A$122:$F$130,4,0)+VLOOKUP($F869,'설정 Settings'!$A$122:$F$130,5,0),0),2),$I869))</f>
      </c>
      <c r="M869" s="41">
        <f>IF($C869="","",$H869-$L869)</f>
      </c>
      <c r="N869" s="42">
        <f>IF($C869="","",IF($I869="","추정 ESTIMATE","실제 ACTUAL"))</f>
      </c>
      <c r="O869" s="41">
        <f>IF($A869="","",SUMIFS('입금 Payments'!$C$3:$C$1002,'입금 Payments'!$B$3:$B$1002,$A869))</f>
      </c>
      <c r="P869" s="41">
        <f>IF($C869="","",ROUND($H869*(1+IF('설정 Settings'!$C$24="YES",'설정 Settings'!$C$26,0)),2)-N($O869))</f>
      </c>
      <c r="Q869" s="42">
        <f>IF($A869="","","INV-"&amp;$A869)</f>
      </c>
      <c r="R869" s="42">
        <f>IF($H869="","",IF($H869&gt;'설정 Settings'!$C$36,"$2,000 초과: e-Transfer 나눠 받기 (F36)",""))</f>
      </c>
    </row>
    <row r="870" spans="12:18" x14ac:dyDescent="0.25">
      <c r="L870" s="41">
        <f>IF($C870="","",IF($I870="",ROUND(IFERROR($H870*VLOOKUP($F870,'설정 Settings'!$A$122:$F$130,4,0)+VLOOKUP($F870,'설정 Settings'!$A$122:$F$130,5,0),0),2),$I870))</f>
      </c>
      <c r="M870" s="41">
        <f>IF($C870="","",$H870-$L870)</f>
      </c>
      <c r="N870" s="42">
        <f>IF($C870="","",IF($I870="","추정 ESTIMATE","실제 ACTUAL"))</f>
      </c>
      <c r="O870" s="41">
        <f>IF($A870="","",SUMIFS('입금 Payments'!$C$3:$C$1002,'입금 Payments'!$B$3:$B$1002,$A870))</f>
      </c>
      <c r="P870" s="41">
        <f>IF($C870="","",ROUND($H870*(1+IF('설정 Settings'!$C$24="YES",'설정 Settings'!$C$26,0)),2)-N($O870))</f>
      </c>
      <c r="Q870" s="42">
        <f>IF($A870="","","INV-"&amp;$A870)</f>
      </c>
      <c r="R870" s="42">
        <f>IF($H870="","",IF($H870&gt;'설정 Settings'!$C$36,"$2,000 초과: e-Transfer 나눠 받기 (F36)",""))</f>
      </c>
    </row>
    <row r="871" spans="12:18" x14ac:dyDescent="0.25">
      <c r="L871" s="41">
        <f>IF($C871="","",IF($I871="",ROUND(IFERROR($H871*VLOOKUP($F871,'설정 Settings'!$A$122:$F$130,4,0)+VLOOKUP($F871,'설정 Settings'!$A$122:$F$130,5,0),0),2),$I871))</f>
      </c>
      <c r="M871" s="41">
        <f>IF($C871="","",$H871-$L871)</f>
      </c>
      <c r="N871" s="42">
        <f>IF($C871="","",IF($I871="","추정 ESTIMATE","실제 ACTUAL"))</f>
      </c>
      <c r="O871" s="41">
        <f>IF($A871="","",SUMIFS('입금 Payments'!$C$3:$C$1002,'입금 Payments'!$B$3:$B$1002,$A871))</f>
      </c>
      <c r="P871" s="41">
        <f>IF($C871="","",ROUND($H871*(1+IF('설정 Settings'!$C$24="YES",'설정 Settings'!$C$26,0)),2)-N($O871))</f>
      </c>
      <c r="Q871" s="42">
        <f>IF($A871="","","INV-"&amp;$A871)</f>
      </c>
      <c r="R871" s="42">
        <f>IF($H871="","",IF($H871&gt;'설정 Settings'!$C$36,"$2,000 초과: e-Transfer 나눠 받기 (F36)",""))</f>
      </c>
    </row>
    <row r="872" spans="12:18" x14ac:dyDescent="0.25">
      <c r="L872" s="41">
        <f>IF($C872="","",IF($I872="",ROUND(IFERROR($H872*VLOOKUP($F872,'설정 Settings'!$A$122:$F$130,4,0)+VLOOKUP($F872,'설정 Settings'!$A$122:$F$130,5,0),0),2),$I872))</f>
      </c>
      <c r="M872" s="41">
        <f>IF($C872="","",$H872-$L872)</f>
      </c>
      <c r="N872" s="42">
        <f>IF($C872="","",IF($I872="","추정 ESTIMATE","실제 ACTUAL"))</f>
      </c>
      <c r="O872" s="41">
        <f>IF($A872="","",SUMIFS('입금 Payments'!$C$3:$C$1002,'입금 Payments'!$B$3:$B$1002,$A872))</f>
      </c>
      <c r="P872" s="41">
        <f>IF($C872="","",ROUND($H872*(1+IF('설정 Settings'!$C$24="YES",'설정 Settings'!$C$26,0)),2)-N($O872))</f>
      </c>
      <c r="Q872" s="42">
        <f>IF($A872="","","INV-"&amp;$A872)</f>
      </c>
      <c r="R872" s="42">
        <f>IF($H872="","",IF($H872&gt;'설정 Settings'!$C$36,"$2,000 초과: e-Transfer 나눠 받기 (F36)",""))</f>
      </c>
    </row>
    <row r="873" spans="12:18" x14ac:dyDescent="0.25">
      <c r="L873" s="41">
        <f>IF($C873="","",IF($I873="",ROUND(IFERROR($H873*VLOOKUP($F873,'설정 Settings'!$A$122:$F$130,4,0)+VLOOKUP($F873,'설정 Settings'!$A$122:$F$130,5,0),0),2),$I873))</f>
      </c>
      <c r="M873" s="41">
        <f>IF($C873="","",$H873-$L873)</f>
      </c>
      <c r="N873" s="42">
        <f>IF($C873="","",IF($I873="","추정 ESTIMATE","실제 ACTUAL"))</f>
      </c>
      <c r="O873" s="41">
        <f>IF($A873="","",SUMIFS('입금 Payments'!$C$3:$C$1002,'입금 Payments'!$B$3:$B$1002,$A873))</f>
      </c>
      <c r="P873" s="41">
        <f>IF($C873="","",ROUND($H873*(1+IF('설정 Settings'!$C$24="YES",'설정 Settings'!$C$26,0)),2)-N($O873))</f>
      </c>
      <c r="Q873" s="42">
        <f>IF($A873="","","INV-"&amp;$A873)</f>
      </c>
      <c r="R873" s="42">
        <f>IF($H873="","",IF($H873&gt;'설정 Settings'!$C$36,"$2,000 초과: e-Transfer 나눠 받기 (F36)",""))</f>
      </c>
    </row>
    <row r="874" spans="12:18" x14ac:dyDescent="0.25">
      <c r="L874" s="41">
        <f>IF($C874="","",IF($I874="",ROUND(IFERROR($H874*VLOOKUP($F874,'설정 Settings'!$A$122:$F$130,4,0)+VLOOKUP($F874,'설정 Settings'!$A$122:$F$130,5,0),0),2),$I874))</f>
      </c>
      <c r="M874" s="41">
        <f>IF($C874="","",$H874-$L874)</f>
      </c>
      <c r="N874" s="42">
        <f>IF($C874="","",IF($I874="","추정 ESTIMATE","실제 ACTUAL"))</f>
      </c>
      <c r="O874" s="41">
        <f>IF($A874="","",SUMIFS('입금 Payments'!$C$3:$C$1002,'입금 Payments'!$B$3:$B$1002,$A874))</f>
      </c>
      <c r="P874" s="41">
        <f>IF($C874="","",ROUND($H874*(1+IF('설정 Settings'!$C$24="YES",'설정 Settings'!$C$26,0)),2)-N($O874))</f>
      </c>
      <c r="Q874" s="42">
        <f>IF($A874="","","INV-"&amp;$A874)</f>
      </c>
      <c r="R874" s="42">
        <f>IF($H874="","",IF($H874&gt;'설정 Settings'!$C$36,"$2,000 초과: e-Transfer 나눠 받기 (F36)",""))</f>
      </c>
    </row>
    <row r="875" spans="12:18" x14ac:dyDescent="0.25">
      <c r="L875" s="41">
        <f>IF($C875="","",IF($I875="",ROUND(IFERROR($H875*VLOOKUP($F875,'설정 Settings'!$A$122:$F$130,4,0)+VLOOKUP($F875,'설정 Settings'!$A$122:$F$130,5,0),0),2),$I875))</f>
      </c>
      <c r="M875" s="41">
        <f>IF($C875="","",$H875-$L875)</f>
      </c>
      <c r="N875" s="42">
        <f>IF($C875="","",IF($I875="","추정 ESTIMATE","실제 ACTUAL"))</f>
      </c>
      <c r="O875" s="41">
        <f>IF($A875="","",SUMIFS('입금 Payments'!$C$3:$C$1002,'입금 Payments'!$B$3:$B$1002,$A875))</f>
      </c>
      <c r="P875" s="41">
        <f>IF($C875="","",ROUND($H875*(1+IF('설정 Settings'!$C$24="YES",'설정 Settings'!$C$26,0)),2)-N($O875))</f>
      </c>
      <c r="Q875" s="42">
        <f>IF($A875="","","INV-"&amp;$A875)</f>
      </c>
      <c r="R875" s="42">
        <f>IF($H875="","",IF($H875&gt;'설정 Settings'!$C$36,"$2,000 초과: e-Transfer 나눠 받기 (F36)",""))</f>
      </c>
    </row>
    <row r="876" spans="12:18" x14ac:dyDescent="0.25">
      <c r="L876" s="41">
        <f>IF($C876="","",IF($I876="",ROUND(IFERROR($H876*VLOOKUP($F876,'설정 Settings'!$A$122:$F$130,4,0)+VLOOKUP($F876,'설정 Settings'!$A$122:$F$130,5,0),0),2),$I876))</f>
      </c>
      <c r="M876" s="41">
        <f>IF($C876="","",$H876-$L876)</f>
      </c>
      <c r="N876" s="42">
        <f>IF($C876="","",IF($I876="","추정 ESTIMATE","실제 ACTUAL"))</f>
      </c>
      <c r="O876" s="41">
        <f>IF($A876="","",SUMIFS('입금 Payments'!$C$3:$C$1002,'입금 Payments'!$B$3:$B$1002,$A876))</f>
      </c>
      <c r="P876" s="41">
        <f>IF($C876="","",ROUND($H876*(1+IF('설정 Settings'!$C$24="YES",'설정 Settings'!$C$26,0)),2)-N($O876))</f>
      </c>
      <c r="Q876" s="42">
        <f>IF($A876="","","INV-"&amp;$A876)</f>
      </c>
      <c r="R876" s="42">
        <f>IF($H876="","",IF($H876&gt;'설정 Settings'!$C$36,"$2,000 초과: e-Transfer 나눠 받기 (F36)",""))</f>
      </c>
    </row>
    <row r="877" spans="12:18" x14ac:dyDescent="0.25">
      <c r="L877" s="41">
        <f>IF($C877="","",IF($I877="",ROUND(IFERROR($H877*VLOOKUP($F877,'설정 Settings'!$A$122:$F$130,4,0)+VLOOKUP($F877,'설정 Settings'!$A$122:$F$130,5,0),0),2),$I877))</f>
      </c>
      <c r="M877" s="41">
        <f>IF($C877="","",$H877-$L877)</f>
      </c>
      <c r="N877" s="42">
        <f>IF($C877="","",IF($I877="","추정 ESTIMATE","실제 ACTUAL"))</f>
      </c>
      <c r="O877" s="41">
        <f>IF($A877="","",SUMIFS('입금 Payments'!$C$3:$C$1002,'입금 Payments'!$B$3:$B$1002,$A877))</f>
      </c>
      <c r="P877" s="41">
        <f>IF($C877="","",ROUND($H877*(1+IF('설정 Settings'!$C$24="YES",'설정 Settings'!$C$26,0)),2)-N($O877))</f>
      </c>
      <c r="Q877" s="42">
        <f>IF($A877="","","INV-"&amp;$A877)</f>
      </c>
      <c r="R877" s="42">
        <f>IF($H877="","",IF($H877&gt;'설정 Settings'!$C$36,"$2,000 초과: e-Transfer 나눠 받기 (F36)",""))</f>
      </c>
    </row>
    <row r="878" spans="12:18" x14ac:dyDescent="0.25">
      <c r="L878" s="41">
        <f>IF($C878="","",IF($I878="",ROUND(IFERROR($H878*VLOOKUP($F878,'설정 Settings'!$A$122:$F$130,4,0)+VLOOKUP($F878,'설정 Settings'!$A$122:$F$130,5,0),0),2),$I878))</f>
      </c>
      <c r="M878" s="41">
        <f>IF($C878="","",$H878-$L878)</f>
      </c>
      <c r="N878" s="42">
        <f>IF($C878="","",IF($I878="","추정 ESTIMATE","실제 ACTUAL"))</f>
      </c>
      <c r="O878" s="41">
        <f>IF($A878="","",SUMIFS('입금 Payments'!$C$3:$C$1002,'입금 Payments'!$B$3:$B$1002,$A878))</f>
      </c>
      <c r="P878" s="41">
        <f>IF($C878="","",ROUND($H878*(1+IF('설정 Settings'!$C$24="YES",'설정 Settings'!$C$26,0)),2)-N($O878))</f>
      </c>
      <c r="Q878" s="42">
        <f>IF($A878="","","INV-"&amp;$A878)</f>
      </c>
      <c r="R878" s="42">
        <f>IF($H878="","",IF($H878&gt;'설정 Settings'!$C$36,"$2,000 초과: e-Transfer 나눠 받기 (F36)",""))</f>
      </c>
    </row>
    <row r="879" spans="12:18" x14ac:dyDescent="0.25">
      <c r="L879" s="41">
        <f>IF($C879="","",IF($I879="",ROUND(IFERROR($H879*VLOOKUP($F879,'설정 Settings'!$A$122:$F$130,4,0)+VLOOKUP($F879,'설정 Settings'!$A$122:$F$130,5,0),0),2),$I879))</f>
      </c>
      <c r="M879" s="41">
        <f>IF($C879="","",$H879-$L879)</f>
      </c>
      <c r="N879" s="42">
        <f>IF($C879="","",IF($I879="","추정 ESTIMATE","실제 ACTUAL"))</f>
      </c>
      <c r="O879" s="41">
        <f>IF($A879="","",SUMIFS('입금 Payments'!$C$3:$C$1002,'입금 Payments'!$B$3:$B$1002,$A879))</f>
      </c>
      <c r="P879" s="41">
        <f>IF($C879="","",ROUND($H879*(1+IF('설정 Settings'!$C$24="YES",'설정 Settings'!$C$26,0)),2)-N($O879))</f>
      </c>
      <c r="Q879" s="42">
        <f>IF($A879="","","INV-"&amp;$A879)</f>
      </c>
      <c r="R879" s="42">
        <f>IF($H879="","",IF($H879&gt;'설정 Settings'!$C$36,"$2,000 초과: e-Transfer 나눠 받기 (F36)",""))</f>
      </c>
    </row>
    <row r="880" spans="12:18" x14ac:dyDescent="0.25">
      <c r="L880" s="41">
        <f>IF($C880="","",IF($I880="",ROUND(IFERROR($H880*VLOOKUP($F880,'설정 Settings'!$A$122:$F$130,4,0)+VLOOKUP($F880,'설정 Settings'!$A$122:$F$130,5,0),0),2),$I880))</f>
      </c>
      <c r="M880" s="41">
        <f>IF($C880="","",$H880-$L880)</f>
      </c>
      <c r="N880" s="42">
        <f>IF($C880="","",IF($I880="","추정 ESTIMATE","실제 ACTUAL"))</f>
      </c>
      <c r="O880" s="41">
        <f>IF($A880="","",SUMIFS('입금 Payments'!$C$3:$C$1002,'입금 Payments'!$B$3:$B$1002,$A880))</f>
      </c>
      <c r="P880" s="41">
        <f>IF($C880="","",ROUND($H880*(1+IF('설정 Settings'!$C$24="YES",'설정 Settings'!$C$26,0)),2)-N($O880))</f>
      </c>
      <c r="Q880" s="42">
        <f>IF($A880="","","INV-"&amp;$A880)</f>
      </c>
      <c r="R880" s="42">
        <f>IF($H880="","",IF($H880&gt;'설정 Settings'!$C$36,"$2,000 초과: e-Transfer 나눠 받기 (F36)",""))</f>
      </c>
    </row>
    <row r="881" spans="12:18" x14ac:dyDescent="0.25">
      <c r="L881" s="41">
        <f>IF($C881="","",IF($I881="",ROUND(IFERROR($H881*VLOOKUP($F881,'설정 Settings'!$A$122:$F$130,4,0)+VLOOKUP($F881,'설정 Settings'!$A$122:$F$130,5,0),0),2),$I881))</f>
      </c>
      <c r="M881" s="41">
        <f>IF($C881="","",$H881-$L881)</f>
      </c>
      <c r="N881" s="42">
        <f>IF($C881="","",IF($I881="","추정 ESTIMATE","실제 ACTUAL"))</f>
      </c>
      <c r="O881" s="41">
        <f>IF($A881="","",SUMIFS('입금 Payments'!$C$3:$C$1002,'입금 Payments'!$B$3:$B$1002,$A881))</f>
      </c>
      <c r="P881" s="41">
        <f>IF($C881="","",ROUND($H881*(1+IF('설정 Settings'!$C$24="YES",'설정 Settings'!$C$26,0)),2)-N($O881))</f>
      </c>
      <c r="Q881" s="42">
        <f>IF($A881="","","INV-"&amp;$A881)</f>
      </c>
      <c r="R881" s="42">
        <f>IF($H881="","",IF($H881&gt;'설정 Settings'!$C$36,"$2,000 초과: e-Transfer 나눠 받기 (F36)",""))</f>
      </c>
    </row>
    <row r="882" spans="12:18" x14ac:dyDescent="0.25">
      <c r="L882" s="41">
        <f>IF($C882="","",IF($I882="",ROUND(IFERROR($H882*VLOOKUP($F882,'설정 Settings'!$A$122:$F$130,4,0)+VLOOKUP($F882,'설정 Settings'!$A$122:$F$130,5,0),0),2),$I882))</f>
      </c>
      <c r="M882" s="41">
        <f>IF($C882="","",$H882-$L882)</f>
      </c>
      <c r="N882" s="42">
        <f>IF($C882="","",IF($I882="","추정 ESTIMATE","실제 ACTUAL"))</f>
      </c>
      <c r="O882" s="41">
        <f>IF($A882="","",SUMIFS('입금 Payments'!$C$3:$C$1002,'입금 Payments'!$B$3:$B$1002,$A882))</f>
      </c>
      <c r="P882" s="41">
        <f>IF($C882="","",ROUND($H882*(1+IF('설정 Settings'!$C$24="YES",'설정 Settings'!$C$26,0)),2)-N($O882))</f>
      </c>
      <c r="Q882" s="42">
        <f>IF($A882="","","INV-"&amp;$A882)</f>
      </c>
      <c r="R882" s="42">
        <f>IF($H882="","",IF($H882&gt;'설정 Settings'!$C$36,"$2,000 초과: e-Transfer 나눠 받기 (F36)",""))</f>
      </c>
    </row>
    <row r="883" spans="12:18" x14ac:dyDescent="0.25">
      <c r="L883" s="41">
        <f>IF($C883="","",IF($I883="",ROUND(IFERROR($H883*VLOOKUP($F883,'설정 Settings'!$A$122:$F$130,4,0)+VLOOKUP($F883,'설정 Settings'!$A$122:$F$130,5,0),0),2),$I883))</f>
      </c>
      <c r="M883" s="41">
        <f>IF($C883="","",$H883-$L883)</f>
      </c>
      <c r="N883" s="42">
        <f>IF($C883="","",IF($I883="","추정 ESTIMATE","실제 ACTUAL"))</f>
      </c>
      <c r="O883" s="41">
        <f>IF($A883="","",SUMIFS('입금 Payments'!$C$3:$C$1002,'입금 Payments'!$B$3:$B$1002,$A883))</f>
      </c>
      <c r="P883" s="41">
        <f>IF($C883="","",ROUND($H883*(1+IF('설정 Settings'!$C$24="YES",'설정 Settings'!$C$26,0)),2)-N($O883))</f>
      </c>
      <c r="Q883" s="42">
        <f>IF($A883="","","INV-"&amp;$A883)</f>
      </c>
      <c r="R883" s="42">
        <f>IF($H883="","",IF($H883&gt;'설정 Settings'!$C$36,"$2,000 초과: e-Transfer 나눠 받기 (F36)",""))</f>
      </c>
    </row>
    <row r="884" spans="12:18" x14ac:dyDescent="0.25">
      <c r="L884" s="41">
        <f>IF($C884="","",IF($I884="",ROUND(IFERROR($H884*VLOOKUP($F884,'설정 Settings'!$A$122:$F$130,4,0)+VLOOKUP($F884,'설정 Settings'!$A$122:$F$130,5,0),0),2),$I884))</f>
      </c>
      <c r="M884" s="41">
        <f>IF($C884="","",$H884-$L884)</f>
      </c>
      <c r="N884" s="42">
        <f>IF($C884="","",IF($I884="","추정 ESTIMATE","실제 ACTUAL"))</f>
      </c>
      <c r="O884" s="41">
        <f>IF($A884="","",SUMIFS('입금 Payments'!$C$3:$C$1002,'입금 Payments'!$B$3:$B$1002,$A884))</f>
      </c>
      <c r="P884" s="41">
        <f>IF($C884="","",ROUND($H884*(1+IF('설정 Settings'!$C$24="YES",'설정 Settings'!$C$26,0)),2)-N($O884))</f>
      </c>
      <c r="Q884" s="42">
        <f>IF($A884="","","INV-"&amp;$A884)</f>
      </c>
      <c r="R884" s="42">
        <f>IF($H884="","",IF($H884&gt;'설정 Settings'!$C$36,"$2,000 초과: e-Transfer 나눠 받기 (F36)",""))</f>
      </c>
    </row>
    <row r="885" spans="12:18" x14ac:dyDescent="0.25">
      <c r="L885" s="41">
        <f>IF($C885="","",IF($I885="",ROUND(IFERROR($H885*VLOOKUP($F885,'설정 Settings'!$A$122:$F$130,4,0)+VLOOKUP($F885,'설정 Settings'!$A$122:$F$130,5,0),0),2),$I885))</f>
      </c>
      <c r="M885" s="41">
        <f>IF($C885="","",$H885-$L885)</f>
      </c>
      <c r="N885" s="42">
        <f>IF($C885="","",IF($I885="","추정 ESTIMATE","실제 ACTUAL"))</f>
      </c>
      <c r="O885" s="41">
        <f>IF($A885="","",SUMIFS('입금 Payments'!$C$3:$C$1002,'입금 Payments'!$B$3:$B$1002,$A885))</f>
      </c>
      <c r="P885" s="41">
        <f>IF($C885="","",ROUND($H885*(1+IF('설정 Settings'!$C$24="YES",'설정 Settings'!$C$26,0)),2)-N($O885))</f>
      </c>
      <c r="Q885" s="42">
        <f>IF($A885="","","INV-"&amp;$A885)</f>
      </c>
      <c r="R885" s="42">
        <f>IF($H885="","",IF($H885&gt;'설정 Settings'!$C$36,"$2,000 초과: e-Transfer 나눠 받기 (F36)",""))</f>
      </c>
    </row>
    <row r="886" spans="12:18" x14ac:dyDescent="0.25">
      <c r="L886" s="41">
        <f>IF($C886="","",IF($I886="",ROUND(IFERROR($H886*VLOOKUP($F886,'설정 Settings'!$A$122:$F$130,4,0)+VLOOKUP($F886,'설정 Settings'!$A$122:$F$130,5,0),0),2),$I886))</f>
      </c>
      <c r="M886" s="41">
        <f>IF($C886="","",$H886-$L886)</f>
      </c>
      <c r="N886" s="42">
        <f>IF($C886="","",IF($I886="","추정 ESTIMATE","실제 ACTUAL"))</f>
      </c>
      <c r="O886" s="41">
        <f>IF($A886="","",SUMIFS('입금 Payments'!$C$3:$C$1002,'입금 Payments'!$B$3:$B$1002,$A886))</f>
      </c>
      <c r="P886" s="41">
        <f>IF($C886="","",ROUND($H886*(1+IF('설정 Settings'!$C$24="YES",'설정 Settings'!$C$26,0)),2)-N($O886))</f>
      </c>
      <c r="Q886" s="42">
        <f>IF($A886="","","INV-"&amp;$A886)</f>
      </c>
      <c r="R886" s="42">
        <f>IF($H886="","",IF($H886&gt;'설정 Settings'!$C$36,"$2,000 초과: e-Transfer 나눠 받기 (F36)",""))</f>
      </c>
    </row>
    <row r="887" spans="12:18" x14ac:dyDescent="0.25">
      <c r="L887" s="41">
        <f>IF($C887="","",IF($I887="",ROUND(IFERROR($H887*VLOOKUP($F887,'설정 Settings'!$A$122:$F$130,4,0)+VLOOKUP($F887,'설정 Settings'!$A$122:$F$130,5,0),0),2),$I887))</f>
      </c>
      <c r="M887" s="41">
        <f>IF($C887="","",$H887-$L887)</f>
      </c>
      <c r="N887" s="42">
        <f>IF($C887="","",IF($I887="","추정 ESTIMATE","실제 ACTUAL"))</f>
      </c>
      <c r="O887" s="41">
        <f>IF($A887="","",SUMIFS('입금 Payments'!$C$3:$C$1002,'입금 Payments'!$B$3:$B$1002,$A887))</f>
      </c>
      <c r="P887" s="41">
        <f>IF($C887="","",ROUND($H887*(1+IF('설정 Settings'!$C$24="YES",'설정 Settings'!$C$26,0)),2)-N($O887))</f>
      </c>
      <c r="Q887" s="42">
        <f>IF($A887="","","INV-"&amp;$A887)</f>
      </c>
      <c r="R887" s="42">
        <f>IF($H887="","",IF($H887&gt;'설정 Settings'!$C$36,"$2,000 초과: e-Transfer 나눠 받기 (F36)",""))</f>
      </c>
    </row>
    <row r="888" spans="12:18" x14ac:dyDescent="0.25">
      <c r="L888" s="41">
        <f>IF($C888="","",IF($I888="",ROUND(IFERROR($H888*VLOOKUP($F888,'설정 Settings'!$A$122:$F$130,4,0)+VLOOKUP($F888,'설정 Settings'!$A$122:$F$130,5,0),0),2),$I888))</f>
      </c>
      <c r="M888" s="41">
        <f>IF($C888="","",$H888-$L888)</f>
      </c>
      <c r="N888" s="42">
        <f>IF($C888="","",IF($I888="","추정 ESTIMATE","실제 ACTUAL"))</f>
      </c>
      <c r="O888" s="41">
        <f>IF($A888="","",SUMIFS('입금 Payments'!$C$3:$C$1002,'입금 Payments'!$B$3:$B$1002,$A888))</f>
      </c>
      <c r="P888" s="41">
        <f>IF($C888="","",ROUND($H888*(1+IF('설정 Settings'!$C$24="YES",'설정 Settings'!$C$26,0)),2)-N($O888))</f>
      </c>
      <c r="Q888" s="42">
        <f>IF($A888="","","INV-"&amp;$A888)</f>
      </c>
      <c r="R888" s="42">
        <f>IF($H888="","",IF($H888&gt;'설정 Settings'!$C$36,"$2,000 초과: e-Transfer 나눠 받기 (F36)",""))</f>
      </c>
    </row>
    <row r="889" spans="12:18" x14ac:dyDescent="0.25">
      <c r="L889" s="41">
        <f>IF($C889="","",IF($I889="",ROUND(IFERROR($H889*VLOOKUP($F889,'설정 Settings'!$A$122:$F$130,4,0)+VLOOKUP($F889,'설정 Settings'!$A$122:$F$130,5,0),0),2),$I889))</f>
      </c>
      <c r="M889" s="41">
        <f>IF($C889="","",$H889-$L889)</f>
      </c>
      <c r="N889" s="42">
        <f>IF($C889="","",IF($I889="","추정 ESTIMATE","실제 ACTUAL"))</f>
      </c>
      <c r="O889" s="41">
        <f>IF($A889="","",SUMIFS('입금 Payments'!$C$3:$C$1002,'입금 Payments'!$B$3:$B$1002,$A889))</f>
      </c>
      <c r="P889" s="41">
        <f>IF($C889="","",ROUND($H889*(1+IF('설정 Settings'!$C$24="YES",'설정 Settings'!$C$26,0)),2)-N($O889))</f>
      </c>
      <c r="Q889" s="42">
        <f>IF($A889="","","INV-"&amp;$A889)</f>
      </c>
      <c r="R889" s="42">
        <f>IF($H889="","",IF($H889&gt;'설정 Settings'!$C$36,"$2,000 초과: e-Transfer 나눠 받기 (F36)",""))</f>
      </c>
    </row>
    <row r="890" spans="12:18" x14ac:dyDescent="0.25">
      <c r="L890" s="41">
        <f>IF($C890="","",IF($I890="",ROUND(IFERROR($H890*VLOOKUP($F890,'설정 Settings'!$A$122:$F$130,4,0)+VLOOKUP($F890,'설정 Settings'!$A$122:$F$130,5,0),0),2),$I890))</f>
      </c>
      <c r="M890" s="41">
        <f>IF($C890="","",$H890-$L890)</f>
      </c>
      <c r="N890" s="42">
        <f>IF($C890="","",IF($I890="","추정 ESTIMATE","실제 ACTUAL"))</f>
      </c>
      <c r="O890" s="41">
        <f>IF($A890="","",SUMIFS('입금 Payments'!$C$3:$C$1002,'입금 Payments'!$B$3:$B$1002,$A890))</f>
      </c>
      <c r="P890" s="41">
        <f>IF($C890="","",ROUND($H890*(1+IF('설정 Settings'!$C$24="YES",'설정 Settings'!$C$26,0)),2)-N($O890))</f>
      </c>
      <c r="Q890" s="42">
        <f>IF($A890="","","INV-"&amp;$A890)</f>
      </c>
      <c r="R890" s="42">
        <f>IF($H890="","",IF($H890&gt;'설정 Settings'!$C$36,"$2,000 초과: e-Transfer 나눠 받기 (F36)",""))</f>
      </c>
    </row>
    <row r="891" spans="12:18" x14ac:dyDescent="0.25">
      <c r="L891" s="41">
        <f>IF($C891="","",IF($I891="",ROUND(IFERROR($H891*VLOOKUP($F891,'설정 Settings'!$A$122:$F$130,4,0)+VLOOKUP($F891,'설정 Settings'!$A$122:$F$130,5,0),0),2),$I891))</f>
      </c>
      <c r="M891" s="41">
        <f>IF($C891="","",$H891-$L891)</f>
      </c>
      <c r="N891" s="42">
        <f>IF($C891="","",IF($I891="","추정 ESTIMATE","실제 ACTUAL"))</f>
      </c>
      <c r="O891" s="41">
        <f>IF($A891="","",SUMIFS('입금 Payments'!$C$3:$C$1002,'입금 Payments'!$B$3:$B$1002,$A891))</f>
      </c>
      <c r="P891" s="41">
        <f>IF($C891="","",ROUND($H891*(1+IF('설정 Settings'!$C$24="YES",'설정 Settings'!$C$26,0)),2)-N($O891))</f>
      </c>
      <c r="Q891" s="42">
        <f>IF($A891="","","INV-"&amp;$A891)</f>
      </c>
      <c r="R891" s="42">
        <f>IF($H891="","",IF($H891&gt;'설정 Settings'!$C$36,"$2,000 초과: e-Transfer 나눠 받기 (F36)",""))</f>
      </c>
    </row>
    <row r="892" spans="12:18" x14ac:dyDescent="0.25">
      <c r="L892" s="41">
        <f>IF($C892="","",IF($I892="",ROUND(IFERROR($H892*VLOOKUP($F892,'설정 Settings'!$A$122:$F$130,4,0)+VLOOKUP($F892,'설정 Settings'!$A$122:$F$130,5,0),0),2),$I892))</f>
      </c>
      <c r="M892" s="41">
        <f>IF($C892="","",$H892-$L892)</f>
      </c>
      <c r="N892" s="42">
        <f>IF($C892="","",IF($I892="","추정 ESTIMATE","실제 ACTUAL"))</f>
      </c>
      <c r="O892" s="41">
        <f>IF($A892="","",SUMIFS('입금 Payments'!$C$3:$C$1002,'입금 Payments'!$B$3:$B$1002,$A892))</f>
      </c>
      <c r="P892" s="41">
        <f>IF($C892="","",ROUND($H892*(1+IF('설정 Settings'!$C$24="YES",'설정 Settings'!$C$26,0)),2)-N($O892))</f>
      </c>
      <c r="Q892" s="42">
        <f>IF($A892="","","INV-"&amp;$A892)</f>
      </c>
      <c r="R892" s="42">
        <f>IF($H892="","",IF($H892&gt;'설정 Settings'!$C$36,"$2,000 초과: e-Transfer 나눠 받기 (F36)",""))</f>
      </c>
    </row>
    <row r="893" spans="12:18" x14ac:dyDescent="0.25">
      <c r="L893" s="41">
        <f>IF($C893="","",IF($I893="",ROUND(IFERROR($H893*VLOOKUP($F893,'설정 Settings'!$A$122:$F$130,4,0)+VLOOKUP($F893,'설정 Settings'!$A$122:$F$130,5,0),0),2),$I893))</f>
      </c>
      <c r="M893" s="41">
        <f>IF($C893="","",$H893-$L893)</f>
      </c>
      <c r="N893" s="42">
        <f>IF($C893="","",IF($I893="","추정 ESTIMATE","실제 ACTUAL"))</f>
      </c>
      <c r="O893" s="41">
        <f>IF($A893="","",SUMIFS('입금 Payments'!$C$3:$C$1002,'입금 Payments'!$B$3:$B$1002,$A893))</f>
      </c>
      <c r="P893" s="41">
        <f>IF($C893="","",ROUND($H893*(1+IF('설정 Settings'!$C$24="YES",'설정 Settings'!$C$26,0)),2)-N($O893))</f>
      </c>
      <c r="Q893" s="42">
        <f>IF($A893="","","INV-"&amp;$A893)</f>
      </c>
      <c r="R893" s="42">
        <f>IF($H893="","",IF($H893&gt;'설정 Settings'!$C$36,"$2,000 초과: e-Transfer 나눠 받기 (F36)",""))</f>
      </c>
    </row>
    <row r="894" spans="12:18" x14ac:dyDescent="0.25">
      <c r="L894" s="41">
        <f>IF($C894="","",IF($I894="",ROUND(IFERROR($H894*VLOOKUP($F894,'설정 Settings'!$A$122:$F$130,4,0)+VLOOKUP($F894,'설정 Settings'!$A$122:$F$130,5,0),0),2),$I894))</f>
      </c>
      <c r="M894" s="41">
        <f>IF($C894="","",$H894-$L894)</f>
      </c>
      <c r="N894" s="42">
        <f>IF($C894="","",IF($I894="","추정 ESTIMATE","실제 ACTUAL"))</f>
      </c>
      <c r="O894" s="41">
        <f>IF($A894="","",SUMIFS('입금 Payments'!$C$3:$C$1002,'입금 Payments'!$B$3:$B$1002,$A894))</f>
      </c>
      <c r="P894" s="41">
        <f>IF($C894="","",ROUND($H894*(1+IF('설정 Settings'!$C$24="YES",'설정 Settings'!$C$26,0)),2)-N($O894))</f>
      </c>
      <c r="Q894" s="42">
        <f>IF($A894="","","INV-"&amp;$A894)</f>
      </c>
      <c r="R894" s="42">
        <f>IF($H894="","",IF($H894&gt;'설정 Settings'!$C$36,"$2,000 초과: e-Transfer 나눠 받기 (F36)",""))</f>
      </c>
    </row>
    <row r="895" spans="12:18" x14ac:dyDescent="0.25">
      <c r="L895" s="41">
        <f>IF($C895="","",IF($I895="",ROUND(IFERROR($H895*VLOOKUP($F895,'설정 Settings'!$A$122:$F$130,4,0)+VLOOKUP($F895,'설정 Settings'!$A$122:$F$130,5,0),0),2),$I895))</f>
      </c>
      <c r="M895" s="41">
        <f>IF($C895="","",$H895-$L895)</f>
      </c>
      <c r="N895" s="42">
        <f>IF($C895="","",IF($I895="","추정 ESTIMATE","실제 ACTUAL"))</f>
      </c>
      <c r="O895" s="41">
        <f>IF($A895="","",SUMIFS('입금 Payments'!$C$3:$C$1002,'입금 Payments'!$B$3:$B$1002,$A895))</f>
      </c>
      <c r="P895" s="41">
        <f>IF($C895="","",ROUND($H895*(1+IF('설정 Settings'!$C$24="YES",'설정 Settings'!$C$26,0)),2)-N($O895))</f>
      </c>
      <c r="Q895" s="42">
        <f>IF($A895="","","INV-"&amp;$A895)</f>
      </c>
      <c r="R895" s="42">
        <f>IF($H895="","",IF($H895&gt;'설정 Settings'!$C$36,"$2,000 초과: e-Transfer 나눠 받기 (F36)",""))</f>
      </c>
    </row>
    <row r="896" spans="12:18" x14ac:dyDescent="0.25">
      <c r="L896" s="41">
        <f>IF($C896="","",IF($I896="",ROUND(IFERROR($H896*VLOOKUP($F896,'설정 Settings'!$A$122:$F$130,4,0)+VLOOKUP($F896,'설정 Settings'!$A$122:$F$130,5,0),0),2),$I896))</f>
      </c>
      <c r="M896" s="41">
        <f>IF($C896="","",$H896-$L896)</f>
      </c>
      <c r="N896" s="42">
        <f>IF($C896="","",IF($I896="","추정 ESTIMATE","실제 ACTUAL"))</f>
      </c>
      <c r="O896" s="41">
        <f>IF($A896="","",SUMIFS('입금 Payments'!$C$3:$C$1002,'입금 Payments'!$B$3:$B$1002,$A896))</f>
      </c>
      <c r="P896" s="41">
        <f>IF($C896="","",ROUND($H896*(1+IF('설정 Settings'!$C$24="YES",'설정 Settings'!$C$26,0)),2)-N($O896))</f>
      </c>
      <c r="Q896" s="42">
        <f>IF($A896="","","INV-"&amp;$A896)</f>
      </c>
      <c r="R896" s="42">
        <f>IF($H896="","",IF($H896&gt;'설정 Settings'!$C$36,"$2,000 초과: e-Transfer 나눠 받기 (F36)",""))</f>
      </c>
    </row>
    <row r="897" spans="12:18" x14ac:dyDescent="0.25">
      <c r="L897" s="41">
        <f>IF($C897="","",IF($I897="",ROUND(IFERROR($H897*VLOOKUP($F897,'설정 Settings'!$A$122:$F$130,4,0)+VLOOKUP($F897,'설정 Settings'!$A$122:$F$130,5,0),0),2),$I897))</f>
      </c>
      <c r="M897" s="41">
        <f>IF($C897="","",$H897-$L897)</f>
      </c>
      <c r="N897" s="42">
        <f>IF($C897="","",IF($I897="","추정 ESTIMATE","실제 ACTUAL"))</f>
      </c>
      <c r="O897" s="41">
        <f>IF($A897="","",SUMIFS('입금 Payments'!$C$3:$C$1002,'입금 Payments'!$B$3:$B$1002,$A897))</f>
      </c>
      <c r="P897" s="41">
        <f>IF($C897="","",ROUND($H897*(1+IF('설정 Settings'!$C$24="YES",'설정 Settings'!$C$26,0)),2)-N($O897))</f>
      </c>
      <c r="Q897" s="42">
        <f>IF($A897="","","INV-"&amp;$A897)</f>
      </c>
      <c r="R897" s="42">
        <f>IF($H897="","",IF($H897&gt;'설정 Settings'!$C$36,"$2,000 초과: e-Transfer 나눠 받기 (F36)",""))</f>
      </c>
    </row>
    <row r="898" spans="12:18" x14ac:dyDescent="0.25">
      <c r="L898" s="41">
        <f>IF($C898="","",IF($I898="",ROUND(IFERROR($H898*VLOOKUP($F898,'설정 Settings'!$A$122:$F$130,4,0)+VLOOKUP($F898,'설정 Settings'!$A$122:$F$130,5,0),0),2),$I898))</f>
      </c>
      <c r="M898" s="41">
        <f>IF($C898="","",$H898-$L898)</f>
      </c>
      <c r="N898" s="42">
        <f>IF($C898="","",IF($I898="","추정 ESTIMATE","실제 ACTUAL"))</f>
      </c>
      <c r="O898" s="41">
        <f>IF($A898="","",SUMIFS('입금 Payments'!$C$3:$C$1002,'입금 Payments'!$B$3:$B$1002,$A898))</f>
      </c>
      <c r="P898" s="41">
        <f>IF($C898="","",ROUND($H898*(1+IF('설정 Settings'!$C$24="YES",'설정 Settings'!$C$26,0)),2)-N($O898))</f>
      </c>
      <c r="Q898" s="42">
        <f>IF($A898="","","INV-"&amp;$A898)</f>
      </c>
      <c r="R898" s="42">
        <f>IF($H898="","",IF($H898&gt;'설정 Settings'!$C$36,"$2,000 초과: e-Transfer 나눠 받기 (F36)",""))</f>
      </c>
    </row>
    <row r="899" spans="12:18" x14ac:dyDescent="0.25">
      <c r="L899" s="41">
        <f>IF($C899="","",IF($I899="",ROUND(IFERROR($H899*VLOOKUP($F899,'설정 Settings'!$A$122:$F$130,4,0)+VLOOKUP($F899,'설정 Settings'!$A$122:$F$130,5,0),0),2),$I899))</f>
      </c>
      <c r="M899" s="41">
        <f>IF($C899="","",$H899-$L899)</f>
      </c>
      <c r="N899" s="42">
        <f>IF($C899="","",IF($I899="","추정 ESTIMATE","실제 ACTUAL"))</f>
      </c>
      <c r="O899" s="41">
        <f>IF($A899="","",SUMIFS('입금 Payments'!$C$3:$C$1002,'입금 Payments'!$B$3:$B$1002,$A899))</f>
      </c>
      <c r="P899" s="41">
        <f>IF($C899="","",ROUND($H899*(1+IF('설정 Settings'!$C$24="YES",'설정 Settings'!$C$26,0)),2)-N($O899))</f>
      </c>
      <c r="Q899" s="42">
        <f>IF($A899="","","INV-"&amp;$A899)</f>
      </c>
      <c r="R899" s="42">
        <f>IF($H899="","",IF($H899&gt;'설정 Settings'!$C$36,"$2,000 초과: e-Transfer 나눠 받기 (F36)",""))</f>
      </c>
    </row>
    <row r="900" spans="12:18" x14ac:dyDescent="0.25">
      <c r="L900" s="41">
        <f>IF($C900="","",IF($I900="",ROUND(IFERROR($H900*VLOOKUP($F900,'설정 Settings'!$A$122:$F$130,4,0)+VLOOKUP($F900,'설정 Settings'!$A$122:$F$130,5,0),0),2),$I900))</f>
      </c>
      <c r="M900" s="41">
        <f>IF($C900="","",$H900-$L900)</f>
      </c>
      <c r="N900" s="42">
        <f>IF($C900="","",IF($I900="","추정 ESTIMATE","실제 ACTUAL"))</f>
      </c>
      <c r="O900" s="41">
        <f>IF($A900="","",SUMIFS('입금 Payments'!$C$3:$C$1002,'입금 Payments'!$B$3:$B$1002,$A900))</f>
      </c>
      <c r="P900" s="41">
        <f>IF($C900="","",ROUND($H900*(1+IF('설정 Settings'!$C$24="YES",'설정 Settings'!$C$26,0)),2)-N($O900))</f>
      </c>
      <c r="Q900" s="42">
        <f>IF($A900="","","INV-"&amp;$A900)</f>
      </c>
      <c r="R900" s="42">
        <f>IF($H900="","",IF($H900&gt;'설정 Settings'!$C$36,"$2,000 초과: e-Transfer 나눠 받기 (F36)",""))</f>
      </c>
    </row>
    <row r="901" spans="12:18" x14ac:dyDescent="0.25">
      <c r="L901" s="41">
        <f>IF($C901="","",IF($I901="",ROUND(IFERROR($H901*VLOOKUP($F901,'설정 Settings'!$A$122:$F$130,4,0)+VLOOKUP($F901,'설정 Settings'!$A$122:$F$130,5,0),0),2),$I901))</f>
      </c>
      <c r="M901" s="41">
        <f>IF($C901="","",$H901-$L901)</f>
      </c>
      <c r="N901" s="42">
        <f>IF($C901="","",IF($I901="","추정 ESTIMATE","실제 ACTUAL"))</f>
      </c>
      <c r="O901" s="41">
        <f>IF($A901="","",SUMIFS('입금 Payments'!$C$3:$C$1002,'입금 Payments'!$B$3:$B$1002,$A901))</f>
      </c>
      <c r="P901" s="41">
        <f>IF($C901="","",ROUND($H901*(1+IF('설정 Settings'!$C$24="YES",'설정 Settings'!$C$26,0)),2)-N($O901))</f>
      </c>
      <c r="Q901" s="42">
        <f>IF($A901="","","INV-"&amp;$A901)</f>
      </c>
      <c r="R901" s="42">
        <f>IF($H901="","",IF($H901&gt;'설정 Settings'!$C$36,"$2,000 초과: e-Transfer 나눠 받기 (F36)",""))</f>
      </c>
    </row>
    <row r="902" spans="12:18" x14ac:dyDescent="0.25">
      <c r="L902" s="41">
        <f>IF($C902="","",IF($I902="",ROUND(IFERROR($H902*VLOOKUP($F902,'설정 Settings'!$A$122:$F$130,4,0)+VLOOKUP($F902,'설정 Settings'!$A$122:$F$130,5,0),0),2),$I902))</f>
      </c>
      <c r="M902" s="41">
        <f>IF($C902="","",$H902-$L902)</f>
      </c>
      <c r="N902" s="42">
        <f>IF($C902="","",IF($I902="","추정 ESTIMATE","실제 ACTUAL"))</f>
      </c>
      <c r="O902" s="41">
        <f>IF($A902="","",SUMIFS('입금 Payments'!$C$3:$C$1002,'입금 Payments'!$B$3:$B$1002,$A902))</f>
      </c>
      <c r="P902" s="41">
        <f>IF($C902="","",ROUND($H902*(1+IF('설정 Settings'!$C$24="YES",'설정 Settings'!$C$26,0)),2)-N($O902))</f>
      </c>
      <c r="Q902" s="42">
        <f>IF($A902="","","INV-"&amp;$A902)</f>
      </c>
      <c r="R902" s="42">
        <f>IF($H902="","",IF($H902&gt;'설정 Settings'!$C$36,"$2,000 초과: e-Transfer 나눠 받기 (F36)",""))</f>
      </c>
    </row>
    <row r="903" spans="12:18" x14ac:dyDescent="0.25">
      <c r="L903" s="41">
        <f>IF($C903="","",IF($I903="",ROUND(IFERROR($H903*VLOOKUP($F903,'설정 Settings'!$A$122:$F$130,4,0)+VLOOKUP($F903,'설정 Settings'!$A$122:$F$130,5,0),0),2),$I903))</f>
      </c>
      <c r="M903" s="41">
        <f>IF($C903="","",$H903-$L903)</f>
      </c>
      <c r="N903" s="42">
        <f>IF($C903="","",IF($I903="","추정 ESTIMATE","실제 ACTUAL"))</f>
      </c>
      <c r="O903" s="41">
        <f>IF($A903="","",SUMIFS('입금 Payments'!$C$3:$C$1002,'입금 Payments'!$B$3:$B$1002,$A903))</f>
      </c>
      <c r="P903" s="41">
        <f>IF($C903="","",ROUND($H903*(1+IF('설정 Settings'!$C$24="YES",'설정 Settings'!$C$26,0)),2)-N($O903))</f>
      </c>
      <c r="Q903" s="42">
        <f>IF($A903="","","INV-"&amp;$A903)</f>
      </c>
      <c r="R903" s="42">
        <f>IF($H903="","",IF($H903&gt;'설정 Settings'!$C$36,"$2,000 초과: e-Transfer 나눠 받기 (F36)",""))</f>
      </c>
    </row>
    <row r="904" spans="12:18" x14ac:dyDescent="0.25">
      <c r="L904" s="41">
        <f>IF($C904="","",IF($I904="",ROUND(IFERROR($H904*VLOOKUP($F904,'설정 Settings'!$A$122:$F$130,4,0)+VLOOKUP($F904,'설정 Settings'!$A$122:$F$130,5,0),0),2),$I904))</f>
      </c>
      <c r="M904" s="41">
        <f>IF($C904="","",$H904-$L904)</f>
      </c>
      <c r="N904" s="42">
        <f>IF($C904="","",IF($I904="","추정 ESTIMATE","실제 ACTUAL"))</f>
      </c>
      <c r="O904" s="41">
        <f>IF($A904="","",SUMIFS('입금 Payments'!$C$3:$C$1002,'입금 Payments'!$B$3:$B$1002,$A904))</f>
      </c>
      <c r="P904" s="41">
        <f>IF($C904="","",ROUND($H904*(1+IF('설정 Settings'!$C$24="YES",'설정 Settings'!$C$26,0)),2)-N($O904))</f>
      </c>
      <c r="Q904" s="42">
        <f>IF($A904="","","INV-"&amp;$A904)</f>
      </c>
      <c r="R904" s="42">
        <f>IF($H904="","",IF($H904&gt;'설정 Settings'!$C$36,"$2,000 초과: e-Transfer 나눠 받기 (F36)",""))</f>
      </c>
    </row>
    <row r="905" spans="12:18" x14ac:dyDescent="0.25">
      <c r="L905" s="41">
        <f>IF($C905="","",IF($I905="",ROUND(IFERROR($H905*VLOOKUP($F905,'설정 Settings'!$A$122:$F$130,4,0)+VLOOKUP($F905,'설정 Settings'!$A$122:$F$130,5,0),0),2),$I905))</f>
      </c>
      <c r="M905" s="41">
        <f>IF($C905="","",$H905-$L905)</f>
      </c>
      <c r="N905" s="42">
        <f>IF($C905="","",IF($I905="","추정 ESTIMATE","실제 ACTUAL"))</f>
      </c>
      <c r="O905" s="41">
        <f>IF($A905="","",SUMIFS('입금 Payments'!$C$3:$C$1002,'입금 Payments'!$B$3:$B$1002,$A905))</f>
      </c>
      <c r="P905" s="41">
        <f>IF($C905="","",ROUND($H905*(1+IF('설정 Settings'!$C$24="YES",'설정 Settings'!$C$26,0)),2)-N($O905))</f>
      </c>
      <c r="Q905" s="42">
        <f>IF($A905="","","INV-"&amp;$A905)</f>
      </c>
      <c r="R905" s="42">
        <f>IF($H905="","",IF($H905&gt;'설정 Settings'!$C$36,"$2,000 초과: e-Transfer 나눠 받기 (F36)",""))</f>
      </c>
    </row>
    <row r="906" spans="12:18" x14ac:dyDescent="0.25">
      <c r="L906" s="41">
        <f>IF($C906="","",IF($I906="",ROUND(IFERROR($H906*VLOOKUP($F906,'설정 Settings'!$A$122:$F$130,4,0)+VLOOKUP($F906,'설정 Settings'!$A$122:$F$130,5,0),0),2),$I906))</f>
      </c>
      <c r="M906" s="41">
        <f>IF($C906="","",$H906-$L906)</f>
      </c>
      <c r="N906" s="42">
        <f>IF($C906="","",IF($I906="","추정 ESTIMATE","실제 ACTUAL"))</f>
      </c>
      <c r="O906" s="41">
        <f>IF($A906="","",SUMIFS('입금 Payments'!$C$3:$C$1002,'입금 Payments'!$B$3:$B$1002,$A906))</f>
      </c>
      <c r="P906" s="41">
        <f>IF($C906="","",ROUND($H906*(1+IF('설정 Settings'!$C$24="YES",'설정 Settings'!$C$26,0)),2)-N($O906))</f>
      </c>
      <c r="Q906" s="42">
        <f>IF($A906="","","INV-"&amp;$A906)</f>
      </c>
      <c r="R906" s="42">
        <f>IF($H906="","",IF($H906&gt;'설정 Settings'!$C$36,"$2,000 초과: e-Transfer 나눠 받기 (F36)",""))</f>
      </c>
    </row>
    <row r="907" spans="12:18" x14ac:dyDescent="0.25">
      <c r="L907" s="41">
        <f>IF($C907="","",IF($I907="",ROUND(IFERROR($H907*VLOOKUP($F907,'설정 Settings'!$A$122:$F$130,4,0)+VLOOKUP($F907,'설정 Settings'!$A$122:$F$130,5,0),0),2),$I907))</f>
      </c>
      <c r="M907" s="41">
        <f>IF($C907="","",$H907-$L907)</f>
      </c>
      <c r="N907" s="42">
        <f>IF($C907="","",IF($I907="","추정 ESTIMATE","실제 ACTUAL"))</f>
      </c>
      <c r="O907" s="41">
        <f>IF($A907="","",SUMIFS('입금 Payments'!$C$3:$C$1002,'입금 Payments'!$B$3:$B$1002,$A907))</f>
      </c>
      <c r="P907" s="41">
        <f>IF($C907="","",ROUND($H907*(1+IF('설정 Settings'!$C$24="YES",'설정 Settings'!$C$26,0)),2)-N($O907))</f>
      </c>
      <c r="Q907" s="42">
        <f>IF($A907="","","INV-"&amp;$A907)</f>
      </c>
      <c r="R907" s="42">
        <f>IF($H907="","",IF($H907&gt;'설정 Settings'!$C$36,"$2,000 초과: e-Transfer 나눠 받기 (F36)",""))</f>
      </c>
    </row>
    <row r="908" spans="12:18" x14ac:dyDescent="0.25">
      <c r="L908" s="41">
        <f>IF($C908="","",IF($I908="",ROUND(IFERROR($H908*VLOOKUP($F908,'설정 Settings'!$A$122:$F$130,4,0)+VLOOKUP($F908,'설정 Settings'!$A$122:$F$130,5,0),0),2),$I908))</f>
      </c>
      <c r="M908" s="41">
        <f>IF($C908="","",$H908-$L908)</f>
      </c>
      <c r="N908" s="42">
        <f>IF($C908="","",IF($I908="","추정 ESTIMATE","실제 ACTUAL"))</f>
      </c>
      <c r="O908" s="41">
        <f>IF($A908="","",SUMIFS('입금 Payments'!$C$3:$C$1002,'입금 Payments'!$B$3:$B$1002,$A908))</f>
      </c>
      <c r="P908" s="41">
        <f>IF($C908="","",ROUND($H908*(1+IF('설정 Settings'!$C$24="YES",'설정 Settings'!$C$26,0)),2)-N($O908))</f>
      </c>
      <c r="Q908" s="42">
        <f>IF($A908="","","INV-"&amp;$A908)</f>
      </c>
      <c r="R908" s="42">
        <f>IF($H908="","",IF($H908&gt;'설정 Settings'!$C$36,"$2,000 초과: e-Transfer 나눠 받기 (F36)",""))</f>
      </c>
    </row>
    <row r="909" spans="12:18" x14ac:dyDescent="0.25">
      <c r="L909" s="41">
        <f>IF($C909="","",IF($I909="",ROUND(IFERROR($H909*VLOOKUP($F909,'설정 Settings'!$A$122:$F$130,4,0)+VLOOKUP($F909,'설정 Settings'!$A$122:$F$130,5,0),0),2),$I909))</f>
      </c>
      <c r="M909" s="41">
        <f>IF($C909="","",$H909-$L909)</f>
      </c>
      <c r="N909" s="42">
        <f>IF($C909="","",IF($I909="","추정 ESTIMATE","실제 ACTUAL"))</f>
      </c>
      <c r="O909" s="41">
        <f>IF($A909="","",SUMIFS('입금 Payments'!$C$3:$C$1002,'입금 Payments'!$B$3:$B$1002,$A909))</f>
      </c>
      <c r="P909" s="41">
        <f>IF($C909="","",ROUND($H909*(1+IF('설정 Settings'!$C$24="YES",'설정 Settings'!$C$26,0)),2)-N($O909))</f>
      </c>
      <c r="Q909" s="42">
        <f>IF($A909="","","INV-"&amp;$A909)</f>
      </c>
      <c r="R909" s="42">
        <f>IF($H909="","",IF($H909&gt;'설정 Settings'!$C$36,"$2,000 초과: e-Transfer 나눠 받기 (F36)",""))</f>
      </c>
    </row>
    <row r="910" spans="12:18" x14ac:dyDescent="0.25">
      <c r="L910" s="41">
        <f>IF($C910="","",IF($I910="",ROUND(IFERROR($H910*VLOOKUP($F910,'설정 Settings'!$A$122:$F$130,4,0)+VLOOKUP($F910,'설정 Settings'!$A$122:$F$130,5,0),0),2),$I910))</f>
      </c>
      <c r="M910" s="41">
        <f>IF($C910="","",$H910-$L910)</f>
      </c>
      <c r="N910" s="42">
        <f>IF($C910="","",IF($I910="","추정 ESTIMATE","실제 ACTUAL"))</f>
      </c>
      <c r="O910" s="41">
        <f>IF($A910="","",SUMIFS('입금 Payments'!$C$3:$C$1002,'입금 Payments'!$B$3:$B$1002,$A910))</f>
      </c>
      <c r="P910" s="41">
        <f>IF($C910="","",ROUND($H910*(1+IF('설정 Settings'!$C$24="YES",'설정 Settings'!$C$26,0)),2)-N($O910))</f>
      </c>
      <c r="Q910" s="42">
        <f>IF($A910="","","INV-"&amp;$A910)</f>
      </c>
      <c r="R910" s="42">
        <f>IF($H910="","",IF($H910&gt;'설정 Settings'!$C$36,"$2,000 초과: e-Transfer 나눠 받기 (F36)",""))</f>
      </c>
    </row>
    <row r="911" spans="12:18" x14ac:dyDescent="0.25">
      <c r="L911" s="41">
        <f>IF($C911="","",IF($I911="",ROUND(IFERROR($H911*VLOOKUP($F911,'설정 Settings'!$A$122:$F$130,4,0)+VLOOKUP($F911,'설정 Settings'!$A$122:$F$130,5,0),0),2),$I911))</f>
      </c>
      <c r="M911" s="41">
        <f>IF($C911="","",$H911-$L911)</f>
      </c>
      <c r="N911" s="42">
        <f>IF($C911="","",IF($I911="","추정 ESTIMATE","실제 ACTUAL"))</f>
      </c>
      <c r="O911" s="41">
        <f>IF($A911="","",SUMIFS('입금 Payments'!$C$3:$C$1002,'입금 Payments'!$B$3:$B$1002,$A911))</f>
      </c>
      <c r="P911" s="41">
        <f>IF($C911="","",ROUND($H911*(1+IF('설정 Settings'!$C$24="YES",'설정 Settings'!$C$26,0)),2)-N($O911))</f>
      </c>
      <c r="Q911" s="42">
        <f>IF($A911="","","INV-"&amp;$A911)</f>
      </c>
      <c r="R911" s="42">
        <f>IF($H911="","",IF($H911&gt;'설정 Settings'!$C$36,"$2,000 초과: e-Transfer 나눠 받기 (F36)",""))</f>
      </c>
    </row>
    <row r="912" spans="12:18" x14ac:dyDescent="0.25">
      <c r="L912" s="41">
        <f>IF($C912="","",IF($I912="",ROUND(IFERROR($H912*VLOOKUP($F912,'설정 Settings'!$A$122:$F$130,4,0)+VLOOKUP($F912,'설정 Settings'!$A$122:$F$130,5,0),0),2),$I912))</f>
      </c>
      <c r="M912" s="41">
        <f>IF($C912="","",$H912-$L912)</f>
      </c>
      <c r="N912" s="42">
        <f>IF($C912="","",IF($I912="","추정 ESTIMATE","실제 ACTUAL"))</f>
      </c>
      <c r="O912" s="41">
        <f>IF($A912="","",SUMIFS('입금 Payments'!$C$3:$C$1002,'입금 Payments'!$B$3:$B$1002,$A912))</f>
      </c>
      <c r="P912" s="41">
        <f>IF($C912="","",ROUND($H912*(1+IF('설정 Settings'!$C$24="YES",'설정 Settings'!$C$26,0)),2)-N($O912))</f>
      </c>
      <c r="Q912" s="42">
        <f>IF($A912="","","INV-"&amp;$A912)</f>
      </c>
      <c r="R912" s="42">
        <f>IF($H912="","",IF($H912&gt;'설정 Settings'!$C$36,"$2,000 초과: e-Transfer 나눠 받기 (F36)",""))</f>
      </c>
    </row>
    <row r="913" spans="12:18" x14ac:dyDescent="0.25">
      <c r="L913" s="41">
        <f>IF($C913="","",IF($I913="",ROUND(IFERROR($H913*VLOOKUP($F913,'설정 Settings'!$A$122:$F$130,4,0)+VLOOKUP($F913,'설정 Settings'!$A$122:$F$130,5,0),0),2),$I913))</f>
      </c>
      <c r="M913" s="41">
        <f>IF($C913="","",$H913-$L913)</f>
      </c>
      <c r="N913" s="42">
        <f>IF($C913="","",IF($I913="","추정 ESTIMATE","실제 ACTUAL"))</f>
      </c>
      <c r="O913" s="41">
        <f>IF($A913="","",SUMIFS('입금 Payments'!$C$3:$C$1002,'입금 Payments'!$B$3:$B$1002,$A913))</f>
      </c>
      <c r="P913" s="41">
        <f>IF($C913="","",ROUND($H913*(1+IF('설정 Settings'!$C$24="YES",'설정 Settings'!$C$26,0)),2)-N($O913))</f>
      </c>
      <c r="Q913" s="42">
        <f>IF($A913="","","INV-"&amp;$A913)</f>
      </c>
      <c r="R913" s="42">
        <f>IF($H913="","",IF($H913&gt;'설정 Settings'!$C$36,"$2,000 초과: e-Transfer 나눠 받기 (F36)",""))</f>
      </c>
    </row>
    <row r="914" spans="12:18" x14ac:dyDescent="0.25">
      <c r="L914" s="41">
        <f>IF($C914="","",IF($I914="",ROUND(IFERROR($H914*VLOOKUP($F914,'설정 Settings'!$A$122:$F$130,4,0)+VLOOKUP($F914,'설정 Settings'!$A$122:$F$130,5,0),0),2),$I914))</f>
      </c>
      <c r="M914" s="41">
        <f>IF($C914="","",$H914-$L914)</f>
      </c>
      <c r="N914" s="42">
        <f>IF($C914="","",IF($I914="","추정 ESTIMATE","실제 ACTUAL"))</f>
      </c>
      <c r="O914" s="41">
        <f>IF($A914="","",SUMIFS('입금 Payments'!$C$3:$C$1002,'입금 Payments'!$B$3:$B$1002,$A914))</f>
      </c>
      <c r="P914" s="41">
        <f>IF($C914="","",ROUND($H914*(1+IF('설정 Settings'!$C$24="YES",'설정 Settings'!$C$26,0)),2)-N($O914))</f>
      </c>
      <c r="Q914" s="42">
        <f>IF($A914="","","INV-"&amp;$A914)</f>
      </c>
      <c r="R914" s="42">
        <f>IF($H914="","",IF($H914&gt;'설정 Settings'!$C$36,"$2,000 초과: e-Transfer 나눠 받기 (F36)",""))</f>
      </c>
    </row>
    <row r="915" spans="12:18" x14ac:dyDescent="0.25">
      <c r="L915" s="41">
        <f>IF($C915="","",IF($I915="",ROUND(IFERROR($H915*VLOOKUP($F915,'설정 Settings'!$A$122:$F$130,4,0)+VLOOKUP($F915,'설정 Settings'!$A$122:$F$130,5,0),0),2),$I915))</f>
      </c>
      <c r="M915" s="41">
        <f>IF($C915="","",$H915-$L915)</f>
      </c>
      <c r="N915" s="42">
        <f>IF($C915="","",IF($I915="","추정 ESTIMATE","실제 ACTUAL"))</f>
      </c>
      <c r="O915" s="41">
        <f>IF($A915="","",SUMIFS('입금 Payments'!$C$3:$C$1002,'입금 Payments'!$B$3:$B$1002,$A915))</f>
      </c>
      <c r="P915" s="41">
        <f>IF($C915="","",ROUND($H915*(1+IF('설정 Settings'!$C$24="YES",'설정 Settings'!$C$26,0)),2)-N($O915))</f>
      </c>
      <c r="Q915" s="42">
        <f>IF($A915="","","INV-"&amp;$A915)</f>
      </c>
      <c r="R915" s="42">
        <f>IF($H915="","",IF($H915&gt;'설정 Settings'!$C$36,"$2,000 초과: e-Transfer 나눠 받기 (F36)",""))</f>
      </c>
    </row>
    <row r="916" spans="12:18" x14ac:dyDescent="0.25">
      <c r="L916" s="41">
        <f>IF($C916="","",IF($I916="",ROUND(IFERROR($H916*VLOOKUP($F916,'설정 Settings'!$A$122:$F$130,4,0)+VLOOKUP($F916,'설정 Settings'!$A$122:$F$130,5,0),0),2),$I916))</f>
      </c>
      <c r="M916" s="41">
        <f>IF($C916="","",$H916-$L916)</f>
      </c>
      <c r="N916" s="42">
        <f>IF($C916="","",IF($I916="","추정 ESTIMATE","실제 ACTUAL"))</f>
      </c>
      <c r="O916" s="41">
        <f>IF($A916="","",SUMIFS('입금 Payments'!$C$3:$C$1002,'입금 Payments'!$B$3:$B$1002,$A916))</f>
      </c>
      <c r="P916" s="41">
        <f>IF($C916="","",ROUND($H916*(1+IF('설정 Settings'!$C$24="YES",'설정 Settings'!$C$26,0)),2)-N($O916))</f>
      </c>
      <c r="Q916" s="42">
        <f>IF($A916="","","INV-"&amp;$A916)</f>
      </c>
      <c r="R916" s="42">
        <f>IF($H916="","",IF($H916&gt;'설정 Settings'!$C$36,"$2,000 초과: e-Transfer 나눠 받기 (F36)",""))</f>
      </c>
    </row>
    <row r="917" spans="12:18" x14ac:dyDescent="0.25">
      <c r="L917" s="41">
        <f>IF($C917="","",IF($I917="",ROUND(IFERROR($H917*VLOOKUP($F917,'설정 Settings'!$A$122:$F$130,4,0)+VLOOKUP($F917,'설정 Settings'!$A$122:$F$130,5,0),0),2),$I917))</f>
      </c>
      <c r="M917" s="41">
        <f>IF($C917="","",$H917-$L917)</f>
      </c>
      <c r="N917" s="42">
        <f>IF($C917="","",IF($I917="","추정 ESTIMATE","실제 ACTUAL"))</f>
      </c>
      <c r="O917" s="41">
        <f>IF($A917="","",SUMIFS('입금 Payments'!$C$3:$C$1002,'입금 Payments'!$B$3:$B$1002,$A917))</f>
      </c>
      <c r="P917" s="41">
        <f>IF($C917="","",ROUND($H917*(1+IF('설정 Settings'!$C$24="YES",'설정 Settings'!$C$26,0)),2)-N($O917))</f>
      </c>
      <c r="Q917" s="42">
        <f>IF($A917="","","INV-"&amp;$A917)</f>
      </c>
      <c r="R917" s="42">
        <f>IF($H917="","",IF($H917&gt;'설정 Settings'!$C$36,"$2,000 초과: e-Transfer 나눠 받기 (F36)",""))</f>
      </c>
    </row>
    <row r="918" spans="12:18" x14ac:dyDescent="0.25">
      <c r="L918" s="41">
        <f>IF($C918="","",IF($I918="",ROUND(IFERROR($H918*VLOOKUP($F918,'설정 Settings'!$A$122:$F$130,4,0)+VLOOKUP($F918,'설정 Settings'!$A$122:$F$130,5,0),0),2),$I918))</f>
      </c>
      <c r="M918" s="41">
        <f>IF($C918="","",$H918-$L918)</f>
      </c>
      <c r="N918" s="42">
        <f>IF($C918="","",IF($I918="","추정 ESTIMATE","실제 ACTUAL"))</f>
      </c>
      <c r="O918" s="41">
        <f>IF($A918="","",SUMIFS('입금 Payments'!$C$3:$C$1002,'입금 Payments'!$B$3:$B$1002,$A918))</f>
      </c>
      <c r="P918" s="41">
        <f>IF($C918="","",ROUND($H918*(1+IF('설정 Settings'!$C$24="YES",'설정 Settings'!$C$26,0)),2)-N($O918))</f>
      </c>
      <c r="Q918" s="42">
        <f>IF($A918="","","INV-"&amp;$A918)</f>
      </c>
      <c r="R918" s="42">
        <f>IF($H918="","",IF($H918&gt;'설정 Settings'!$C$36,"$2,000 초과: e-Transfer 나눠 받기 (F36)",""))</f>
      </c>
    </row>
    <row r="919" spans="12:18" x14ac:dyDescent="0.25">
      <c r="L919" s="41">
        <f>IF($C919="","",IF($I919="",ROUND(IFERROR($H919*VLOOKUP($F919,'설정 Settings'!$A$122:$F$130,4,0)+VLOOKUP($F919,'설정 Settings'!$A$122:$F$130,5,0),0),2),$I919))</f>
      </c>
      <c r="M919" s="41">
        <f>IF($C919="","",$H919-$L919)</f>
      </c>
      <c r="N919" s="42">
        <f>IF($C919="","",IF($I919="","추정 ESTIMATE","실제 ACTUAL"))</f>
      </c>
      <c r="O919" s="41">
        <f>IF($A919="","",SUMIFS('입금 Payments'!$C$3:$C$1002,'입금 Payments'!$B$3:$B$1002,$A919))</f>
      </c>
      <c r="P919" s="41">
        <f>IF($C919="","",ROUND($H919*(1+IF('설정 Settings'!$C$24="YES",'설정 Settings'!$C$26,0)),2)-N($O919))</f>
      </c>
      <c r="Q919" s="42">
        <f>IF($A919="","","INV-"&amp;$A919)</f>
      </c>
      <c r="R919" s="42">
        <f>IF($H919="","",IF($H919&gt;'설정 Settings'!$C$36,"$2,000 초과: e-Transfer 나눠 받기 (F36)",""))</f>
      </c>
    </row>
    <row r="920" spans="12:18" x14ac:dyDescent="0.25">
      <c r="L920" s="41">
        <f>IF($C920="","",IF($I920="",ROUND(IFERROR($H920*VLOOKUP($F920,'설정 Settings'!$A$122:$F$130,4,0)+VLOOKUP($F920,'설정 Settings'!$A$122:$F$130,5,0),0),2),$I920))</f>
      </c>
      <c r="M920" s="41">
        <f>IF($C920="","",$H920-$L920)</f>
      </c>
      <c r="N920" s="42">
        <f>IF($C920="","",IF($I920="","추정 ESTIMATE","실제 ACTUAL"))</f>
      </c>
      <c r="O920" s="41">
        <f>IF($A920="","",SUMIFS('입금 Payments'!$C$3:$C$1002,'입금 Payments'!$B$3:$B$1002,$A920))</f>
      </c>
      <c r="P920" s="41">
        <f>IF($C920="","",ROUND($H920*(1+IF('설정 Settings'!$C$24="YES",'설정 Settings'!$C$26,0)),2)-N($O920))</f>
      </c>
      <c r="Q920" s="42">
        <f>IF($A920="","","INV-"&amp;$A920)</f>
      </c>
      <c r="R920" s="42">
        <f>IF($H920="","",IF($H920&gt;'설정 Settings'!$C$36,"$2,000 초과: e-Transfer 나눠 받기 (F36)",""))</f>
      </c>
    </row>
    <row r="921" spans="12:18" x14ac:dyDescent="0.25">
      <c r="L921" s="41">
        <f>IF($C921="","",IF($I921="",ROUND(IFERROR($H921*VLOOKUP($F921,'설정 Settings'!$A$122:$F$130,4,0)+VLOOKUP($F921,'설정 Settings'!$A$122:$F$130,5,0),0),2),$I921))</f>
      </c>
      <c r="M921" s="41">
        <f>IF($C921="","",$H921-$L921)</f>
      </c>
      <c r="N921" s="42">
        <f>IF($C921="","",IF($I921="","추정 ESTIMATE","실제 ACTUAL"))</f>
      </c>
      <c r="O921" s="41">
        <f>IF($A921="","",SUMIFS('입금 Payments'!$C$3:$C$1002,'입금 Payments'!$B$3:$B$1002,$A921))</f>
      </c>
      <c r="P921" s="41">
        <f>IF($C921="","",ROUND($H921*(1+IF('설정 Settings'!$C$24="YES",'설정 Settings'!$C$26,0)),2)-N($O921))</f>
      </c>
      <c r="Q921" s="42">
        <f>IF($A921="","","INV-"&amp;$A921)</f>
      </c>
      <c r="R921" s="42">
        <f>IF($H921="","",IF($H921&gt;'설정 Settings'!$C$36,"$2,000 초과: e-Transfer 나눠 받기 (F36)",""))</f>
      </c>
    </row>
    <row r="922" spans="12:18" x14ac:dyDescent="0.25">
      <c r="L922" s="41">
        <f>IF($C922="","",IF($I922="",ROUND(IFERROR($H922*VLOOKUP($F922,'설정 Settings'!$A$122:$F$130,4,0)+VLOOKUP($F922,'설정 Settings'!$A$122:$F$130,5,0),0),2),$I922))</f>
      </c>
      <c r="M922" s="41">
        <f>IF($C922="","",$H922-$L922)</f>
      </c>
      <c r="N922" s="42">
        <f>IF($C922="","",IF($I922="","추정 ESTIMATE","실제 ACTUAL"))</f>
      </c>
      <c r="O922" s="41">
        <f>IF($A922="","",SUMIFS('입금 Payments'!$C$3:$C$1002,'입금 Payments'!$B$3:$B$1002,$A922))</f>
      </c>
      <c r="P922" s="41">
        <f>IF($C922="","",ROUND($H922*(1+IF('설정 Settings'!$C$24="YES",'설정 Settings'!$C$26,0)),2)-N($O922))</f>
      </c>
      <c r="Q922" s="42">
        <f>IF($A922="","","INV-"&amp;$A922)</f>
      </c>
      <c r="R922" s="42">
        <f>IF($H922="","",IF($H922&gt;'설정 Settings'!$C$36,"$2,000 초과: e-Transfer 나눠 받기 (F36)",""))</f>
      </c>
    </row>
    <row r="923" spans="12:18" x14ac:dyDescent="0.25">
      <c r="L923" s="41">
        <f>IF($C923="","",IF($I923="",ROUND(IFERROR($H923*VLOOKUP($F923,'설정 Settings'!$A$122:$F$130,4,0)+VLOOKUP($F923,'설정 Settings'!$A$122:$F$130,5,0),0),2),$I923))</f>
      </c>
      <c r="M923" s="41">
        <f>IF($C923="","",$H923-$L923)</f>
      </c>
      <c r="N923" s="42">
        <f>IF($C923="","",IF($I923="","추정 ESTIMATE","실제 ACTUAL"))</f>
      </c>
      <c r="O923" s="41">
        <f>IF($A923="","",SUMIFS('입금 Payments'!$C$3:$C$1002,'입금 Payments'!$B$3:$B$1002,$A923))</f>
      </c>
      <c r="P923" s="41">
        <f>IF($C923="","",ROUND($H923*(1+IF('설정 Settings'!$C$24="YES",'설정 Settings'!$C$26,0)),2)-N($O923))</f>
      </c>
      <c r="Q923" s="42">
        <f>IF($A923="","","INV-"&amp;$A923)</f>
      </c>
      <c r="R923" s="42">
        <f>IF($H923="","",IF($H923&gt;'설정 Settings'!$C$36,"$2,000 초과: e-Transfer 나눠 받기 (F36)",""))</f>
      </c>
    </row>
    <row r="924" spans="12:18" x14ac:dyDescent="0.25">
      <c r="L924" s="41">
        <f>IF($C924="","",IF($I924="",ROUND(IFERROR($H924*VLOOKUP($F924,'설정 Settings'!$A$122:$F$130,4,0)+VLOOKUP($F924,'설정 Settings'!$A$122:$F$130,5,0),0),2),$I924))</f>
      </c>
      <c r="M924" s="41">
        <f>IF($C924="","",$H924-$L924)</f>
      </c>
      <c r="N924" s="42">
        <f>IF($C924="","",IF($I924="","추정 ESTIMATE","실제 ACTUAL"))</f>
      </c>
      <c r="O924" s="41">
        <f>IF($A924="","",SUMIFS('입금 Payments'!$C$3:$C$1002,'입금 Payments'!$B$3:$B$1002,$A924))</f>
      </c>
      <c r="P924" s="41">
        <f>IF($C924="","",ROUND($H924*(1+IF('설정 Settings'!$C$24="YES",'설정 Settings'!$C$26,0)),2)-N($O924))</f>
      </c>
      <c r="Q924" s="42">
        <f>IF($A924="","","INV-"&amp;$A924)</f>
      </c>
      <c r="R924" s="42">
        <f>IF($H924="","",IF($H924&gt;'설정 Settings'!$C$36,"$2,000 초과: e-Transfer 나눠 받기 (F36)",""))</f>
      </c>
    </row>
    <row r="925" spans="12:18" x14ac:dyDescent="0.25">
      <c r="L925" s="41">
        <f>IF($C925="","",IF($I925="",ROUND(IFERROR($H925*VLOOKUP($F925,'설정 Settings'!$A$122:$F$130,4,0)+VLOOKUP($F925,'설정 Settings'!$A$122:$F$130,5,0),0),2),$I925))</f>
      </c>
      <c r="M925" s="41">
        <f>IF($C925="","",$H925-$L925)</f>
      </c>
      <c r="N925" s="42">
        <f>IF($C925="","",IF($I925="","추정 ESTIMATE","실제 ACTUAL"))</f>
      </c>
      <c r="O925" s="41">
        <f>IF($A925="","",SUMIFS('입금 Payments'!$C$3:$C$1002,'입금 Payments'!$B$3:$B$1002,$A925))</f>
      </c>
      <c r="P925" s="41">
        <f>IF($C925="","",ROUND($H925*(1+IF('설정 Settings'!$C$24="YES",'설정 Settings'!$C$26,0)),2)-N($O925))</f>
      </c>
      <c r="Q925" s="42">
        <f>IF($A925="","","INV-"&amp;$A925)</f>
      </c>
      <c r="R925" s="42">
        <f>IF($H925="","",IF($H925&gt;'설정 Settings'!$C$36,"$2,000 초과: e-Transfer 나눠 받기 (F36)",""))</f>
      </c>
    </row>
    <row r="926" spans="12:18" x14ac:dyDescent="0.25">
      <c r="L926" s="41">
        <f>IF($C926="","",IF($I926="",ROUND(IFERROR($H926*VLOOKUP($F926,'설정 Settings'!$A$122:$F$130,4,0)+VLOOKUP($F926,'설정 Settings'!$A$122:$F$130,5,0),0),2),$I926))</f>
      </c>
      <c r="M926" s="41">
        <f>IF($C926="","",$H926-$L926)</f>
      </c>
      <c r="N926" s="42">
        <f>IF($C926="","",IF($I926="","추정 ESTIMATE","실제 ACTUAL"))</f>
      </c>
      <c r="O926" s="41">
        <f>IF($A926="","",SUMIFS('입금 Payments'!$C$3:$C$1002,'입금 Payments'!$B$3:$B$1002,$A926))</f>
      </c>
      <c r="P926" s="41">
        <f>IF($C926="","",ROUND($H926*(1+IF('설정 Settings'!$C$24="YES",'설정 Settings'!$C$26,0)),2)-N($O926))</f>
      </c>
      <c r="Q926" s="42">
        <f>IF($A926="","","INV-"&amp;$A926)</f>
      </c>
      <c r="R926" s="42">
        <f>IF($H926="","",IF($H926&gt;'설정 Settings'!$C$36,"$2,000 초과: e-Transfer 나눠 받기 (F36)",""))</f>
      </c>
    </row>
    <row r="927" spans="12:18" x14ac:dyDescent="0.25">
      <c r="L927" s="41">
        <f>IF($C927="","",IF($I927="",ROUND(IFERROR($H927*VLOOKUP($F927,'설정 Settings'!$A$122:$F$130,4,0)+VLOOKUP($F927,'설정 Settings'!$A$122:$F$130,5,0),0),2),$I927))</f>
      </c>
      <c r="M927" s="41">
        <f>IF($C927="","",$H927-$L927)</f>
      </c>
      <c r="N927" s="42">
        <f>IF($C927="","",IF($I927="","추정 ESTIMATE","실제 ACTUAL"))</f>
      </c>
      <c r="O927" s="41">
        <f>IF($A927="","",SUMIFS('입금 Payments'!$C$3:$C$1002,'입금 Payments'!$B$3:$B$1002,$A927))</f>
      </c>
      <c r="P927" s="41">
        <f>IF($C927="","",ROUND($H927*(1+IF('설정 Settings'!$C$24="YES",'설정 Settings'!$C$26,0)),2)-N($O927))</f>
      </c>
      <c r="Q927" s="42">
        <f>IF($A927="","","INV-"&amp;$A927)</f>
      </c>
      <c r="R927" s="42">
        <f>IF($H927="","",IF($H927&gt;'설정 Settings'!$C$36,"$2,000 초과: e-Transfer 나눠 받기 (F36)",""))</f>
      </c>
    </row>
    <row r="928" spans="12:18" x14ac:dyDescent="0.25">
      <c r="L928" s="41">
        <f>IF($C928="","",IF($I928="",ROUND(IFERROR($H928*VLOOKUP($F928,'설정 Settings'!$A$122:$F$130,4,0)+VLOOKUP($F928,'설정 Settings'!$A$122:$F$130,5,0),0),2),$I928))</f>
      </c>
      <c r="M928" s="41">
        <f>IF($C928="","",$H928-$L928)</f>
      </c>
      <c r="N928" s="42">
        <f>IF($C928="","",IF($I928="","추정 ESTIMATE","실제 ACTUAL"))</f>
      </c>
      <c r="O928" s="41">
        <f>IF($A928="","",SUMIFS('입금 Payments'!$C$3:$C$1002,'입금 Payments'!$B$3:$B$1002,$A928))</f>
      </c>
      <c r="P928" s="41">
        <f>IF($C928="","",ROUND($H928*(1+IF('설정 Settings'!$C$24="YES",'설정 Settings'!$C$26,0)),2)-N($O928))</f>
      </c>
      <c r="Q928" s="42">
        <f>IF($A928="","","INV-"&amp;$A928)</f>
      </c>
      <c r="R928" s="42">
        <f>IF($H928="","",IF($H928&gt;'설정 Settings'!$C$36,"$2,000 초과: e-Transfer 나눠 받기 (F36)",""))</f>
      </c>
    </row>
    <row r="929" spans="12:18" x14ac:dyDescent="0.25">
      <c r="L929" s="41">
        <f>IF($C929="","",IF($I929="",ROUND(IFERROR($H929*VLOOKUP($F929,'설정 Settings'!$A$122:$F$130,4,0)+VLOOKUP($F929,'설정 Settings'!$A$122:$F$130,5,0),0),2),$I929))</f>
      </c>
      <c r="M929" s="41">
        <f>IF($C929="","",$H929-$L929)</f>
      </c>
      <c r="N929" s="42">
        <f>IF($C929="","",IF($I929="","추정 ESTIMATE","실제 ACTUAL"))</f>
      </c>
      <c r="O929" s="41">
        <f>IF($A929="","",SUMIFS('입금 Payments'!$C$3:$C$1002,'입금 Payments'!$B$3:$B$1002,$A929))</f>
      </c>
      <c r="P929" s="41">
        <f>IF($C929="","",ROUND($H929*(1+IF('설정 Settings'!$C$24="YES",'설정 Settings'!$C$26,0)),2)-N($O929))</f>
      </c>
      <c r="Q929" s="42">
        <f>IF($A929="","","INV-"&amp;$A929)</f>
      </c>
      <c r="R929" s="42">
        <f>IF($H929="","",IF($H929&gt;'설정 Settings'!$C$36,"$2,000 초과: e-Transfer 나눠 받기 (F36)",""))</f>
      </c>
    </row>
    <row r="930" spans="12:18" x14ac:dyDescent="0.25">
      <c r="L930" s="41">
        <f>IF($C930="","",IF($I930="",ROUND(IFERROR($H930*VLOOKUP($F930,'설정 Settings'!$A$122:$F$130,4,0)+VLOOKUP($F930,'설정 Settings'!$A$122:$F$130,5,0),0),2),$I930))</f>
      </c>
      <c r="M930" s="41">
        <f>IF($C930="","",$H930-$L930)</f>
      </c>
      <c r="N930" s="42">
        <f>IF($C930="","",IF($I930="","추정 ESTIMATE","실제 ACTUAL"))</f>
      </c>
      <c r="O930" s="41">
        <f>IF($A930="","",SUMIFS('입금 Payments'!$C$3:$C$1002,'입금 Payments'!$B$3:$B$1002,$A930))</f>
      </c>
      <c r="P930" s="41">
        <f>IF($C930="","",ROUND($H930*(1+IF('설정 Settings'!$C$24="YES",'설정 Settings'!$C$26,0)),2)-N($O930))</f>
      </c>
      <c r="Q930" s="42">
        <f>IF($A930="","","INV-"&amp;$A930)</f>
      </c>
      <c r="R930" s="42">
        <f>IF($H930="","",IF($H930&gt;'설정 Settings'!$C$36,"$2,000 초과: e-Transfer 나눠 받기 (F36)",""))</f>
      </c>
    </row>
    <row r="931" spans="12:18" x14ac:dyDescent="0.25">
      <c r="L931" s="41">
        <f>IF($C931="","",IF($I931="",ROUND(IFERROR($H931*VLOOKUP($F931,'설정 Settings'!$A$122:$F$130,4,0)+VLOOKUP($F931,'설정 Settings'!$A$122:$F$130,5,0),0),2),$I931))</f>
      </c>
      <c r="M931" s="41">
        <f>IF($C931="","",$H931-$L931)</f>
      </c>
      <c r="N931" s="42">
        <f>IF($C931="","",IF($I931="","추정 ESTIMATE","실제 ACTUAL"))</f>
      </c>
      <c r="O931" s="41">
        <f>IF($A931="","",SUMIFS('입금 Payments'!$C$3:$C$1002,'입금 Payments'!$B$3:$B$1002,$A931))</f>
      </c>
      <c r="P931" s="41">
        <f>IF($C931="","",ROUND($H931*(1+IF('설정 Settings'!$C$24="YES",'설정 Settings'!$C$26,0)),2)-N($O931))</f>
      </c>
      <c r="Q931" s="42">
        <f>IF($A931="","","INV-"&amp;$A931)</f>
      </c>
      <c r="R931" s="42">
        <f>IF($H931="","",IF($H931&gt;'설정 Settings'!$C$36,"$2,000 초과: e-Transfer 나눠 받기 (F36)",""))</f>
      </c>
    </row>
    <row r="932" spans="12:18" x14ac:dyDescent="0.25">
      <c r="L932" s="41">
        <f>IF($C932="","",IF($I932="",ROUND(IFERROR($H932*VLOOKUP($F932,'설정 Settings'!$A$122:$F$130,4,0)+VLOOKUP($F932,'설정 Settings'!$A$122:$F$130,5,0),0),2),$I932))</f>
      </c>
      <c r="M932" s="41">
        <f>IF($C932="","",$H932-$L932)</f>
      </c>
      <c r="N932" s="42">
        <f>IF($C932="","",IF($I932="","추정 ESTIMATE","실제 ACTUAL"))</f>
      </c>
      <c r="O932" s="41">
        <f>IF($A932="","",SUMIFS('입금 Payments'!$C$3:$C$1002,'입금 Payments'!$B$3:$B$1002,$A932))</f>
      </c>
      <c r="P932" s="41">
        <f>IF($C932="","",ROUND($H932*(1+IF('설정 Settings'!$C$24="YES",'설정 Settings'!$C$26,0)),2)-N($O932))</f>
      </c>
      <c r="Q932" s="42">
        <f>IF($A932="","","INV-"&amp;$A932)</f>
      </c>
      <c r="R932" s="42">
        <f>IF($H932="","",IF($H932&gt;'설정 Settings'!$C$36,"$2,000 초과: e-Transfer 나눠 받기 (F36)",""))</f>
      </c>
    </row>
    <row r="933" spans="12:18" x14ac:dyDescent="0.25">
      <c r="L933" s="41">
        <f>IF($C933="","",IF($I933="",ROUND(IFERROR($H933*VLOOKUP($F933,'설정 Settings'!$A$122:$F$130,4,0)+VLOOKUP($F933,'설정 Settings'!$A$122:$F$130,5,0),0),2),$I933))</f>
      </c>
      <c r="M933" s="41">
        <f>IF($C933="","",$H933-$L933)</f>
      </c>
      <c r="N933" s="42">
        <f>IF($C933="","",IF($I933="","추정 ESTIMATE","실제 ACTUAL"))</f>
      </c>
      <c r="O933" s="41">
        <f>IF($A933="","",SUMIFS('입금 Payments'!$C$3:$C$1002,'입금 Payments'!$B$3:$B$1002,$A933))</f>
      </c>
      <c r="P933" s="41">
        <f>IF($C933="","",ROUND($H933*(1+IF('설정 Settings'!$C$24="YES",'설정 Settings'!$C$26,0)),2)-N($O933))</f>
      </c>
      <c r="Q933" s="42">
        <f>IF($A933="","","INV-"&amp;$A933)</f>
      </c>
      <c r="R933" s="42">
        <f>IF($H933="","",IF($H933&gt;'설정 Settings'!$C$36,"$2,000 초과: e-Transfer 나눠 받기 (F36)",""))</f>
      </c>
    </row>
    <row r="934" spans="12:18" x14ac:dyDescent="0.25">
      <c r="L934" s="41">
        <f>IF($C934="","",IF($I934="",ROUND(IFERROR($H934*VLOOKUP($F934,'설정 Settings'!$A$122:$F$130,4,0)+VLOOKUP($F934,'설정 Settings'!$A$122:$F$130,5,0),0),2),$I934))</f>
      </c>
      <c r="M934" s="41">
        <f>IF($C934="","",$H934-$L934)</f>
      </c>
      <c r="N934" s="42">
        <f>IF($C934="","",IF($I934="","추정 ESTIMATE","실제 ACTUAL"))</f>
      </c>
      <c r="O934" s="41">
        <f>IF($A934="","",SUMIFS('입금 Payments'!$C$3:$C$1002,'입금 Payments'!$B$3:$B$1002,$A934))</f>
      </c>
      <c r="P934" s="41">
        <f>IF($C934="","",ROUND($H934*(1+IF('설정 Settings'!$C$24="YES",'설정 Settings'!$C$26,0)),2)-N($O934))</f>
      </c>
      <c r="Q934" s="42">
        <f>IF($A934="","","INV-"&amp;$A934)</f>
      </c>
      <c r="R934" s="42">
        <f>IF($H934="","",IF($H934&gt;'설정 Settings'!$C$36,"$2,000 초과: e-Transfer 나눠 받기 (F36)",""))</f>
      </c>
    </row>
    <row r="935" spans="12:18" x14ac:dyDescent="0.25">
      <c r="L935" s="41">
        <f>IF($C935="","",IF($I935="",ROUND(IFERROR($H935*VLOOKUP($F935,'설정 Settings'!$A$122:$F$130,4,0)+VLOOKUP($F935,'설정 Settings'!$A$122:$F$130,5,0),0),2),$I935))</f>
      </c>
      <c r="M935" s="41">
        <f>IF($C935="","",$H935-$L935)</f>
      </c>
      <c r="N935" s="42">
        <f>IF($C935="","",IF($I935="","추정 ESTIMATE","실제 ACTUAL"))</f>
      </c>
      <c r="O935" s="41">
        <f>IF($A935="","",SUMIFS('입금 Payments'!$C$3:$C$1002,'입금 Payments'!$B$3:$B$1002,$A935))</f>
      </c>
      <c r="P935" s="41">
        <f>IF($C935="","",ROUND($H935*(1+IF('설정 Settings'!$C$24="YES",'설정 Settings'!$C$26,0)),2)-N($O935))</f>
      </c>
      <c r="Q935" s="42">
        <f>IF($A935="","","INV-"&amp;$A935)</f>
      </c>
      <c r="R935" s="42">
        <f>IF($H935="","",IF($H935&gt;'설정 Settings'!$C$36,"$2,000 초과: e-Transfer 나눠 받기 (F36)",""))</f>
      </c>
    </row>
    <row r="936" spans="12:18" x14ac:dyDescent="0.25">
      <c r="L936" s="41">
        <f>IF($C936="","",IF($I936="",ROUND(IFERROR($H936*VLOOKUP($F936,'설정 Settings'!$A$122:$F$130,4,0)+VLOOKUP($F936,'설정 Settings'!$A$122:$F$130,5,0),0),2),$I936))</f>
      </c>
      <c r="M936" s="41">
        <f>IF($C936="","",$H936-$L936)</f>
      </c>
      <c r="N936" s="42">
        <f>IF($C936="","",IF($I936="","추정 ESTIMATE","실제 ACTUAL"))</f>
      </c>
      <c r="O936" s="41">
        <f>IF($A936="","",SUMIFS('입금 Payments'!$C$3:$C$1002,'입금 Payments'!$B$3:$B$1002,$A936))</f>
      </c>
      <c r="P936" s="41">
        <f>IF($C936="","",ROUND($H936*(1+IF('설정 Settings'!$C$24="YES",'설정 Settings'!$C$26,0)),2)-N($O936))</f>
      </c>
      <c r="Q936" s="42">
        <f>IF($A936="","","INV-"&amp;$A936)</f>
      </c>
      <c r="R936" s="42">
        <f>IF($H936="","",IF($H936&gt;'설정 Settings'!$C$36,"$2,000 초과: e-Transfer 나눠 받기 (F36)",""))</f>
      </c>
    </row>
    <row r="937" spans="12:18" x14ac:dyDescent="0.25">
      <c r="L937" s="41">
        <f>IF($C937="","",IF($I937="",ROUND(IFERROR($H937*VLOOKUP($F937,'설정 Settings'!$A$122:$F$130,4,0)+VLOOKUP($F937,'설정 Settings'!$A$122:$F$130,5,0),0),2),$I937))</f>
      </c>
      <c r="M937" s="41">
        <f>IF($C937="","",$H937-$L937)</f>
      </c>
      <c r="N937" s="42">
        <f>IF($C937="","",IF($I937="","추정 ESTIMATE","실제 ACTUAL"))</f>
      </c>
      <c r="O937" s="41">
        <f>IF($A937="","",SUMIFS('입금 Payments'!$C$3:$C$1002,'입금 Payments'!$B$3:$B$1002,$A937))</f>
      </c>
      <c r="P937" s="41">
        <f>IF($C937="","",ROUND($H937*(1+IF('설정 Settings'!$C$24="YES",'설정 Settings'!$C$26,0)),2)-N($O937))</f>
      </c>
      <c r="Q937" s="42">
        <f>IF($A937="","","INV-"&amp;$A937)</f>
      </c>
      <c r="R937" s="42">
        <f>IF($H937="","",IF($H937&gt;'설정 Settings'!$C$36,"$2,000 초과: e-Transfer 나눠 받기 (F36)",""))</f>
      </c>
    </row>
    <row r="938" spans="12:18" x14ac:dyDescent="0.25">
      <c r="L938" s="41">
        <f>IF($C938="","",IF($I938="",ROUND(IFERROR($H938*VLOOKUP($F938,'설정 Settings'!$A$122:$F$130,4,0)+VLOOKUP($F938,'설정 Settings'!$A$122:$F$130,5,0),0),2),$I938))</f>
      </c>
      <c r="M938" s="41">
        <f>IF($C938="","",$H938-$L938)</f>
      </c>
      <c r="N938" s="42">
        <f>IF($C938="","",IF($I938="","추정 ESTIMATE","실제 ACTUAL"))</f>
      </c>
      <c r="O938" s="41">
        <f>IF($A938="","",SUMIFS('입금 Payments'!$C$3:$C$1002,'입금 Payments'!$B$3:$B$1002,$A938))</f>
      </c>
      <c r="P938" s="41">
        <f>IF($C938="","",ROUND($H938*(1+IF('설정 Settings'!$C$24="YES",'설정 Settings'!$C$26,0)),2)-N($O938))</f>
      </c>
      <c r="Q938" s="42">
        <f>IF($A938="","","INV-"&amp;$A938)</f>
      </c>
      <c r="R938" s="42">
        <f>IF($H938="","",IF($H938&gt;'설정 Settings'!$C$36,"$2,000 초과: e-Transfer 나눠 받기 (F36)",""))</f>
      </c>
    </row>
    <row r="939" spans="12:18" x14ac:dyDescent="0.25">
      <c r="L939" s="41">
        <f>IF($C939="","",IF($I939="",ROUND(IFERROR($H939*VLOOKUP($F939,'설정 Settings'!$A$122:$F$130,4,0)+VLOOKUP($F939,'설정 Settings'!$A$122:$F$130,5,0),0),2),$I939))</f>
      </c>
      <c r="M939" s="41">
        <f>IF($C939="","",$H939-$L939)</f>
      </c>
      <c r="N939" s="42">
        <f>IF($C939="","",IF($I939="","추정 ESTIMATE","실제 ACTUAL"))</f>
      </c>
      <c r="O939" s="41">
        <f>IF($A939="","",SUMIFS('입금 Payments'!$C$3:$C$1002,'입금 Payments'!$B$3:$B$1002,$A939))</f>
      </c>
      <c r="P939" s="41">
        <f>IF($C939="","",ROUND($H939*(1+IF('설정 Settings'!$C$24="YES",'설정 Settings'!$C$26,0)),2)-N($O939))</f>
      </c>
      <c r="Q939" s="42">
        <f>IF($A939="","","INV-"&amp;$A939)</f>
      </c>
      <c r="R939" s="42">
        <f>IF($H939="","",IF($H939&gt;'설정 Settings'!$C$36,"$2,000 초과: e-Transfer 나눠 받기 (F36)",""))</f>
      </c>
    </row>
    <row r="940" spans="12:18" x14ac:dyDescent="0.25">
      <c r="L940" s="41">
        <f>IF($C940="","",IF($I940="",ROUND(IFERROR($H940*VLOOKUP($F940,'설정 Settings'!$A$122:$F$130,4,0)+VLOOKUP($F940,'설정 Settings'!$A$122:$F$130,5,0),0),2),$I940))</f>
      </c>
      <c r="M940" s="41">
        <f>IF($C940="","",$H940-$L940)</f>
      </c>
      <c r="N940" s="42">
        <f>IF($C940="","",IF($I940="","추정 ESTIMATE","실제 ACTUAL"))</f>
      </c>
      <c r="O940" s="41">
        <f>IF($A940="","",SUMIFS('입금 Payments'!$C$3:$C$1002,'입금 Payments'!$B$3:$B$1002,$A940))</f>
      </c>
      <c r="P940" s="41">
        <f>IF($C940="","",ROUND($H940*(1+IF('설정 Settings'!$C$24="YES",'설정 Settings'!$C$26,0)),2)-N($O940))</f>
      </c>
      <c r="Q940" s="42">
        <f>IF($A940="","","INV-"&amp;$A940)</f>
      </c>
      <c r="R940" s="42">
        <f>IF($H940="","",IF($H940&gt;'설정 Settings'!$C$36,"$2,000 초과: e-Transfer 나눠 받기 (F36)",""))</f>
      </c>
    </row>
    <row r="941" spans="12:18" x14ac:dyDescent="0.25">
      <c r="L941" s="41">
        <f>IF($C941="","",IF($I941="",ROUND(IFERROR($H941*VLOOKUP($F941,'설정 Settings'!$A$122:$F$130,4,0)+VLOOKUP($F941,'설정 Settings'!$A$122:$F$130,5,0),0),2),$I941))</f>
      </c>
      <c r="M941" s="41">
        <f>IF($C941="","",$H941-$L941)</f>
      </c>
      <c r="N941" s="42">
        <f>IF($C941="","",IF($I941="","추정 ESTIMATE","실제 ACTUAL"))</f>
      </c>
      <c r="O941" s="41">
        <f>IF($A941="","",SUMIFS('입금 Payments'!$C$3:$C$1002,'입금 Payments'!$B$3:$B$1002,$A941))</f>
      </c>
      <c r="P941" s="41">
        <f>IF($C941="","",ROUND($H941*(1+IF('설정 Settings'!$C$24="YES",'설정 Settings'!$C$26,0)),2)-N($O941))</f>
      </c>
      <c r="Q941" s="42">
        <f>IF($A941="","","INV-"&amp;$A941)</f>
      </c>
      <c r="R941" s="42">
        <f>IF($H941="","",IF($H941&gt;'설정 Settings'!$C$36,"$2,000 초과: e-Transfer 나눠 받기 (F36)",""))</f>
      </c>
    </row>
    <row r="942" spans="12:18" x14ac:dyDescent="0.25">
      <c r="L942" s="41">
        <f>IF($C942="","",IF($I942="",ROUND(IFERROR($H942*VLOOKUP($F942,'설정 Settings'!$A$122:$F$130,4,0)+VLOOKUP($F942,'설정 Settings'!$A$122:$F$130,5,0),0),2),$I942))</f>
      </c>
      <c r="M942" s="41">
        <f>IF($C942="","",$H942-$L942)</f>
      </c>
      <c r="N942" s="42">
        <f>IF($C942="","",IF($I942="","추정 ESTIMATE","실제 ACTUAL"))</f>
      </c>
      <c r="O942" s="41">
        <f>IF($A942="","",SUMIFS('입금 Payments'!$C$3:$C$1002,'입금 Payments'!$B$3:$B$1002,$A942))</f>
      </c>
      <c r="P942" s="41">
        <f>IF($C942="","",ROUND($H942*(1+IF('설정 Settings'!$C$24="YES",'설정 Settings'!$C$26,0)),2)-N($O942))</f>
      </c>
      <c r="Q942" s="42">
        <f>IF($A942="","","INV-"&amp;$A942)</f>
      </c>
      <c r="R942" s="42">
        <f>IF($H942="","",IF($H942&gt;'설정 Settings'!$C$36,"$2,000 초과: e-Transfer 나눠 받기 (F36)",""))</f>
      </c>
    </row>
    <row r="943" spans="12:18" x14ac:dyDescent="0.25">
      <c r="L943" s="41">
        <f>IF($C943="","",IF($I943="",ROUND(IFERROR($H943*VLOOKUP($F943,'설정 Settings'!$A$122:$F$130,4,0)+VLOOKUP($F943,'설정 Settings'!$A$122:$F$130,5,0),0),2),$I943))</f>
      </c>
      <c r="M943" s="41">
        <f>IF($C943="","",$H943-$L943)</f>
      </c>
      <c r="N943" s="42">
        <f>IF($C943="","",IF($I943="","추정 ESTIMATE","실제 ACTUAL"))</f>
      </c>
      <c r="O943" s="41">
        <f>IF($A943="","",SUMIFS('입금 Payments'!$C$3:$C$1002,'입금 Payments'!$B$3:$B$1002,$A943))</f>
      </c>
      <c r="P943" s="41">
        <f>IF($C943="","",ROUND($H943*(1+IF('설정 Settings'!$C$24="YES",'설정 Settings'!$C$26,0)),2)-N($O943))</f>
      </c>
      <c r="Q943" s="42">
        <f>IF($A943="","","INV-"&amp;$A943)</f>
      </c>
      <c r="R943" s="42">
        <f>IF($H943="","",IF($H943&gt;'설정 Settings'!$C$36,"$2,000 초과: e-Transfer 나눠 받기 (F36)",""))</f>
      </c>
    </row>
    <row r="944" spans="12:18" x14ac:dyDescent="0.25">
      <c r="L944" s="41">
        <f>IF($C944="","",IF($I944="",ROUND(IFERROR($H944*VLOOKUP($F944,'설정 Settings'!$A$122:$F$130,4,0)+VLOOKUP($F944,'설정 Settings'!$A$122:$F$130,5,0),0),2),$I944))</f>
      </c>
      <c r="M944" s="41">
        <f>IF($C944="","",$H944-$L944)</f>
      </c>
      <c r="N944" s="42">
        <f>IF($C944="","",IF($I944="","추정 ESTIMATE","실제 ACTUAL"))</f>
      </c>
      <c r="O944" s="41">
        <f>IF($A944="","",SUMIFS('입금 Payments'!$C$3:$C$1002,'입금 Payments'!$B$3:$B$1002,$A944))</f>
      </c>
      <c r="P944" s="41">
        <f>IF($C944="","",ROUND($H944*(1+IF('설정 Settings'!$C$24="YES",'설정 Settings'!$C$26,0)),2)-N($O944))</f>
      </c>
      <c r="Q944" s="42">
        <f>IF($A944="","","INV-"&amp;$A944)</f>
      </c>
      <c r="R944" s="42">
        <f>IF($H944="","",IF($H944&gt;'설정 Settings'!$C$36,"$2,000 초과: e-Transfer 나눠 받기 (F36)",""))</f>
      </c>
    </row>
    <row r="945" spans="12:18" x14ac:dyDescent="0.25">
      <c r="L945" s="41">
        <f>IF($C945="","",IF($I945="",ROUND(IFERROR($H945*VLOOKUP($F945,'설정 Settings'!$A$122:$F$130,4,0)+VLOOKUP($F945,'설정 Settings'!$A$122:$F$130,5,0),0),2),$I945))</f>
      </c>
      <c r="M945" s="41">
        <f>IF($C945="","",$H945-$L945)</f>
      </c>
      <c r="N945" s="42">
        <f>IF($C945="","",IF($I945="","추정 ESTIMATE","실제 ACTUAL"))</f>
      </c>
      <c r="O945" s="41">
        <f>IF($A945="","",SUMIFS('입금 Payments'!$C$3:$C$1002,'입금 Payments'!$B$3:$B$1002,$A945))</f>
      </c>
      <c r="P945" s="41">
        <f>IF($C945="","",ROUND($H945*(1+IF('설정 Settings'!$C$24="YES",'설정 Settings'!$C$26,0)),2)-N($O945))</f>
      </c>
      <c r="Q945" s="42">
        <f>IF($A945="","","INV-"&amp;$A945)</f>
      </c>
      <c r="R945" s="42">
        <f>IF($H945="","",IF($H945&gt;'설정 Settings'!$C$36,"$2,000 초과: e-Transfer 나눠 받기 (F36)",""))</f>
      </c>
    </row>
    <row r="946" spans="12:18" x14ac:dyDescent="0.25">
      <c r="L946" s="41">
        <f>IF($C946="","",IF($I946="",ROUND(IFERROR($H946*VLOOKUP($F946,'설정 Settings'!$A$122:$F$130,4,0)+VLOOKUP($F946,'설정 Settings'!$A$122:$F$130,5,0),0),2),$I946))</f>
      </c>
      <c r="M946" s="41">
        <f>IF($C946="","",$H946-$L946)</f>
      </c>
      <c r="N946" s="42">
        <f>IF($C946="","",IF($I946="","추정 ESTIMATE","실제 ACTUAL"))</f>
      </c>
      <c r="O946" s="41">
        <f>IF($A946="","",SUMIFS('입금 Payments'!$C$3:$C$1002,'입금 Payments'!$B$3:$B$1002,$A946))</f>
      </c>
      <c r="P946" s="41">
        <f>IF($C946="","",ROUND($H946*(1+IF('설정 Settings'!$C$24="YES",'설정 Settings'!$C$26,0)),2)-N($O946))</f>
      </c>
      <c r="Q946" s="42">
        <f>IF($A946="","","INV-"&amp;$A946)</f>
      </c>
      <c r="R946" s="42">
        <f>IF($H946="","",IF($H946&gt;'설정 Settings'!$C$36,"$2,000 초과: e-Transfer 나눠 받기 (F36)",""))</f>
      </c>
    </row>
    <row r="947" spans="12:18" x14ac:dyDescent="0.25">
      <c r="L947" s="41">
        <f>IF($C947="","",IF($I947="",ROUND(IFERROR($H947*VLOOKUP($F947,'설정 Settings'!$A$122:$F$130,4,0)+VLOOKUP($F947,'설정 Settings'!$A$122:$F$130,5,0),0),2),$I947))</f>
      </c>
      <c r="M947" s="41">
        <f>IF($C947="","",$H947-$L947)</f>
      </c>
      <c r="N947" s="42">
        <f>IF($C947="","",IF($I947="","추정 ESTIMATE","실제 ACTUAL"))</f>
      </c>
      <c r="O947" s="41">
        <f>IF($A947="","",SUMIFS('입금 Payments'!$C$3:$C$1002,'입금 Payments'!$B$3:$B$1002,$A947))</f>
      </c>
      <c r="P947" s="41">
        <f>IF($C947="","",ROUND($H947*(1+IF('설정 Settings'!$C$24="YES",'설정 Settings'!$C$26,0)),2)-N($O947))</f>
      </c>
      <c r="Q947" s="42">
        <f>IF($A947="","","INV-"&amp;$A947)</f>
      </c>
      <c r="R947" s="42">
        <f>IF($H947="","",IF($H947&gt;'설정 Settings'!$C$36,"$2,000 초과: e-Transfer 나눠 받기 (F36)",""))</f>
      </c>
    </row>
    <row r="948" spans="12:18" x14ac:dyDescent="0.25">
      <c r="L948" s="41">
        <f>IF($C948="","",IF($I948="",ROUND(IFERROR($H948*VLOOKUP($F948,'설정 Settings'!$A$122:$F$130,4,0)+VLOOKUP($F948,'설정 Settings'!$A$122:$F$130,5,0),0),2),$I948))</f>
      </c>
      <c r="M948" s="41">
        <f>IF($C948="","",$H948-$L948)</f>
      </c>
      <c r="N948" s="42">
        <f>IF($C948="","",IF($I948="","추정 ESTIMATE","실제 ACTUAL"))</f>
      </c>
      <c r="O948" s="41">
        <f>IF($A948="","",SUMIFS('입금 Payments'!$C$3:$C$1002,'입금 Payments'!$B$3:$B$1002,$A948))</f>
      </c>
      <c r="P948" s="41">
        <f>IF($C948="","",ROUND($H948*(1+IF('설정 Settings'!$C$24="YES",'설정 Settings'!$C$26,0)),2)-N($O948))</f>
      </c>
      <c r="Q948" s="42">
        <f>IF($A948="","","INV-"&amp;$A948)</f>
      </c>
      <c r="R948" s="42">
        <f>IF($H948="","",IF($H948&gt;'설정 Settings'!$C$36,"$2,000 초과: e-Transfer 나눠 받기 (F36)",""))</f>
      </c>
    </row>
    <row r="949" spans="12:18" x14ac:dyDescent="0.25">
      <c r="L949" s="41">
        <f>IF($C949="","",IF($I949="",ROUND(IFERROR($H949*VLOOKUP($F949,'설정 Settings'!$A$122:$F$130,4,0)+VLOOKUP($F949,'설정 Settings'!$A$122:$F$130,5,0),0),2),$I949))</f>
      </c>
      <c r="M949" s="41">
        <f>IF($C949="","",$H949-$L949)</f>
      </c>
      <c r="N949" s="42">
        <f>IF($C949="","",IF($I949="","추정 ESTIMATE","실제 ACTUAL"))</f>
      </c>
      <c r="O949" s="41">
        <f>IF($A949="","",SUMIFS('입금 Payments'!$C$3:$C$1002,'입금 Payments'!$B$3:$B$1002,$A949))</f>
      </c>
      <c r="P949" s="41">
        <f>IF($C949="","",ROUND($H949*(1+IF('설정 Settings'!$C$24="YES",'설정 Settings'!$C$26,0)),2)-N($O949))</f>
      </c>
      <c r="Q949" s="42">
        <f>IF($A949="","","INV-"&amp;$A949)</f>
      </c>
      <c r="R949" s="42">
        <f>IF($H949="","",IF($H949&gt;'설정 Settings'!$C$36,"$2,000 초과: e-Transfer 나눠 받기 (F36)",""))</f>
      </c>
    </row>
    <row r="950" spans="12:18" x14ac:dyDescent="0.25">
      <c r="L950" s="41">
        <f>IF($C950="","",IF($I950="",ROUND(IFERROR($H950*VLOOKUP($F950,'설정 Settings'!$A$122:$F$130,4,0)+VLOOKUP($F950,'설정 Settings'!$A$122:$F$130,5,0),0),2),$I950))</f>
      </c>
      <c r="M950" s="41">
        <f>IF($C950="","",$H950-$L950)</f>
      </c>
      <c r="N950" s="42">
        <f>IF($C950="","",IF($I950="","추정 ESTIMATE","실제 ACTUAL"))</f>
      </c>
      <c r="O950" s="41">
        <f>IF($A950="","",SUMIFS('입금 Payments'!$C$3:$C$1002,'입금 Payments'!$B$3:$B$1002,$A950))</f>
      </c>
      <c r="P950" s="41">
        <f>IF($C950="","",ROUND($H950*(1+IF('설정 Settings'!$C$24="YES",'설정 Settings'!$C$26,0)),2)-N($O950))</f>
      </c>
      <c r="Q950" s="42">
        <f>IF($A950="","","INV-"&amp;$A950)</f>
      </c>
      <c r="R950" s="42">
        <f>IF($H950="","",IF($H950&gt;'설정 Settings'!$C$36,"$2,000 초과: e-Transfer 나눠 받기 (F36)",""))</f>
      </c>
    </row>
    <row r="951" spans="12:18" x14ac:dyDescent="0.25">
      <c r="L951" s="41">
        <f>IF($C951="","",IF($I951="",ROUND(IFERROR($H951*VLOOKUP($F951,'설정 Settings'!$A$122:$F$130,4,0)+VLOOKUP($F951,'설정 Settings'!$A$122:$F$130,5,0),0),2),$I951))</f>
      </c>
      <c r="M951" s="41">
        <f>IF($C951="","",$H951-$L951)</f>
      </c>
      <c r="N951" s="42">
        <f>IF($C951="","",IF($I951="","추정 ESTIMATE","실제 ACTUAL"))</f>
      </c>
      <c r="O951" s="41">
        <f>IF($A951="","",SUMIFS('입금 Payments'!$C$3:$C$1002,'입금 Payments'!$B$3:$B$1002,$A951))</f>
      </c>
      <c r="P951" s="41">
        <f>IF($C951="","",ROUND($H951*(1+IF('설정 Settings'!$C$24="YES",'설정 Settings'!$C$26,0)),2)-N($O951))</f>
      </c>
      <c r="Q951" s="42">
        <f>IF($A951="","","INV-"&amp;$A951)</f>
      </c>
      <c r="R951" s="42">
        <f>IF($H951="","",IF($H951&gt;'설정 Settings'!$C$36,"$2,000 초과: e-Transfer 나눠 받기 (F36)",""))</f>
      </c>
    </row>
    <row r="952" spans="12:18" x14ac:dyDescent="0.25">
      <c r="L952" s="41">
        <f>IF($C952="","",IF($I952="",ROUND(IFERROR($H952*VLOOKUP($F952,'설정 Settings'!$A$122:$F$130,4,0)+VLOOKUP($F952,'설정 Settings'!$A$122:$F$130,5,0),0),2),$I952))</f>
      </c>
      <c r="M952" s="41">
        <f>IF($C952="","",$H952-$L952)</f>
      </c>
      <c r="N952" s="42">
        <f>IF($C952="","",IF($I952="","추정 ESTIMATE","실제 ACTUAL"))</f>
      </c>
      <c r="O952" s="41">
        <f>IF($A952="","",SUMIFS('입금 Payments'!$C$3:$C$1002,'입금 Payments'!$B$3:$B$1002,$A952))</f>
      </c>
      <c r="P952" s="41">
        <f>IF($C952="","",ROUND($H952*(1+IF('설정 Settings'!$C$24="YES",'설정 Settings'!$C$26,0)),2)-N($O952))</f>
      </c>
      <c r="Q952" s="42">
        <f>IF($A952="","","INV-"&amp;$A952)</f>
      </c>
      <c r="R952" s="42">
        <f>IF($H952="","",IF($H952&gt;'설정 Settings'!$C$36,"$2,000 초과: e-Transfer 나눠 받기 (F36)",""))</f>
      </c>
    </row>
    <row r="953" spans="12:18" x14ac:dyDescent="0.25">
      <c r="L953" s="41">
        <f>IF($C953="","",IF($I953="",ROUND(IFERROR($H953*VLOOKUP($F953,'설정 Settings'!$A$122:$F$130,4,0)+VLOOKUP($F953,'설정 Settings'!$A$122:$F$130,5,0),0),2),$I953))</f>
      </c>
      <c r="M953" s="41">
        <f>IF($C953="","",$H953-$L953)</f>
      </c>
      <c r="N953" s="42">
        <f>IF($C953="","",IF($I953="","추정 ESTIMATE","실제 ACTUAL"))</f>
      </c>
      <c r="O953" s="41">
        <f>IF($A953="","",SUMIFS('입금 Payments'!$C$3:$C$1002,'입금 Payments'!$B$3:$B$1002,$A953))</f>
      </c>
      <c r="P953" s="41">
        <f>IF($C953="","",ROUND($H953*(1+IF('설정 Settings'!$C$24="YES",'설정 Settings'!$C$26,0)),2)-N($O953))</f>
      </c>
      <c r="Q953" s="42">
        <f>IF($A953="","","INV-"&amp;$A953)</f>
      </c>
      <c r="R953" s="42">
        <f>IF($H953="","",IF($H953&gt;'설정 Settings'!$C$36,"$2,000 초과: e-Transfer 나눠 받기 (F36)",""))</f>
      </c>
    </row>
    <row r="954" spans="12:18" x14ac:dyDescent="0.25">
      <c r="L954" s="41">
        <f>IF($C954="","",IF($I954="",ROUND(IFERROR($H954*VLOOKUP($F954,'설정 Settings'!$A$122:$F$130,4,0)+VLOOKUP($F954,'설정 Settings'!$A$122:$F$130,5,0),0),2),$I954))</f>
      </c>
      <c r="M954" s="41">
        <f>IF($C954="","",$H954-$L954)</f>
      </c>
      <c r="N954" s="42">
        <f>IF($C954="","",IF($I954="","추정 ESTIMATE","실제 ACTUAL"))</f>
      </c>
      <c r="O954" s="41">
        <f>IF($A954="","",SUMIFS('입금 Payments'!$C$3:$C$1002,'입금 Payments'!$B$3:$B$1002,$A954))</f>
      </c>
      <c r="P954" s="41">
        <f>IF($C954="","",ROUND($H954*(1+IF('설정 Settings'!$C$24="YES",'설정 Settings'!$C$26,0)),2)-N($O954))</f>
      </c>
      <c r="Q954" s="42">
        <f>IF($A954="","","INV-"&amp;$A954)</f>
      </c>
      <c r="R954" s="42">
        <f>IF($H954="","",IF($H954&gt;'설정 Settings'!$C$36,"$2,000 초과: e-Transfer 나눠 받기 (F36)",""))</f>
      </c>
    </row>
    <row r="955" spans="12:18" x14ac:dyDescent="0.25">
      <c r="L955" s="41">
        <f>IF($C955="","",IF($I955="",ROUND(IFERROR($H955*VLOOKUP($F955,'설정 Settings'!$A$122:$F$130,4,0)+VLOOKUP($F955,'설정 Settings'!$A$122:$F$130,5,0),0),2),$I955))</f>
      </c>
      <c r="M955" s="41">
        <f>IF($C955="","",$H955-$L955)</f>
      </c>
      <c r="N955" s="42">
        <f>IF($C955="","",IF($I955="","추정 ESTIMATE","실제 ACTUAL"))</f>
      </c>
      <c r="O955" s="41">
        <f>IF($A955="","",SUMIFS('입금 Payments'!$C$3:$C$1002,'입금 Payments'!$B$3:$B$1002,$A955))</f>
      </c>
      <c r="P955" s="41">
        <f>IF($C955="","",ROUND($H955*(1+IF('설정 Settings'!$C$24="YES",'설정 Settings'!$C$26,0)),2)-N($O955))</f>
      </c>
      <c r="Q955" s="42">
        <f>IF($A955="","","INV-"&amp;$A955)</f>
      </c>
      <c r="R955" s="42">
        <f>IF($H955="","",IF($H955&gt;'설정 Settings'!$C$36,"$2,000 초과: e-Transfer 나눠 받기 (F36)",""))</f>
      </c>
    </row>
    <row r="956" spans="12:18" x14ac:dyDescent="0.25">
      <c r="L956" s="41">
        <f>IF($C956="","",IF($I956="",ROUND(IFERROR($H956*VLOOKUP($F956,'설정 Settings'!$A$122:$F$130,4,0)+VLOOKUP($F956,'설정 Settings'!$A$122:$F$130,5,0),0),2),$I956))</f>
      </c>
      <c r="M956" s="41">
        <f>IF($C956="","",$H956-$L956)</f>
      </c>
      <c r="N956" s="42">
        <f>IF($C956="","",IF($I956="","추정 ESTIMATE","실제 ACTUAL"))</f>
      </c>
      <c r="O956" s="41">
        <f>IF($A956="","",SUMIFS('입금 Payments'!$C$3:$C$1002,'입금 Payments'!$B$3:$B$1002,$A956))</f>
      </c>
      <c r="P956" s="41">
        <f>IF($C956="","",ROUND($H956*(1+IF('설정 Settings'!$C$24="YES",'설정 Settings'!$C$26,0)),2)-N($O956))</f>
      </c>
      <c r="Q956" s="42">
        <f>IF($A956="","","INV-"&amp;$A956)</f>
      </c>
      <c r="R956" s="42">
        <f>IF($H956="","",IF($H956&gt;'설정 Settings'!$C$36,"$2,000 초과: e-Transfer 나눠 받기 (F36)",""))</f>
      </c>
    </row>
    <row r="957" spans="12:18" x14ac:dyDescent="0.25">
      <c r="L957" s="41">
        <f>IF($C957="","",IF($I957="",ROUND(IFERROR($H957*VLOOKUP($F957,'설정 Settings'!$A$122:$F$130,4,0)+VLOOKUP($F957,'설정 Settings'!$A$122:$F$130,5,0),0),2),$I957))</f>
      </c>
      <c r="M957" s="41">
        <f>IF($C957="","",$H957-$L957)</f>
      </c>
      <c r="N957" s="42">
        <f>IF($C957="","",IF($I957="","추정 ESTIMATE","실제 ACTUAL"))</f>
      </c>
      <c r="O957" s="41">
        <f>IF($A957="","",SUMIFS('입금 Payments'!$C$3:$C$1002,'입금 Payments'!$B$3:$B$1002,$A957))</f>
      </c>
      <c r="P957" s="41">
        <f>IF($C957="","",ROUND($H957*(1+IF('설정 Settings'!$C$24="YES",'설정 Settings'!$C$26,0)),2)-N($O957))</f>
      </c>
      <c r="Q957" s="42">
        <f>IF($A957="","","INV-"&amp;$A957)</f>
      </c>
      <c r="R957" s="42">
        <f>IF($H957="","",IF($H957&gt;'설정 Settings'!$C$36,"$2,000 초과: e-Transfer 나눠 받기 (F36)",""))</f>
      </c>
    </row>
    <row r="958" spans="12:18" x14ac:dyDescent="0.25">
      <c r="L958" s="41">
        <f>IF($C958="","",IF($I958="",ROUND(IFERROR($H958*VLOOKUP($F958,'설정 Settings'!$A$122:$F$130,4,0)+VLOOKUP($F958,'설정 Settings'!$A$122:$F$130,5,0),0),2),$I958))</f>
      </c>
      <c r="M958" s="41">
        <f>IF($C958="","",$H958-$L958)</f>
      </c>
      <c r="N958" s="42">
        <f>IF($C958="","",IF($I958="","추정 ESTIMATE","실제 ACTUAL"))</f>
      </c>
      <c r="O958" s="41">
        <f>IF($A958="","",SUMIFS('입금 Payments'!$C$3:$C$1002,'입금 Payments'!$B$3:$B$1002,$A958))</f>
      </c>
      <c r="P958" s="41">
        <f>IF($C958="","",ROUND($H958*(1+IF('설정 Settings'!$C$24="YES",'설정 Settings'!$C$26,0)),2)-N($O958))</f>
      </c>
      <c r="Q958" s="42">
        <f>IF($A958="","","INV-"&amp;$A958)</f>
      </c>
      <c r="R958" s="42">
        <f>IF($H958="","",IF($H958&gt;'설정 Settings'!$C$36,"$2,000 초과: e-Transfer 나눠 받기 (F36)",""))</f>
      </c>
    </row>
    <row r="959" spans="12:18" x14ac:dyDescent="0.25">
      <c r="L959" s="41">
        <f>IF($C959="","",IF($I959="",ROUND(IFERROR($H959*VLOOKUP($F959,'설정 Settings'!$A$122:$F$130,4,0)+VLOOKUP($F959,'설정 Settings'!$A$122:$F$130,5,0),0),2),$I959))</f>
      </c>
      <c r="M959" s="41">
        <f>IF($C959="","",$H959-$L959)</f>
      </c>
      <c r="N959" s="42">
        <f>IF($C959="","",IF($I959="","추정 ESTIMATE","실제 ACTUAL"))</f>
      </c>
      <c r="O959" s="41">
        <f>IF($A959="","",SUMIFS('입금 Payments'!$C$3:$C$1002,'입금 Payments'!$B$3:$B$1002,$A959))</f>
      </c>
      <c r="P959" s="41">
        <f>IF($C959="","",ROUND($H959*(1+IF('설정 Settings'!$C$24="YES",'설정 Settings'!$C$26,0)),2)-N($O959))</f>
      </c>
      <c r="Q959" s="42">
        <f>IF($A959="","","INV-"&amp;$A959)</f>
      </c>
      <c r="R959" s="42">
        <f>IF($H959="","",IF($H959&gt;'설정 Settings'!$C$36,"$2,000 초과: e-Transfer 나눠 받기 (F36)",""))</f>
      </c>
    </row>
    <row r="960" spans="12:18" x14ac:dyDescent="0.25">
      <c r="L960" s="41">
        <f>IF($C960="","",IF($I960="",ROUND(IFERROR($H960*VLOOKUP($F960,'설정 Settings'!$A$122:$F$130,4,0)+VLOOKUP($F960,'설정 Settings'!$A$122:$F$130,5,0),0),2),$I960))</f>
      </c>
      <c r="M960" s="41">
        <f>IF($C960="","",$H960-$L960)</f>
      </c>
      <c r="N960" s="42">
        <f>IF($C960="","",IF($I960="","추정 ESTIMATE","실제 ACTUAL"))</f>
      </c>
      <c r="O960" s="41">
        <f>IF($A960="","",SUMIFS('입금 Payments'!$C$3:$C$1002,'입금 Payments'!$B$3:$B$1002,$A960))</f>
      </c>
      <c r="P960" s="41">
        <f>IF($C960="","",ROUND($H960*(1+IF('설정 Settings'!$C$24="YES",'설정 Settings'!$C$26,0)),2)-N($O960))</f>
      </c>
      <c r="Q960" s="42">
        <f>IF($A960="","","INV-"&amp;$A960)</f>
      </c>
      <c r="R960" s="42">
        <f>IF($H960="","",IF($H960&gt;'설정 Settings'!$C$36,"$2,000 초과: e-Transfer 나눠 받기 (F36)",""))</f>
      </c>
    </row>
    <row r="961" spans="12:18" x14ac:dyDescent="0.25">
      <c r="L961" s="41">
        <f>IF($C961="","",IF($I961="",ROUND(IFERROR($H961*VLOOKUP($F961,'설정 Settings'!$A$122:$F$130,4,0)+VLOOKUP($F961,'설정 Settings'!$A$122:$F$130,5,0),0),2),$I961))</f>
      </c>
      <c r="M961" s="41">
        <f>IF($C961="","",$H961-$L961)</f>
      </c>
      <c r="N961" s="42">
        <f>IF($C961="","",IF($I961="","추정 ESTIMATE","실제 ACTUAL"))</f>
      </c>
      <c r="O961" s="41">
        <f>IF($A961="","",SUMIFS('입금 Payments'!$C$3:$C$1002,'입금 Payments'!$B$3:$B$1002,$A961))</f>
      </c>
      <c r="P961" s="41">
        <f>IF($C961="","",ROUND($H961*(1+IF('설정 Settings'!$C$24="YES",'설정 Settings'!$C$26,0)),2)-N($O961))</f>
      </c>
      <c r="Q961" s="42">
        <f>IF($A961="","","INV-"&amp;$A961)</f>
      </c>
      <c r="R961" s="42">
        <f>IF($H961="","",IF($H961&gt;'설정 Settings'!$C$36,"$2,000 초과: e-Transfer 나눠 받기 (F36)",""))</f>
      </c>
    </row>
    <row r="962" spans="12:18" x14ac:dyDescent="0.25">
      <c r="L962" s="41">
        <f>IF($C962="","",IF($I962="",ROUND(IFERROR($H962*VLOOKUP($F962,'설정 Settings'!$A$122:$F$130,4,0)+VLOOKUP($F962,'설정 Settings'!$A$122:$F$130,5,0),0),2),$I962))</f>
      </c>
      <c r="M962" s="41">
        <f>IF($C962="","",$H962-$L962)</f>
      </c>
      <c r="N962" s="42">
        <f>IF($C962="","",IF($I962="","추정 ESTIMATE","실제 ACTUAL"))</f>
      </c>
      <c r="O962" s="41">
        <f>IF($A962="","",SUMIFS('입금 Payments'!$C$3:$C$1002,'입금 Payments'!$B$3:$B$1002,$A962))</f>
      </c>
      <c r="P962" s="41">
        <f>IF($C962="","",ROUND($H962*(1+IF('설정 Settings'!$C$24="YES",'설정 Settings'!$C$26,0)),2)-N($O962))</f>
      </c>
      <c r="Q962" s="42">
        <f>IF($A962="","","INV-"&amp;$A962)</f>
      </c>
      <c r="R962" s="42">
        <f>IF($H962="","",IF($H962&gt;'설정 Settings'!$C$36,"$2,000 초과: e-Transfer 나눠 받기 (F36)",""))</f>
      </c>
    </row>
    <row r="963" spans="12:18" x14ac:dyDescent="0.25">
      <c r="L963" s="41">
        <f>IF($C963="","",IF($I963="",ROUND(IFERROR($H963*VLOOKUP($F963,'설정 Settings'!$A$122:$F$130,4,0)+VLOOKUP($F963,'설정 Settings'!$A$122:$F$130,5,0),0),2),$I963))</f>
      </c>
      <c r="M963" s="41">
        <f>IF($C963="","",$H963-$L963)</f>
      </c>
      <c r="N963" s="42">
        <f>IF($C963="","",IF($I963="","추정 ESTIMATE","실제 ACTUAL"))</f>
      </c>
      <c r="O963" s="41">
        <f>IF($A963="","",SUMIFS('입금 Payments'!$C$3:$C$1002,'입금 Payments'!$B$3:$B$1002,$A963))</f>
      </c>
      <c r="P963" s="41">
        <f>IF($C963="","",ROUND($H963*(1+IF('설정 Settings'!$C$24="YES",'설정 Settings'!$C$26,0)),2)-N($O963))</f>
      </c>
      <c r="Q963" s="42">
        <f>IF($A963="","","INV-"&amp;$A963)</f>
      </c>
      <c r="R963" s="42">
        <f>IF($H963="","",IF($H963&gt;'설정 Settings'!$C$36,"$2,000 초과: e-Transfer 나눠 받기 (F36)",""))</f>
      </c>
    </row>
    <row r="964" spans="12:18" x14ac:dyDescent="0.25">
      <c r="L964" s="41">
        <f>IF($C964="","",IF($I964="",ROUND(IFERROR($H964*VLOOKUP($F964,'설정 Settings'!$A$122:$F$130,4,0)+VLOOKUP($F964,'설정 Settings'!$A$122:$F$130,5,0),0),2),$I964))</f>
      </c>
      <c r="M964" s="41">
        <f>IF($C964="","",$H964-$L964)</f>
      </c>
      <c r="N964" s="42">
        <f>IF($C964="","",IF($I964="","추정 ESTIMATE","실제 ACTUAL"))</f>
      </c>
      <c r="O964" s="41">
        <f>IF($A964="","",SUMIFS('입금 Payments'!$C$3:$C$1002,'입금 Payments'!$B$3:$B$1002,$A964))</f>
      </c>
      <c r="P964" s="41">
        <f>IF($C964="","",ROUND($H964*(1+IF('설정 Settings'!$C$24="YES",'설정 Settings'!$C$26,0)),2)-N($O964))</f>
      </c>
      <c r="Q964" s="42">
        <f>IF($A964="","","INV-"&amp;$A964)</f>
      </c>
      <c r="R964" s="42">
        <f>IF($H964="","",IF($H964&gt;'설정 Settings'!$C$36,"$2,000 초과: e-Transfer 나눠 받기 (F36)",""))</f>
      </c>
    </row>
    <row r="965" spans="12:18" x14ac:dyDescent="0.25">
      <c r="L965" s="41">
        <f>IF($C965="","",IF($I965="",ROUND(IFERROR($H965*VLOOKUP($F965,'설정 Settings'!$A$122:$F$130,4,0)+VLOOKUP($F965,'설정 Settings'!$A$122:$F$130,5,0),0),2),$I965))</f>
      </c>
      <c r="M965" s="41">
        <f>IF($C965="","",$H965-$L965)</f>
      </c>
      <c r="N965" s="42">
        <f>IF($C965="","",IF($I965="","추정 ESTIMATE","실제 ACTUAL"))</f>
      </c>
      <c r="O965" s="41">
        <f>IF($A965="","",SUMIFS('입금 Payments'!$C$3:$C$1002,'입금 Payments'!$B$3:$B$1002,$A965))</f>
      </c>
      <c r="P965" s="41">
        <f>IF($C965="","",ROUND($H965*(1+IF('설정 Settings'!$C$24="YES",'설정 Settings'!$C$26,0)),2)-N($O965))</f>
      </c>
      <c r="Q965" s="42">
        <f>IF($A965="","","INV-"&amp;$A965)</f>
      </c>
      <c r="R965" s="42">
        <f>IF($H965="","",IF($H965&gt;'설정 Settings'!$C$36,"$2,000 초과: e-Transfer 나눠 받기 (F36)",""))</f>
      </c>
    </row>
    <row r="966" spans="12:18" x14ac:dyDescent="0.25">
      <c r="L966" s="41">
        <f>IF($C966="","",IF($I966="",ROUND(IFERROR($H966*VLOOKUP($F966,'설정 Settings'!$A$122:$F$130,4,0)+VLOOKUP($F966,'설정 Settings'!$A$122:$F$130,5,0),0),2),$I966))</f>
      </c>
      <c r="M966" s="41">
        <f>IF($C966="","",$H966-$L966)</f>
      </c>
      <c r="N966" s="42">
        <f>IF($C966="","",IF($I966="","추정 ESTIMATE","실제 ACTUAL"))</f>
      </c>
      <c r="O966" s="41">
        <f>IF($A966="","",SUMIFS('입금 Payments'!$C$3:$C$1002,'입금 Payments'!$B$3:$B$1002,$A966))</f>
      </c>
      <c r="P966" s="41">
        <f>IF($C966="","",ROUND($H966*(1+IF('설정 Settings'!$C$24="YES",'설정 Settings'!$C$26,0)),2)-N($O966))</f>
      </c>
      <c r="Q966" s="42">
        <f>IF($A966="","","INV-"&amp;$A966)</f>
      </c>
      <c r="R966" s="42">
        <f>IF($H966="","",IF($H966&gt;'설정 Settings'!$C$36,"$2,000 초과: e-Transfer 나눠 받기 (F36)",""))</f>
      </c>
    </row>
    <row r="967" spans="12:18" x14ac:dyDescent="0.25">
      <c r="L967" s="41">
        <f>IF($C967="","",IF($I967="",ROUND(IFERROR($H967*VLOOKUP($F967,'설정 Settings'!$A$122:$F$130,4,0)+VLOOKUP($F967,'설정 Settings'!$A$122:$F$130,5,0),0),2),$I967))</f>
      </c>
      <c r="M967" s="41">
        <f>IF($C967="","",$H967-$L967)</f>
      </c>
      <c r="N967" s="42">
        <f>IF($C967="","",IF($I967="","추정 ESTIMATE","실제 ACTUAL"))</f>
      </c>
      <c r="O967" s="41">
        <f>IF($A967="","",SUMIFS('입금 Payments'!$C$3:$C$1002,'입금 Payments'!$B$3:$B$1002,$A967))</f>
      </c>
      <c r="P967" s="41">
        <f>IF($C967="","",ROUND($H967*(1+IF('설정 Settings'!$C$24="YES",'설정 Settings'!$C$26,0)),2)-N($O967))</f>
      </c>
      <c r="Q967" s="42">
        <f>IF($A967="","","INV-"&amp;$A967)</f>
      </c>
      <c r="R967" s="42">
        <f>IF($H967="","",IF($H967&gt;'설정 Settings'!$C$36,"$2,000 초과: e-Transfer 나눠 받기 (F36)",""))</f>
      </c>
    </row>
    <row r="968" spans="12:18" x14ac:dyDescent="0.25">
      <c r="L968" s="41">
        <f>IF($C968="","",IF($I968="",ROUND(IFERROR($H968*VLOOKUP($F968,'설정 Settings'!$A$122:$F$130,4,0)+VLOOKUP($F968,'설정 Settings'!$A$122:$F$130,5,0),0),2),$I968))</f>
      </c>
      <c r="M968" s="41">
        <f>IF($C968="","",$H968-$L968)</f>
      </c>
      <c r="N968" s="42">
        <f>IF($C968="","",IF($I968="","추정 ESTIMATE","실제 ACTUAL"))</f>
      </c>
      <c r="O968" s="41">
        <f>IF($A968="","",SUMIFS('입금 Payments'!$C$3:$C$1002,'입금 Payments'!$B$3:$B$1002,$A968))</f>
      </c>
      <c r="P968" s="41">
        <f>IF($C968="","",ROUND($H968*(1+IF('설정 Settings'!$C$24="YES",'설정 Settings'!$C$26,0)),2)-N($O968))</f>
      </c>
      <c r="Q968" s="42">
        <f>IF($A968="","","INV-"&amp;$A968)</f>
      </c>
      <c r="R968" s="42">
        <f>IF($H968="","",IF($H968&gt;'설정 Settings'!$C$36,"$2,000 초과: e-Transfer 나눠 받기 (F36)",""))</f>
      </c>
    </row>
    <row r="969" spans="12:18" x14ac:dyDescent="0.25">
      <c r="L969" s="41">
        <f>IF($C969="","",IF($I969="",ROUND(IFERROR($H969*VLOOKUP($F969,'설정 Settings'!$A$122:$F$130,4,0)+VLOOKUP($F969,'설정 Settings'!$A$122:$F$130,5,0),0),2),$I969))</f>
      </c>
      <c r="M969" s="41">
        <f>IF($C969="","",$H969-$L969)</f>
      </c>
      <c r="N969" s="42">
        <f>IF($C969="","",IF($I969="","추정 ESTIMATE","실제 ACTUAL"))</f>
      </c>
      <c r="O969" s="41">
        <f>IF($A969="","",SUMIFS('입금 Payments'!$C$3:$C$1002,'입금 Payments'!$B$3:$B$1002,$A969))</f>
      </c>
      <c r="P969" s="41">
        <f>IF($C969="","",ROUND($H969*(1+IF('설정 Settings'!$C$24="YES",'설정 Settings'!$C$26,0)),2)-N($O969))</f>
      </c>
      <c r="Q969" s="42">
        <f>IF($A969="","","INV-"&amp;$A969)</f>
      </c>
      <c r="R969" s="42">
        <f>IF($H969="","",IF($H969&gt;'설정 Settings'!$C$36,"$2,000 초과: e-Transfer 나눠 받기 (F36)",""))</f>
      </c>
    </row>
    <row r="970" spans="12:18" x14ac:dyDescent="0.25">
      <c r="L970" s="41">
        <f>IF($C970="","",IF($I970="",ROUND(IFERROR($H970*VLOOKUP($F970,'설정 Settings'!$A$122:$F$130,4,0)+VLOOKUP($F970,'설정 Settings'!$A$122:$F$130,5,0),0),2),$I970))</f>
      </c>
      <c r="M970" s="41">
        <f>IF($C970="","",$H970-$L970)</f>
      </c>
      <c r="N970" s="42">
        <f>IF($C970="","",IF($I970="","추정 ESTIMATE","실제 ACTUAL"))</f>
      </c>
      <c r="O970" s="41">
        <f>IF($A970="","",SUMIFS('입금 Payments'!$C$3:$C$1002,'입금 Payments'!$B$3:$B$1002,$A970))</f>
      </c>
      <c r="P970" s="41">
        <f>IF($C970="","",ROUND($H970*(1+IF('설정 Settings'!$C$24="YES",'설정 Settings'!$C$26,0)),2)-N($O970))</f>
      </c>
      <c r="Q970" s="42">
        <f>IF($A970="","","INV-"&amp;$A970)</f>
      </c>
      <c r="R970" s="42">
        <f>IF($H970="","",IF($H970&gt;'설정 Settings'!$C$36,"$2,000 초과: e-Transfer 나눠 받기 (F36)",""))</f>
      </c>
    </row>
    <row r="971" spans="12:18" x14ac:dyDescent="0.25">
      <c r="L971" s="41">
        <f>IF($C971="","",IF($I971="",ROUND(IFERROR($H971*VLOOKUP($F971,'설정 Settings'!$A$122:$F$130,4,0)+VLOOKUP($F971,'설정 Settings'!$A$122:$F$130,5,0),0),2),$I971))</f>
      </c>
      <c r="M971" s="41">
        <f>IF($C971="","",$H971-$L971)</f>
      </c>
      <c r="N971" s="42">
        <f>IF($C971="","",IF($I971="","추정 ESTIMATE","실제 ACTUAL"))</f>
      </c>
      <c r="O971" s="41">
        <f>IF($A971="","",SUMIFS('입금 Payments'!$C$3:$C$1002,'입금 Payments'!$B$3:$B$1002,$A971))</f>
      </c>
      <c r="P971" s="41">
        <f>IF($C971="","",ROUND($H971*(1+IF('설정 Settings'!$C$24="YES",'설정 Settings'!$C$26,0)),2)-N($O971))</f>
      </c>
      <c r="Q971" s="42">
        <f>IF($A971="","","INV-"&amp;$A971)</f>
      </c>
      <c r="R971" s="42">
        <f>IF($H971="","",IF($H971&gt;'설정 Settings'!$C$36,"$2,000 초과: e-Transfer 나눠 받기 (F36)",""))</f>
      </c>
    </row>
    <row r="972" spans="12:18" x14ac:dyDescent="0.25">
      <c r="L972" s="41">
        <f>IF($C972="","",IF($I972="",ROUND(IFERROR($H972*VLOOKUP($F972,'설정 Settings'!$A$122:$F$130,4,0)+VLOOKUP($F972,'설정 Settings'!$A$122:$F$130,5,0),0),2),$I972))</f>
      </c>
      <c r="M972" s="41">
        <f>IF($C972="","",$H972-$L972)</f>
      </c>
      <c r="N972" s="42">
        <f>IF($C972="","",IF($I972="","추정 ESTIMATE","실제 ACTUAL"))</f>
      </c>
      <c r="O972" s="41">
        <f>IF($A972="","",SUMIFS('입금 Payments'!$C$3:$C$1002,'입금 Payments'!$B$3:$B$1002,$A972))</f>
      </c>
      <c r="P972" s="41">
        <f>IF($C972="","",ROUND($H972*(1+IF('설정 Settings'!$C$24="YES",'설정 Settings'!$C$26,0)),2)-N($O972))</f>
      </c>
      <c r="Q972" s="42">
        <f>IF($A972="","","INV-"&amp;$A972)</f>
      </c>
      <c r="R972" s="42">
        <f>IF($H972="","",IF($H972&gt;'설정 Settings'!$C$36,"$2,000 초과: e-Transfer 나눠 받기 (F36)",""))</f>
      </c>
    </row>
    <row r="973" spans="12:18" x14ac:dyDescent="0.25">
      <c r="L973" s="41">
        <f>IF($C973="","",IF($I973="",ROUND(IFERROR($H973*VLOOKUP($F973,'설정 Settings'!$A$122:$F$130,4,0)+VLOOKUP($F973,'설정 Settings'!$A$122:$F$130,5,0),0),2),$I973))</f>
      </c>
      <c r="M973" s="41">
        <f>IF($C973="","",$H973-$L973)</f>
      </c>
      <c r="N973" s="42">
        <f>IF($C973="","",IF($I973="","추정 ESTIMATE","실제 ACTUAL"))</f>
      </c>
      <c r="O973" s="41">
        <f>IF($A973="","",SUMIFS('입금 Payments'!$C$3:$C$1002,'입금 Payments'!$B$3:$B$1002,$A973))</f>
      </c>
      <c r="P973" s="41">
        <f>IF($C973="","",ROUND($H973*(1+IF('설정 Settings'!$C$24="YES",'설정 Settings'!$C$26,0)),2)-N($O973))</f>
      </c>
      <c r="Q973" s="42">
        <f>IF($A973="","","INV-"&amp;$A973)</f>
      </c>
      <c r="R973" s="42">
        <f>IF($H973="","",IF($H973&gt;'설정 Settings'!$C$36,"$2,000 초과: e-Transfer 나눠 받기 (F36)",""))</f>
      </c>
    </row>
    <row r="974" spans="12:18" x14ac:dyDescent="0.25">
      <c r="L974" s="41">
        <f>IF($C974="","",IF($I974="",ROUND(IFERROR($H974*VLOOKUP($F974,'설정 Settings'!$A$122:$F$130,4,0)+VLOOKUP($F974,'설정 Settings'!$A$122:$F$130,5,0),0),2),$I974))</f>
      </c>
      <c r="M974" s="41">
        <f>IF($C974="","",$H974-$L974)</f>
      </c>
      <c r="N974" s="42">
        <f>IF($C974="","",IF($I974="","추정 ESTIMATE","실제 ACTUAL"))</f>
      </c>
      <c r="O974" s="41">
        <f>IF($A974="","",SUMIFS('입금 Payments'!$C$3:$C$1002,'입금 Payments'!$B$3:$B$1002,$A974))</f>
      </c>
      <c r="P974" s="41">
        <f>IF($C974="","",ROUND($H974*(1+IF('설정 Settings'!$C$24="YES",'설정 Settings'!$C$26,0)),2)-N($O974))</f>
      </c>
      <c r="Q974" s="42">
        <f>IF($A974="","","INV-"&amp;$A974)</f>
      </c>
      <c r="R974" s="42">
        <f>IF($H974="","",IF($H974&gt;'설정 Settings'!$C$36,"$2,000 초과: e-Transfer 나눠 받기 (F36)",""))</f>
      </c>
    </row>
    <row r="975" spans="12:18" x14ac:dyDescent="0.25">
      <c r="L975" s="41">
        <f>IF($C975="","",IF($I975="",ROUND(IFERROR($H975*VLOOKUP($F975,'설정 Settings'!$A$122:$F$130,4,0)+VLOOKUP($F975,'설정 Settings'!$A$122:$F$130,5,0),0),2),$I975))</f>
      </c>
      <c r="M975" s="41">
        <f>IF($C975="","",$H975-$L975)</f>
      </c>
      <c r="N975" s="42">
        <f>IF($C975="","",IF($I975="","추정 ESTIMATE","실제 ACTUAL"))</f>
      </c>
      <c r="O975" s="41">
        <f>IF($A975="","",SUMIFS('입금 Payments'!$C$3:$C$1002,'입금 Payments'!$B$3:$B$1002,$A975))</f>
      </c>
      <c r="P975" s="41">
        <f>IF($C975="","",ROUND($H975*(1+IF('설정 Settings'!$C$24="YES",'설정 Settings'!$C$26,0)),2)-N($O975))</f>
      </c>
      <c r="Q975" s="42">
        <f>IF($A975="","","INV-"&amp;$A975)</f>
      </c>
      <c r="R975" s="42">
        <f>IF($H975="","",IF($H975&gt;'설정 Settings'!$C$36,"$2,000 초과: e-Transfer 나눠 받기 (F36)",""))</f>
      </c>
    </row>
    <row r="976" spans="12:18" x14ac:dyDescent="0.25">
      <c r="L976" s="41">
        <f>IF($C976="","",IF($I976="",ROUND(IFERROR($H976*VLOOKUP($F976,'설정 Settings'!$A$122:$F$130,4,0)+VLOOKUP($F976,'설정 Settings'!$A$122:$F$130,5,0),0),2),$I976))</f>
      </c>
      <c r="M976" s="41">
        <f>IF($C976="","",$H976-$L976)</f>
      </c>
      <c r="N976" s="42">
        <f>IF($C976="","",IF($I976="","추정 ESTIMATE","실제 ACTUAL"))</f>
      </c>
      <c r="O976" s="41">
        <f>IF($A976="","",SUMIFS('입금 Payments'!$C$3:$C$1002,'입금 Payments'!$B$3:$B$1002,$A976))</f>
      </c>
      <c r="P976" s="41">
        <f>IF($C976="","",ROUND($H976*(1+IF('설정 Settings'!$C$24="YES",'설정 Settings'!$C$26,0)),2)-N($O976))</f>
      </c>
      <c r="Q976" s="42">
        <f>IF($A976="","","INV-"&amp;$A976)</f>
      </c>
      <c r="R976" s="42">
        <f>IF($H976="","",IF($H976&gt;'설정 Settings'!$C$36,"$2,000 초과: e-Transfer 나눠 받기 (F36)",""))</f>
      </c>
    </row>
    <row r="977" spans="12:18" x14ac:dyDescent="0.25">
      <c r="L977" s="41">
        <f>IF($C977="","",IF($I977="",ROUND(IFERROR($H977*VLOOKUP($F977,'설정 Settings'!$A$122:$F$130,4,0)+VLOOKUP($F977,'설정 Settings'!$A$122:$F$130,5,0),0),2),$I977))</f>
      </c>
      <c r="M977" s="41">
        <f>IF($C977="","",$H977-$L977)</f>
      </c>
      <c r="N977" s="42">
        <f>IF($C977="","",IF($I977="","추정 ESTIMATE","실제 ACTUAL"))</f>
      </c>
      <c r="O977" s="41">
        <f>IF($A977="","",SUMIFS('입금 Payments'!$C$3:$C$1002,'입금 Payments'!$B$3:$B$1002,$A977))</f>
      </c>
      <c r="P977" s="41">
        <f>IF($C977="","",ROUND($H977*(1+IF('설정 Settings'!$C$24="YES",'설정 Settings'!$C$26,0)),2)-N($O977))</f>
      </c>
      <c r="Q977" s="42">
        <f>IF($A977="","","INV-"&amp;$A977)</f>
      </c>
      <c r="R977" s="42">
        <f>IF($H977="","",IF($H977&gt;'설정 Settings'!$C$36,"$2,000 초과: e-Transfer 나눠 받기 (F36)",""))</f>
      </c>
    </row>
    <row r="978" spans="12:18" x14ac:dyDescent="0.25">
      <c r="L978" s="41">
        <f>IF($C978="","",IF($I978="",ROUND(IFERROR($H978*VLOOKUP($F978,'설정 Settings'!$A$122:$F$130,4,0)+VLOOKUP($F978,'설정 Settings'!$A$122:$F$130,5,0),0),2),$I978))</f>
      </c>
      <c r="M978" s="41">
        <f>IF($C978="","",$H978-$L978)</f>
      </c>
      <c r="N978" s="42">
        <f>IF($C978="","",IF($I978="","추정 ESTIMATE","실제 ACTUAL"))</f>
      </c>
      <c r="O978" s="41">
        <f>IF($A978="","",SUMIFS('입금 Payments'!$C$3:$C$1002,'입금 Payments'!$B$3:$B$1002,$A978))</f>
      </c>
      <c r="P978" s="41">
        <f>IF($C978="","",ROUND($H978*(1+IF('설정 Settings'!$C$24="YES",'설정 Settings'!$C$26,0)),2)-N($O978))</f>
      </c>
      <c r="Q978" s="42">
        <f>IF($A978="","","INV-"&amp;$A978)</f>
      </c>
      <c r="R978" s="42">
        <f>IF($H978="","",IF($H978&gt;'설정 Settings'!$C$36,"$2,000 초과: e-Transfer 나눠 받기 (F36)",""))</f>
      </c>
    </row>
    <row r="979" spans="12:18" x14ac:dyDescent="0.25">
      <c r="L979" s="41">
        <f>IF($C979="","",IF($I979="",ROUND(IFERROR($H979*VLOOKUP($F979,'설정 Settings'!$A$122:$F$130,4,0)+VLOOKUP($F979,'설정 Settings'!$A$122:$F$130,5,0),0),2),$I979))</f>
      </c>
      <c r="M979" s="41">
        <f>IF($C979="","",$H979-$L979)</f>
      </c>
      <c r="N979" s="42">
        <f>IF($C979="","",IF($I979="","추정 ESTIMATE","실제 ACTUAL"))</f>
      </c>
      <c r="O979" s="41">
        <f>IF($A979="","",SUMIFS('입금 Payments'!$C$3:$C$1002,'입금 Payments'!$B$3:$B$1002,$A979))</f>
      </c>
      <c r="P979" s="41">
        <f>IF($C979="","",ROUND($H979*(1+IF('설정 Settings'!$C$24="YES",'설정 Settings'!$C$26,0)),2)-N($O979))</f>
      </c>
      <c r="Q979" s="42">
        <f>IF($A979="","","INV-"&amp;$A979)</f>
      </c>
      <c r="R979" s="42">
        <f>IF($H979="","",IF($H979&gt;'설정 Settings'!$C$36,"$2,000 초과: e-Transfer 나눠 받기 (F36)",""))</f>
      </c>
    </row>
    <row r="980" spans="12:18" x14ac:dyDescent="0.25">
      <c r="L980" s="41">
        <f>IF($C980="","",IF($I980="",ROUND(IFERROR($H980*VLOOKUP($F980,'설정 Settings'!$A$122:$F$130,4,0)+VLOOKUP($F980,'설정 Settings'!$A$122:$F$130,5,0),0),2),$I980))</f>
      </c>
      <c r="M980" s="41">
        <f>IF($C980="","",$H980-$L980)</f>
      </c>
      <c r="N980" s="42">
        <f>IF($C980="","",IF($I980="","추정 ESTIMATE","실제 ACTUAL"))</f>
      </c>
      <c r="O980" s="41">
        <f>IF($A980="","",SUMIFS('입금 Payments'!$C$3:$C$1002,'입금 Payments'!$B$3:$B$1002,$A980))</f>
      </c>
      <c r="P980" s="41">
        <f>IF($C980="","",ROUND($H980*(1+IF('설정 Settings'!$C$24="YES",'설정 Settings'!$C$26,0)),2)-N($O980))</f>
      </c>
      <c r="Q980" s="42">
        <f>IF($A980="","","INV-"&amp;$A980)</f>
      </c>
      <c r="R980" s="42">
        <f>IF($H980="","",IF($H980&gt;'설정 Settings'!$C$36,"$2,000 초과: e-Transfer 나눠 받기 (F36)",""))</f>
      </c>
    </row>
    <row r="981" spans="12:18" x14ac:dyDescent="0.25">
      <c r="L981" s="41">
        <f>IF($C981="","",IF($I981="",ROUND(IFERROR($H981*VLOOKUP($F981,'설정 Settings'!$A$122:$F$130,4,0)+VLOOKUP($F981,'설정 Settings'!$A$122:$F$130,5,0),0),2),$I981))</f>
      </c>
      <c r="M981" s="41">
        <f>IF($C981="","",$H981-$L981)</f>
      </c>
      <c r="N981" s="42">
        <f>IF($C981="","",IF($I981="","추정 ESTIMATE","실제 ACTUAL"))</f>
      </c>
      <c r="O981" s="41">
        <f>IF($A981="","",SUMIFS('입금 Payments'!$C$3:$C$1002,'입금 Payments'!$B$3:$B$1002,$A981))</f>
      </c>
      <c r="P981" s="41">
        <f>IF($C981="","",ROUND($H981*(1+IF('설정 Settings'!$C$24="YES",'설정 Settings'!$C$26,0)),2)-N($O981))</f>
      </c>
      <c r="Q981" s="42">
        <f>IF($A981="","","INV-"&amp;$A981)</f>
      </c>
      <c r="R981" s="42">
        <f>IF($H981="","",IF($H981&gt;'설정 Settings'!$C$36,"$2,000 초과: e-Transfer 나눠 받기 (F36)",""))</f>
      </c>
    </row>
    <row r="982" spans="12:18" x14ac:dyDescent="0.25">
      <c r="L982" s="41">
        <f>IF($C982="","",IF($I982="",ROUND(IFERROR($H982*VLOOKUP($F982,'설정 Settings'!$A$122:$F$130,4,0)+VLOOKUP($F982,'설정 Settings'!$A$122:$F$130,5,0),0),2),$I982))</f>
      </c>
      <c r="M982" s="41">
        <f>IF($C982="","",$H982-$L982)</f>
      </c>
      <c r="N982" s="42">
        <f>IF($C982="","",IF($I982="","추정 ESTIMATE","실제 ACTUAL"))</f>
      </c>
      <c r="O982" s="41">
        <f>IF($A982="","",SUMIFS('입금 Payments'!$C$3:$C$1002,'입금 Payments'!$B$3:$B$1002,$A982))</f>
      </c>
      <c r="P982" s="41">
        <f>IF($C982="","",ROUND($H982*(1+IF('설정 Settings'!$C$24="YES",'설정 Settings'!$C$26,0)),2)-N($O982))</f>
      </c>
      <c r="Q982" s="42">
        <f>IF($A982="","","INV-"&amp;$A982)</f>
      </c>
      <c r="R982" s="42">
        <f>IF($H982="","",IF($H982&gt;'설정 Settings'!$C$36,"$2,000 초과: e-Transfer 나눠 받기 (F36)",""))</f>
      </c>
    </row>
    <row r="983" spans="12:18" x14ac:dyDescent="0.25">
      <c r="L983" s="41">
        <f>IF($C983="","",IF($I983="",ROUND(IFERROR($H983*VLOOKUP($F983,'설정 Settings'!$A$122:$F$130,4,0)+VLOOKUP($F983,'설정 Settings'!$A$122:$F$130,5,0),0),2),$I983))</f>
      </c>
      <c r="M983" s="41">
        <f>IF($C983="","",$H983-$L983)</f>
      </c>
      <c r="N983" s="42">
        <f>IF($C983="","",IF($I983="","추정 ESTIMATE","실제 ACTUAL"))</f>
      </c>
      <c r="O983" s="41">
        <f>IF($A983="","",SUMIFS('입금 Payments'!$C$3:$C$1002,'입금 Payments'!$B$3:$B$1002,$A983))</f>
      </c>
      <c r="P983" s="41">
        <f>IF($C983="","",ROUND($H983*(1+IF('설정 Settings'!$C$24="YES",'설정 Settings'!$C$26,0)),2)-N($O983))</f>
      </c>
      <c r="Q983" s="42">
        <f>IF($A983="","","INV-"&amp;$A983)</f>
      </c>
      <c r="R983" s="42">
        <f>IF($H983="","",IF($H983&gt;'설정 Settings'!$C$36,"$2,000 초과: e-Transfer 나눠 받기 (F36)",""))</f>
      </c>
    </row>
    <row r="984" spans="12:18" x14ac:dyDescent="0.25">
      <c r="L984" s="41">
        <f>IF($C984="","",IF($I984="",ROUND(IFERROR($H984*VLOOKUP($F984,'설정 Settings'!$A$122:$F$130,4,0)+VLOOKUP($F984,'설정 Settings'!$A$122:$F$130,5,0),0),2),$I984))</f>
      </c>
      <c r="M984" s="41">
        <f>IF($C984="","",$H984-$L984)</f>
      </c>
      <c r="N984" s="42">
        <f>IF($C984="","",IF($I984="","추정 ESTIMATE","실제 ACTUAL"))</f>
      </c>
      <c r="O984" s="41">
        <f>IF($A984="","",SUMIFS('입금 Payments'!$C$3:$C$1002,'입금 Payments'!$B$3:$B$1002,$A984))</f>
      </c>
      <c r="P984" s="41">
        <f>IF($C984="","",ROUND($H984*(1+IF('설정 Settings'!$C$24="YES",'설정 Settings'!$C$26,0)),2)-N($O984))</f>
      </c>
      <c r="Q984" s="42">
        <f>IF($A984="","","INV-"&amp;$A984)</f>
      </c>
      <c r="R984" s="42">
        <f>IF($H984="","",IF($H984&gt;'설정 Settings'!$C$36,"$2,000 초과: e-Transfer 나눠 받기 (F36)",""))</f>
      </c>
    </row>
    <row r="985" spans="12:18" x14ac:dyDescent="0.25">
      <c r="L985" s="41">
        <f>IF($C985="","",IF($I985="",ROUND(IFERROR($H985*VLOOKUP($F985,'설정 Settings'!$A$122:$F$130,4,0)+VLOOKUP($F985,'설정 Settings'!$A$122:$F$130,5,0),0),2),$I985))</f>
      </c>
      <c r="M985" s="41">
        <f>IF($C985="","",$H985-$L985)</f>
      </c>
      <c r="N985" s="42">
        <f>IF($C985="","",IF($I985="","추정 ESTIMATE","실제 ACTUAL"))</f>
      </c>
      <c r="O985" s="41">
        <f>IF($A985="","",SUMIFS('입금 Payments'!$C$3:$C$1002,'입금 Payments'!$B$3:$B$1002,$A985))</f>
      </c>
      <c r="P985" s="41">
        <f>IF($C985="","",ROUND($H985*(1+IF('설정 Settings'!$C$24="YES",'설정 Settings'!$C$26,0)),2)-N($O985))</f>
      </c>
      <c r="Q985" s="42">
        <f>IF($A985="","","INV-"&amp;$A985)</f>
      </c>
      <c r="R985" s="42">
        <f>IF($H985="","",IF($H985&gt;'설정 Settings'!$C$36,"$2,000 초과: e-Transfer 나눠 받기 (F36)",""))</f>
      </c>
    </row>
    <row r="986" spans="12:18" x14ac:dyDescent="0.25">
      <c r="L986" s="41">
        <f>IF($C986="","",IF($I986="",ROUND(IFERROR($H986*VLOOKUP($F986,'설정 Settings'!$A$122:$F$130,4,0)+VLOOKUP($F986,'설정 Settings'!$A$122:$F$130,5,0),0),2),$I986))</f>
      </c>
      <c r="M986" s="41">
        <f>IF($C986="","",$H986-$L986)</f>
      </c>
      <c r="N986" s="42">
        <f>IF($C986="","",IF($I986="","추정 ESTIMATE","실제 ACTUAL"))</f>
      </c>
      <c r="O986" s="41">
        <f>IF($A986="","",SUMIFS('입금 Payments'!$C$3:$C$1002,'입금 Payments'!$B$3:$B$1002,$A986))</f>
      </c>
      <c r="P986" s="41">
        <f>IF($C986="","",ROUND($H986*(1+IF('설정 Settings'!$C$24="YES",'설정 Settings'!$C$26,0)),2)-N($O986))</f>
      </c>
      <c r="Q986" s="42">
        <f>IF($A986="","","INV-"&amp;$A986)</f>
      </c>
      <c r="R986" s="42">
        <f>IF($H986="","",IF($H986&gt;'설정 Settings'!$C$36,"$2,000 초과: e-Transfer 나눠 받기 (F36)",""))</f>
      </c>
    </row>
    <row r="987" spans="12:18" x14ac:dyDescent="0.25">
      <c r="L987" s="41">
        <f>IF($C987="","",IF($I987="",ROUND(IFERROR($H987*VLOOKUP($F987,'설정 Settings'!$A$122:$F$130,4,0)+VLOOKUP($F987,'설정 Settings'!$A$122:$F$130,5,0),0),2),$I987))</f>
      </c>
      <c r="M987" s="41">
        <f>IF($C987="","",$H987-$L987)</f>
      </c>
      <c r="N987" s="42">
        <f>IF($C987="","",IF($I987="","추정 ESTIMATE","실제 ACTUAL"))</f>
      </c>
      <c r="O987" s="41">
        <f>IF($A987="","",SUMIFS('입금 Payments'!$C$3:$C$1002,'입금 Payments'!$B$3:$B$1002,$A987))</f>
      </c>
      <c r="P987" s="41">
        <f>IF($C987="","",ROUND($H987*(1+IF('설정 Settings'!$C$24="YES",'설정 Settings'!$C$26,0)),2)-N($O987))</f>
      </c>
      <c r="Q987" s="42">
        <f>IF($A987="","","INV-"&amp;$A987)</f>
      </c>
      <c r="R987" s="42">
        <f>IF($H987="","",IF($H987&gt;'설정 Settings'!$C$36,"$2,000 초과: e-Transfer 나눠 받기 (F36)",""))</f>
      </c>
    </row>
    <row r="988" spans="12:18" x14ac:dyDescent="0.25">
      <c r="L988" s="41">
        <f>IF($C988="","",IF($I988="",ROUND(IFERROR($H988*VLOOKUP($F988,'설정 Settings'!$A$122:$F$130,4,0)+VLOOKUP($F988,'설정 Settings'!$A$122:$F$130,5,0),0),2),$I988))</f>
      </c>
      <c r="M988" s="41">
        <f>IF($C988="","",$H988-$L988)</f>
      </c>
      <c r="N988" s="42">
        <f>IF($C988="","",IF($I988="","추정 ESTIMATE","실제 ACTUAL"))</f>
      </c>
      <c r="O988" s="41">
        <f>IF($A988="","",SUMIFS('입금 Payments'!$C$3:$C$1002,'입금 Payments'!$B$3:$B$1002,$A988))</f>
      </c>
      <c r="P988" s="41">
        <f>IF($C988="","",ROUND($H988*(1+IF('설정 Settings'!$C$24="YES",'설정 Settings'!$C$26,0)),2)-N($O988))</f>
      </c>
      <c r="Q988" s="42">
        <f>IF($A988="","","INV-"&amp;$A988)</f>
      </c>
      <c r="R988" s="42">
        <f>IF($H988="","",IF($H988&gt;'설정 Settings'!$C$36,"$2,000 초과: e-Transfer 나눠 받기 (F36)",""))</f>
      </c>
    </row>
    <row r="989" spans="12:18" x14ac:dyDescent="0.25">
      <c r="L989" s="41">
        <f>IF($C989="","",IF($I989="",ROUND(IFERROR($H989*VLOOKUP($F989,'설정 Settings'!$A$122:$F$130,4,0)+VLOOKUP($F989,'설정 Settings'!$A$122:$F$130,5,0),0),2),$I989))</f>
      </c>
      <c r="M989" s="41">
        <f>IF($C989="","",$H989-$L989)</f>
      </c>
      <c r="N989" s="42">
        <f>IF($C989="","",IF($I989="","추정 ESTIMATE","실제 ACTUAL"))</f>
      </c>
      <c r="O989" s="41">
        <f>IF($A989="","",SUMIFS('입금 Payments'!$C$3:$C$1002,'입금 Payments'!$B$3:$B$1002,$A989))</f>
      </c>
      <c r="P989" s="41">
        <f>IF($C989="","",ROUND($H989*(1+IF('설정 Settings'!$C$24="YES",'설정 Settings'!$C$26,0)),2)-N($O989))</f>
      </c>
      <c r="Q989" s="42">
        <f>IF($A989="","","INV-"&amp;$A989)</f>
      </c>
      <c r="R989" s="42">
        <f>IF($H989="","",IF($H989&gt;'설정 Settings'!$C$36,"$2,000 초과: e-Transfer 나눠 받기 (F36)",""))</f>
      </c>
    </row>
    <row r="990" spans="12:18" x14ac:dyDescent="0.25">
      <c r="L990" s="41">
        <f>IF($C990="","",IF($I990="",ROUND(IFERROR($H990*VLOOKUP($F990,'설정 Settings'!$A$122:$F$130,4,0)+VLOOKUP($F990,'설정 Settings'!$A$122:$F$130,5,0),0),2),$I990))</f>
      </c>
      <c r="M990" s="41">
        <f>IF($C990="","",$H990-$L990)</f>
      </c>
      <c r="N990" s="42">
        <f>IF($C990="","",IF($I990="","추정 ESTIMATE","실제 ACTUAL"))</f>
      </c>
      <c r="O990" s="41">
        <f>IF($A990="","",SUMIFS('입금 Payments'!$C$3:$C$1002,'입금 Payments'!$B$3:$B$1002,$A990))</f>
      </c>
      <c r="P990" s="41">
        <f>IF($C990="","",ROUND($H990*(1+IF('설정 Settings'!$C$24="YES",'설정 Settings'!$C$26,0)),2)-N($O990))</f>
      </c>
      <c r="Q990" s="42">
        <f>IF($A990="","","INV-"&amp;$A990)</f>
      </c>
      <c r="R990" s="42">
        <f>IF($H990="","",IF($H990&gt;'설정 Settings'!$C$36,"$2,000 초과: e-Transfer 나눠 받기 (F36)",""))</f>
      </c>
    </row>
    <row r="991" spans="12:18" x14ac:dyDescent="0.25">
      <c r="L991" s="41">
        <f>IF($C991="","",IF($I991="",ROUND(IFERROR($H991*VLOOKUP($F991,'설정 Settings'!$A$122:$F$130,4,0)+VLOOKUP($F991,'설정 Settings'!$A$122:$F$130,5,0),0),2),$I991))</f>
      </c>
      <c r="M991" s="41">
        <f>IF($C991="","",$H991-$L991)</f>
      </c>
      <c r="N991" s="42">
        <f>IF($C991="","",IF($I991="","추정 ESTIMATE","실제 ACTUAL"))</f>
      </c>
      <c r="O991" s="41">
        <f>IF($A991="","",SUMIFS('입금 Payments'!$C$3:$C$1002,'입금 Payments'!$B$3:$B$1002,$A991))</f>
      </c>
      <c r="P991" s="41">
        <f>IF($C991="","",ROUND($H991*(1+IF('설정 Settings'!$C$24="YES",'설정 Settings'!$C$26,0)),2)-N($O991))</f>
      </c>
      <c r="Q991" s="42">
        <f>IF($A991="","","INV-"&amp;$A991)</f>
      </c>
      <c r="R991" s="42">
        <f>IF($H991="","",IF($H991&gt;'설정 Settings'!$C$36,"$2,000 초과: e-Transfer 나눠 받기 (F36)",""))</f>
      </c>
    </row>
    <row r="992" spans="12:18" x14ac:dyDescent="0.25">
      <c r="L992" s="41">
        <f>IF($C992="","",IF($I992="",ROUND(IFERROR($H992*VLOOKUP($F992,'설정 Settings'!$A$122:$F$130,4,0)+VLOOKUP($F992,'설정 Settings'!$A$122:$F$130,5,0),0),2),$I992))</f>
      </c>
      <c r="M992" s="41">
        <f>IF($C992="","",$H992-$L992)</f>
      </c>
      <c r="N992" s="42">
        <f>IF($C992="","",IF($I992="","추정 ESTIMATE","실제 ACTUAL"))</f>
      </c>
      <c r="O992" s="41">
        <f>IF($A992="","",SUMIFS('입금 Payments'!$C$3:$C$1002,'입금 Payments'!$B$3:$B$1002,$A992))</f>
      </c>
      <c r="P992" s="41">
        <f>IF($C992="","",ROUND($H992*(1+IF('설정 Settings'!$C$24="YES",'설정 Settings'!$C$26,0)),2)-N($O992))</f>
      </c>
      <c r="Q992" s="42">
        <f>IF($A992="","","INV-"&amp;$A992)</f>
      </c>
      <c r="R992" s="42">
        <f>IF($H992="","",IF($H992&gt;'설정 Settings'!$C$36,"$2,000 초과: e-Transfer 나눠 받기 (F36)",""))</f>
      </c>
    </row>
    <row r="993" spans="12:18" x14ac:dyDescent="0.25">
      <c r="L993" s="41">
        <f>IF($C993="","",IF($I993="",ROUND(IFERROR($H993*VLOOKUP($F993,'설정 Settings'!$A$122:$F$130,4,0)+VLOOKUP($F993,'설정 Settings'!$A$122:$F$130,5,0),0),2),$I993))</f>
      </c>
      <c r="M993" s="41">
        <f>IF($C993="","",$H993-$L993)</f>
      </c>
      <c r="N993" s="42">
        <f>IF($C993="","",IF($I993="","추정 ESTIMATE","실제 ACTUAL"))</f>
      </c>
      <c r="O993" s="41">
        <f>IF($A993="","",SUMIFS('입금 Payments'!$C$3:$C$1002,'입금 Payments'!$B$3:$B$1002,$A993))</f>
      </c>
      <c r="P993" s="41">
        <f>IF($C993="","",ROUND($H993*(1+IF('설정 Settings'!$C$24="YES",'설정 Settings'!$C$26,0)),2)-N($O993))</f>
      </c>
      <c r="Q993" s="42">
        <f>IF($A993="","","INV-"&amp;$A993)</f>
      </c>
      <c r="R993" s="42">
        <f>IF($H993="","",IF($H993&gt;'설정 Settings'!$C$36,"$2,000 초과: e-Transfer 나눠 받기 (F36)",""))</f>
      </c>
    </row>
    <row r="994" spans="12:18" x14ac:dyDescent="0.25">
      <c r="L994" s="41">
        <f>IF($C994="","",IF($I994="",ROUND(IFERROR($H994*VLOOKUP($F994,'설정 Settings'!$A$122:$F$130,4,0)+VLOOKUP($F994,'설정 Settings'!$A$122:$F$130,5,0),0),2),$I994))</f>
      </c>
      <c r="M994" s="41">
        <f>IF($C994="","",$H994-$L994)</f>
      </c>
      <c r="N994" s="42">
        <f>IF($C994="","",IF($I994="","추정 ESTIMATE","실제 ACTUAL"))</f>
      </c>
      <c r="O994" s="41">
        <f>IF($A994="","",SUMIFS('입금 Payments'!$C$3:$C$1002,'입금 Payments'!$B$3:$B$1002,$A994))</f>
      </c>
      <c r="P994" s="41">
        <f>IF($C994="","",ROUND($H994*(1+IF('설정 Settings'!$C$24="YES",'설정 Settings'!$C$26,0)),2)-N($O994))</f>
      </c>
      <c r="Q994" s="42">
        <f>IF($A994="","","INV-"&amp;$A994)</f>
      </c>
      <c r="R994" s="42">
        <f>IF($H994="","",IF($H994&gt;'설정 Settings'!$C$36,"$2,000 초과: e-Transfer 나눠 받기 (F36)",""))</f>
      </c>
    </row>
    <row r="995" spans="12:18" x14ac:dyDescent="0.25">
      <c r="L995" s="41">
        <f>IF($C995="","",IF($I995="",ROUND(IFERROR($H995*VLOOKUP($F995,'설정 Settings'!$A$122:$F$130,4,0)+VLOOKUP($F995,'설정 Settings'!$A$122:$F$130,5,0),0),2),$I995))</f>
      </c>
      <c r="M995" s="41">
        <f>IF($C995="","",$H995-$L995)</f>
      </c>
      <c r="N995" s="42">
        <f>IF($C995="","",IF($I995="","추정 ESTIMATE","실제 ACTUAL"))</f>
      </c>
      <c r="O995" s="41">
        <f>IF($A995="","",SUMIFS('입금 Payments'!$C$3:$C$1002,'입금 Payments'!$B$3:$B$1002,$A995))</f>
      </c>
      <c r="P995" s="41">
        <f>IF($C995="","",ROUND($H995*(1+IF('설정 Settings'!$C$24="YES",'설정 Settings'!$C$26,0)),2)-N($O995))</f>
      </c>
      <c r="Q995" s="42">
        <f>IF($A995="","","INV-"&amp;$A995)</f>
      </c>
      <c r="R995" s="42">
        <f>IF($H995="","",IF($H995&gt;'설정 Settings'!$C$36,"$2,000 초과: e-Transfer 나눠 받기 (F36)",""))</f>
      </c>
    </row>
    <row r="996" spans="12:18" x14ac:dyDescent="0.25">
      <c r="L996" s="41">
        <f>IF($C996="","",IF($I996="",ROUND(IFERROR($H996*VLOOKUP($F996,'설정 Settings'!$A$122:$F$130,4,0)+VLOOKUP($F996,'설정 Settings'!$A$122:$F$130,5,0),0),2),$I996))</f>
      </c>
      <c r="M996" s="41">
        <f>IF($C996="","",$H996-$L996)</f>
      </c>
      <c r="N996" s="42">
        <f>IF($C996="","",IF($I996="","추정 ESTIMATE","실제 ACTUAL"))</f>
      </c>
      <c r="O996" s="41">
        <f>IF($A996="","",SUMIFS('입금 Payments'!$C$3:$C$1002,'입금 Payments'!$B$3:$B$1002,$A996))</f>
      </c>
      <c r="P996" s="41">
        <f>IF($C996="","",ROUND($H996*(1+IF('설정 Settings'!$C$24="YES",'설정 Settings'!$C$26,0)),2)-N($O996))</f>
      </c>
      <c r="Q996" s="42">
        <f>IF($A996="","","INV-"&amp;$A996)</f>
      </c>
      <c r="R996" s="42">
        <f>IF($H996="","",IF($H996&gt;'설정 Settings'!$C$36,"$2,000 초과: e-Transfer 나눠 받기 (F36)",""))</f>
      </c>
    </row>
    <row r="997" spans="12:18" x14ac:dyDescent="0.25">
      <c r="L997" s="41">
        <f>IF($C997="","",IF($I997="",ROUND(IFERROR($H997*VLOOKUP($F997,'설정 Settings'!$A$122:$F$130,4,0)+VLOOKUP($F997,'설정 Settings'!$A$122:$F$130,5,0),0),2),$I997))</f>
      </c>
      <c r="M997" s="41">
        <f>IF($C997="","",$H997-$L997)</f>
      </c>
      <c r="N997" s="42">
        <f>IF($C997="","",IF($I997="","추정 ESTIMATE","실제 ACTUAL"))</f>
      </c>
      <c r="O997" s="41">
        <f>IF($A997="","",SUMIFS('입금 Payments'!$C$3:$C$1002,'입금 Payments'!$B$3:$B$1002,$A997))</f>
      </c>
      <c r="P997" s="41">
        <f>IF($C997="","",ROUND($H997*(1+IF('설정 Settings'!$C$24="YES",'설정 Settings'!$C$26,0)),2)-N($O997))</f>
      </c>
      <c r="Q997" s="42">
        <f>IF($A997="","","INV-"&amp;$A997)</f>
      </c>
      <c r="R997" s="42">
        <f>IF($H997="","",IF($H997&gt;'설정 Settings'!$C$36,"$2,000 초과: e-Transfer 나눠 받기 (F36)",""))</f>
      </c>
    </row>
    <row r="998" spans="12:18" x14ac:dyDescent="0.25">
      <c r="L998" s="41">
        <f>IF($C998="","",IF($I998="",ROUND(IFERROR($H998*VLOOKUP($F998,'설정 Settings'!$A$122:$F$130,4,0)+VLOOKUP($F998,'설정 Settings'!$A$122:$F$130,5,0),0),2),$I998))</f>
      </c>
      <c r="M998" s="41">
        <f>IF($C998="","",$H998-$L998)</f>
      </c>
      <c r="N998" s="42">
        <f>IF($C998="","",IF($I998="","추정 ESTIMATE","실제 ACTUAL"))</f>
      </c>
      <c r="O998" s="41">
        <f>IF($A998="","",SUMIFS('입금 Payments'!$C$3:$C$1002,'입금 Payments'!$B$3:$B$1002,$A998))</f>
      </c>
      <c r="P998" s="41">
        <f>IF($C998="","",ROUND($H998*(1+IF('설정 Settings'!$C$24="YES",'설정 Settings'!$C$26,0)),2)-N($O998))</f>
      </c>
      <c r="Q998" s="42">
        <f>IF($A998="","","INV-"&amp;$A998)</f>
      </c>
      <c r="R998" s="42">
        <f>IF($H998="","",IF($H998&gt;'설정 Settings'!$C$36,"$2,000 초과: e-Transfer 나눠 받기 (F36)",""))</f>
      </c>
    </row>
    <row r="999" spans="12:18" x14ac:dyDescent="0.25">
      <c r="L999" s="41">
        <f>IF($C999="","",IF($I999="",ROUND(IFERROR($H999*VLOOKUP($F999,'설정 Settings'!$A$122:$F$130,4,0)+VLOOKUP($F999,'설정 Settings'!$A$122:$F$130,5,0),0),2),$I999))</f>
      </c>
      <c r="M999" s="41">
        <f>IF($C999="","",$H999-$L999)</f>
      </c>
      <c r="N999" s="42">
        <f>IF($C999="","",IF($I999="","추정 ESTIMATE","실제 ACTUAL"))</f>
      </c>
      <c r="O999" s="41">
        <f>IF($A999="","",SUMIFS('입금 Payments'!$C$3:$C$1002,'입금 Payments'!$B$3:$B$1002,$A999))</f>
      </c>
      <c r="P999" s="41">
        <f>IF($C999="","",ROUND($H999*(1+IF('설정 Settings'!$C$24="YES",'설정 Settings'!$C$26,0)),2)-N($O999))</f>
      </c>
      <c r="Q999" s="42">
        <f>IF($A999="","","INV-"&amp;$A999)</f>
      </c>
      <c r="R999" s="42">
        <f>IF($H999="","",IF($H999&gt;'설정 Settings'!$C$36,"$2,000 초과: e-Transfer 나눠 받기 (F36)",""))</f>
      </c>
    </row>
    <row r="1000" spans="12:18" x14ac:dyDescent="0.25">
      <c r="L1000" s="41">
        <f>IF($C1000="","",IF($I1000="",ROUND(IFERROR($H1000*VLOOKUP($F1000,'설정 Settings'!$A$122:$F$130,4,0)+VLOOKUP($F1000,'설정 Settings'!$A$122:$F$130,5,0),0),2),$I1000))</f>
      </c>
      <c r="M1000" s="41">
        <f>IF($C1000="","",$H1000-$L1000)</f>
      </c>
      <c r="N1000" s="42">
        <f>IF($C1000="","",IF($I1000="","추정 ESTIMATE","실제 ACTUAL"))</f>
      </c>
      <c r="O1000" s="41">
        <f>IF($A1000="","",SUMIFS('입금 Payments'!$C$3:$C$1002,'입금 Payments'!$B$3:$B$1002,$A1000))</f>
      </c>
      <c r="P1000" s="41">
        <f>IF($C1000="","",ROUND($H1000*(1+IF('설정 Settings'!$C$24="YES",'설정 Settings'!$C$26,0)),2)-N($O1000))</f>
      </c>
      <c r="Q1000" s="42">
        <f>IF($A1000="","","INV-"&amp;$A1000)</f>
      </c>
      <c r="R1000" s="42">
        <f>IF($H1000="","",IF($H1000&gt;'설정 Settings'!$C$36,"$2,000 초과: e-Transfer 나눠 받기 (F36)",""))</f>
      </c>
    </row>
    <row r="1001" spans="12:18" x14ac:dyDescent="0.25">
      <c r="L1001" s="41">
        <f>IF($C1001="","",IF($I1001="",ROUND(IFERROR($H1001*VLOOKUP($F1001,'설정 Settings'!$A$122:$F$130,4,0)+VLOOKUP($F1001,'설정 Settings'!$A$122:$F$130,5,0),0),2),$I1001))</f>
      </c>
      <c r="M1001" s="41">
        <f>IF($C1001="","",$H1001-$L1001)</f>
      </c>
      <c r="N1001" s="42">
        <f>IF($C1001="","",IF($I1001="","추정 ESTIMATE","실제 ACTUAL"))</f>
      </c>
      <c r="O1001" s="41">
        <f>IF($A1001="","",SUMIFS('입금 Payments'!$C$3:$C$1002,'입금 Payments'!$B$3:$B$1002,$A1001))</f>
      </c>
      <c r="P1001" s="41">
        <f>IF($C1001="","",ROUND($H1001*(1+IF('설정 Settings'!$C$24="YES",'설정 Settings'!$C$26,0)),2)-N($O1001))</f>
      </c>
      <c r="Q1001" s="42">
        <f>IF($A1001="","","INV-"&amp;$A1001)</f>
      </c>
      <c r="R1001" s="42">
        <f>IF($H1001="","",IF($H1001&gt;'설정 Settings'!$C$36,"$2,000 초과: e-Transfer 나눠 받기 (F36)",""))</f>
      </c>
    </row>
    <row r="1002" spans="12:18" x14ac:dyDescent="0.25">
      <c r="L1002" s="41">
        <f>IF($C1002="","",IF($I1002="",ROUND(IFERROR($H1002*VLOOKUP($F1002,'설정 Settings'!$A$122:$F$130,4,0)+VLOOKUP($F1002,'설정 Settings'!$A$122:$F$130,5,0),0),2),$I1002))</f>
      </c>
      <c r="M1002" s="41">
        <f>IF($C1002="","",$H1002-$L1002)</f>
      </c>
      <c r="N1002" s="42">
        <f>IF($C1002="","",IF($I1002="","추정 ESTIMATE","실제 ACTUAL"))</f>
      </c>
      <c r="O1002" s="41">
        <f>IF($A1002="","",SUMIFS('입금 Payments'!$C$3:$C$1002,'입금 Payments'!$B$3:$B$1002,$A1002))</f>
      </c>
      <c r="P1002" s="41">
        <f>IF($C1002="","",ROUND($H1002*(1+IF('설정 Settings'!$C$24="YES",'설정 Settings'!$C$26,0)),2)-N($O1002))</f>
      </c>
      <c r="Q1002" s="42">
        <f>IF($A1002="","","INV-"&amp;$A1002)</f>
      </c>
      <c r="R1002" s="42">
        <f>IF($H1002="","",IF($H1002&gt;'설정 Settings'!$C$36,"$2,000 초과: e-Transfer 나눠 받기 (F36)",""))</f>
      </c>
    </row>
  </sheetData>
  <dataValidations count="3">
    <dataValidation type="list" allowBlank="1" showErrorMessage="1" errorStyle="stop" errorTitle="목록에서 고르세요 / Pick from the list" error="허용 / allowed: CL-STD,CL-DEEP,CL-MOVE,CL-RECUR,GUT,SNOW,SNOW-VISIT,PLAT,OTHER" sqref="F3:F1002">
      <formula1>"CL-STD,CL-DEEP,CL-MOVE,CL-RECUR,GUT,SNOW,SNOW-VISIT,PLAT,OTHER"</formula1>
    </dataValidation>
    <dataValidation type="list" allowBlank="1" showErrorMessage="1" errorStyle="stop" errorTitle="목록에서 고르세요 / Pick from the list" error="허용 / allowed: DOOR,KIJIJI,FACEBOOK,KOREAN,REFERRAL,B2B,WEB,PHONE,PLATFORM,REPEAT,OTHER" sqref="G3:G1002">
      <formula1>"DOOR,KIJIJI,FACEBOOK,KOREAN,REFERRAL,B2B,WEB,PHONE,PLATFORM,REPEAT,OTHER"</formula1>
    </dataValidation>
    <dataValidation type="list" allowBlank="1" showErrorMessage="1" errorStyle="stop" errorTitle="목록에서 고르세요 / Pick from the list" error="허용 / allowed: Y,N" sqref="J3:J1002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J1002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2" style="26" customWidth="1"/>
    <col min="2" max="2" width="10" style="5" customWidth="1"/>
    <col min="3" max="3" width="12" style="35" customWidth="1"/>
    <col min="4" max="4" width="12" style="5" customWidth="1"/>
    <col min="5" max="5" width="18" style="5" customWidth="1"/>
    <col min="6" max="6" width="30" style="5" customWidth="1"/>
    <col min="7" max="7" width="20" style="5" customWidth="1"/>
    <col min="8" max="8" width="12" style="35" customWidth="1"/>
    <col min="9" max="9" width="26" style="5" customWidth="1"/>
    <col min="10" max="10" width="12" style="35" customWidth="1"/>
  </cols>
  <sheetData>
    <row r="1" ht="32" customHeight="1" spans="1:10" x14ac:dyDescent="0.25">
      <c r="A1" s="28" t="s">
        <v>550</v>
      </c>
      <c r="B1" s="3" t="s">
        <v>538</v>
      </c>
      <c r="C1" s="36" t="s">
        <v>551</v>
      </c>
      <c r="D1" s="3" t="s">
        <v>552</v>
      </c>
      <c r="E1" s="3" t="s">
        <v>553</v>
      </c>
      <c r="F1" s="3" t="s">
        <v>487</v>
      </c>
      <c r="G1" s="20" t="s">
        <v>554</v>
      </c>
      <c r="H1" s="38" t="s">
        <v>555</v>
      </c>
      <c r="I1" s="20" t="s">
        <v>548</v>
      </c>
      <c r="J1" s="38" t="s">
        <v>556</v>
      </c>
    </row>
    <row r="2" spans="1:10" x14ac:dyDescent="0.25">
      <c r="A2" s="30">
        <v>46309</v>
      </c>
      <c r="B2" s="31" t="s">
        <v>549</v>
      </c>
      <c r="C2" s="39">
        <v>270</v>
      </c>
      <c r="D2" s="31" t="s">
        <v>557</v>
      </c>
      <c r="E2" s="31" t="s">
        <v>558</v>
      </c>
      <c r="F2" s="31" t="s">
        <v>495</v>
      </c>
      <c r="G2" s="31" t="s">
        <v>537</v>
      </c>
      <c r="H2" s="39" t="s">
        <v>537</v>
      </c>
      <c r="I2" s="31" t="s">
        <v>537</v>
      </c>
      <c r="J2" s="39" t="s">
        <v>537</v>
      </c>
    </row>
    <row r="3" spans="7:10" x14ac:dyDescent="0.25">
      <c r="G3" s="42">
        <f>IF($B3="","",IFERROR(INDEX('작업 Jobs'!$D$3:$D$1002,MATCH($B3,'작업 Jobs'!$A$3:$A$1002,0)),"작업 ID 없음"))</f>
      </c>
      <c r="H3" s="41">
        <f>IF($C3="","",IF($D3="CARD",ROUND($C3*'설정 Settings'!$C$34+'설정 Settings'!$C$35,2),0))</f>
      </c>
      <c r="I3" s="42">
        <f>IF($C3="","",IF($C3&gt;'설정 Settings'!$C$36,"$2,000 초과: 은행 한도 확인, 나눠 받기 (F36)",""))</f>
      </c>
      <c r="J3" s="41">
        <f>IF($B3="","",IFERROR(INDEX('작업 Jobs'!$P$3:$P$1002,MATCH($B3,'작업 Jobs'!$A$3:$A$1002,0)),""))</f>
      </c>
    </row>
    <row r="4" spans="7:10" x14ac:dyDescent="0.25">
      <c r="G4" s="42">
        <f>IF($B4="","",IFERROR(INDEX('작업 Jobs'!$D$3:$D$1002,MATCH($B4,'작업 Jobs'!$A$3:$A$1002,0)),"작업 ID 없음"))</f>
      </c>
      <c r="H4" s="41">
        <f>IF($C4="","",IF($D4="CARD",ROUND($C4*'설정 Settings'!$C$34+'설정 Settings'!$C$35,2),0))</f>
      </c>
      <c r="I4" s="42">
        <f>IF($C4="","",IF($C4&gt;'설정 Settings'!$C$36,"$2,000 초과: 은행 한도 확인, 나눠 받기 (F36)",""))</f>
      </c>
      <c r="J4" s="41">
        <f>IF($B4="","",IFERROR(INDEX('작업 Jobs'!$P$3:$P$1002,MATCH($B4,'작업 Jobs'!$A$3:$A$1002,0)),""))</f>
      </c>
    </row>
    <row r="5" spans="7:10" x14ac:dyDescent="0.25">
      <c r="G5" s="42">
        <f>IF($B5="","",IFERROR(INDEX('작업 Jobs'!$D$3:$D$1002,MATCH($B5,'작업 Jobs'!$A$3:$A$1002,0)),"작업 ID 없음"))</f>
      </c>
      <c r="H5" s="41">
        <f>IF($C5="","",IF($D5="CARD",ROUND($C5*'설정 Settings'!$C$34+'설정 Settings'!$C$35,2),0))</f>
      </c>
      <c r="I5" s="42">
        <f>IF($C5="","",IF($C5&gt;'설정 Settings'!$C$36,"$2,000 초과: 은행 한도 확인, 나눠 받기 (F36)",""))</f>
      </c>
      <c r="J5" s="41">
        <f>IF($B5="","",IFERROR(INDEX('작업 Jobs'!$P$3:$P$1002,MATCH($B5,'작업 Jobs'!$A$3:$A$1002,0)),""))</f>
      </c>
    </row>
    <row r="6" spans="7:10" x14ac:dyDescent="0.25">
      <c r="G6" s="42">
        <f>IF($B6="","",IFERROR(INDEX('작업 Jobs'!$D$3:$D$1002,MATCH($B6,'작업 Jobs'!$A$3:$A$1002,0)),"작업 ID 없음"))</f>
      </c>
      <c r="H6" s="41">
        <f>IF($C6="","",IF($D6="CARD",ROUND($C6*'설정 Settings'!$C$34+'설정 Settings'!$C$35,2),0))</f>
      </c>
      <c r="I6" s="42">
        <f>IF($C6="","",IF($C6&gt;'설정 Settings'!$C$36,"$2,000 초과: 은행 한도 확인, 나눠 받기 (F36)",""))</f>
      </c>
      <c r="J6" s="41">
        <f>IF($B6="","",IFERROR(INDEX('작업 Jobs'!$P$3:$P$1002,MATCH($B6,'작업 Jobs'!$A$3:$A$1002,0)),""))</f>
      </c>
    </row>
    <row r="7" spans="7:10" x14ac:dyDescent="0.25">
      <c r="G7" s="42">
        <f>IF($B7="","",IFERROR(INDEX('작업 Jobs'!$D$3:$D$1002,MATCH($B7,'작업 Jobs'!$A$3:$A$1002,0)),"작업 ID 없음"))</f>
      </c>
      <c r="H7" s="41">
        <f>IF($C7="","",IF($D7="CARD",ROUND($C7*'설정 Settings'!$C$34+'설정 Settings'!$C$35,2),0))</f>
      </c>
      <c r="I7" s="42">
        <f>IF($C7="","",IF($C7&gt;'설정 Settings'!$C$36,"$2,000 초과: 은행 한도 확인, 나눠 받기 (F36)",""))</f>
      </c>
      <c r="J7" s="41">
        <f>IF($B7="","",IFERROR(INDEX('작업 Jobs'!$P$3:$P$1002,MATCH($B7,'작업 Jobs'!$A$3:$A$1002,0)),""))</f>
      </c>
    </row>
    <row r="8" spans="7:10" x14ac:dyDescent="0.25">
      <c r="G8" s="42">
        <f>IF($B8="","",IFERROR(INDEX('작업 Jobs'!$D$3:$D$1002,MATCH($B8,'작업 Jobs'!$A$3:$A$1002,0)),"작업 ID 없음"))</f>
      </c>
      <c r="H8" s="41">
        <f>IF($C8="","",IF($D8="CARD",ROUND($C8*'설정 Settings'!$C$34+'설정 Settings'!$C$35,2),0))</f>
      </c>
      <c r="I8" s="42">
        <f>IF($C8="","",IF($C8&gt;'설정 Settings'!$C$36,"$2,000 초과: 은행 한도 확인, 나눠 받기 (F36)",""))</f>
      </c>
      <c r="J8" s="41">
        <f>IF($B8="","",IFERROR(INDEX('작업 Jobs'!$P$3:$P$1002,MATCH($B8,'작업 Jobs'!$A$3:$A$1002,0)),""))</f>
      </c>
    </row>
    <row r="9" spans="7:10" x14ac:dyDescent="0.25">
      <c r="G9" s="42">
        <f>IF($B9="","",IFERROR(INDEX('작업 Jobs'!$D$3:$D$1002,MATCH($B9,'작업 Jobs'!$A$3:$A$1002,0)),"작업 ID 없음"))</f>
      </c>
      <c r="H9" s="41">
        <f>IF($C9="","",IF($D9="CARD",ROUND($C9*'설정 Settings'!$C$34+'설정 Settings'!$C$35,2),0))</f>
      </c>
      <c r="I9" s="42">
        <f>IF($C9="","",IF($C9&gt;'설정 Settings'!$C$36,"$2,000 초과: 은행 한도 확인, 나눠 받기 (F36)",""))</f>
      </c>
      <c r="J9" s="41">
        <f>IF($B9="","",IFERROR(INDEX('작업 Jobs'!$P$3:$P$1002,MATCH($B9,'작업 Jobs'!$A$3:$A$1002,0)),""))</f>
      </c>
    </row>
    <row r="10" spans="7:10" x14ac:dyDescent="0.25">
      <c r="G10" s="42">
        <f>IF($B10="","",IFERROR(INDEX('작업 Jobs'!$D$3:$D$1002,MATCH($B10,'작업 Jobs'!$A$3:$A$1002,0)),"작업 ID 없음"))</f>
      </c>
      <c r="H10" s="41">
        <f>IF($C10="","",IF($D10="CARD",ROUND($C10*'설정 Settings'!$C$34+'설정 Settings'!$C$35,2),0))</f>
      </c>
      <c r="I10" s="42">
        <f>IF($C10="","",IF($C10&gt;'설정 Settings'!$C$36,"$2,000 초과: 은행 한도 확인, 나눠 받기 (F36)",""))</f>
      </c>
      <c r="J10" s="41">
        <f>IF($B10="","",IFERROR(INDEX('작업 Jobs'!$P$3:$P$1002,MATCH($B10,'작업 Jobs'!$A$3:$A$1002,0)),""))</f>
      </c>
    </row>
    <row r="11" spans="7:10" x14ac:dyDescent="0.25">
      <c r="G11" s="42">
        <f>IF($B11="","",IFERROR(INDEX('작업 Jobs'!$D$3:$D$1002,MATCH($B11,'작업 Jobs'!$A$3:$A$1002,0)),"작업 ID 없음"))</f>
      </c>
      <c r="H11" s="41">
        <f>IF($C11="","",IF($D11="CARD",ROUND($C11*'설정 Settings'!$C$34+'설정 Settings'!$C$35,2),0))</f>
      </c>
      <c r="I11" s="42">
        <f>IF($C11="","",IF($C11&gt;'설정 Settings'!$C$36,"$2,000 초과: 은행 한도 확인, 나눠 받기 (F36)",""))</f>
      </c>
      <c r="J11" s="41">
        <f>IF($B11="","",IFERROR(INDEX('작업 Jobs'!$P$3:$P$1002,MATCH($B11,'작업 Jobs'!$A$3:$A$1002,0)),""))</f>
      </c>
    </row>
    <row r="12" spans="7:10" x14ac:dyDescent="0.25">
      <c r="G12" s="42">
        <f>IF($B12="","",IFERROR(INDEX('작업 Jobs'!$D$3:$D$1002,MATCH($B12,'작업 Jobs'!$A$3:$A$1002,0)),"작업 ID 없음"))</f>
      </c>
      <c r="H12" s="41">
        <f>IF($C12="","",IF($D12="CARD",ROUND($C12*'설정 Settings'!$C$34+'설정 Settings'!$C$35,2),0))</f>
      </c>
      <c r="I12" s="42">
        <f>IF($C12="","",IF($C12&gt;'설정 Settings'!$C$36,"$2,000 초과: 은행 한도 확인, 나눠 받기 (F36)",""))</f>
      </c>
      <c r="J12" s="41">
        <f>IF($B12="","",IFERROR(INDEX('작업 Jobs'!$P$3:$P$1002,MATCH($B12,'작업 Jobs'!$A$3:$A$1002,0)),""))</f>
      </c>
    </row>
    <row r="13" spans="7:10" x14ac:dyDescent="0.25">
      <c r="G13" s="42">
        <f>IF($B13="","",IFERROR(INDEX('작업 Jobs'!$D$3:$D$1002,MATCH($B13,'작업 Jobs'!$A$3:$A$1002,0)),"작업 ID 없음"))</f>
      </c>
      <c r="H13" s="41">
        <f>IF($C13="","",IF($D13="CARD",ROUND($C13*'설정 Settings'!$C$34+'설정 Settings'!$C$35,2),0))</f>
      </c>
      <c r="I13" s="42">
        <f>IF($C13="","",IF($C13&gt;'설정 Settings'!$C$36,"$2,000 초과: 은행 한도 확인, 나눠 받기 (F36)",""))</f>
      </c>
      <c r="J13" s="41">
        <f>IF($B13="","",IFERROR(INDEX('작업 Jobs'!$P$3:$P$1002,MATCH($B13,'작업 Jobs'!$A$3:$A$1002,0)),""))</f>
      </c>
    </row>
    <row r="14" spans="7:10" x14ac:dyDescent="0.25">
      <c r="G14" s="42">
        <f>IF($B14="","",IFERROR(INDEX('작업 Jobs'!$D$3:$D$1002,MATCH($B14,'작업 Jobs'!$A$3:$A$1002,0)),"작업 ID 없음"))</f>
      </c>
      <c r="H14" s="41">
        <f>IF($C14="","",IF($D14="CARD",ROUND($C14*'설정 Settings'!$C$34+'설정 Settings'!$C$35,2),0))</f>
      </c>
      <c r="I14" s="42">
        <f>IF($C14="","",IF($C14&gt;'설정 Settings'!$C$36,"$2,000 초과: 은행 한도 확인, 나눠 받기 (F36)",""))</f>
      </c>
      <c r="J14" s="41">
        <f>IF($B14="","",IFERROR(INDEX('작업 Jobs'!$P$3:$P$1002,MATCH($B14,'작업 Jobs'!$A$3:$A$1002,0)),""))</f>
      </c>
    </row>
    <row r="15" spans="7:10" x14ac:dyDescent="0.25">
      <c r="G15" s="42">
        <f>IF($B15="","",IFERROR(INDEX('작업 Jobs'!$D$3:$D$1002,MATCH($B15,'작업 Jobs'!$A$3:$A$1002,0)),"작업 ID 없음"))</f>
      </c>
      <c r="H15" s="41">
        <f>IF($C15="","",IF($D15="CARD",ROUND($C15*'설정 Settings'!$C$34+'설정 Settings'!$C$35,2),0))</f>
      </c>
      <c r="I15" s="42">
        <f>IF($C15="","",IF($C15&gt;'설정 Settings'!$C$36,"$2,000 초과: 은행 한도 확인, 나눠 받기 (F36)",""))</f>
      </c>
      <c r="J15" s="41">
        <f>IF($B15="","",IFERROR(INDEX('작업 Jobs'!$P$3:$P$1002,MATCH($B15,'작업 Jobs'!$A$3:$A$1002,0)),""))</f>
      </c>
    </row>
    <row r="16" spans="7:10" x14ac:dyDescent="0.25">
      <c r="G16" s="42">
        <f>IF($B16="","",IFERROR(INDEX('작업 Jobs'!$D$3:$D$1002,MATCH($B16,'작업 Jobs'!$A$3:$A$1002,0)),"작업 ID 없음"))</f>
      </c>
      <c r="H16" s="41">
        <f>IF($C16="","",IF($D16="CARD",ROUND($C16*'설정 Settings'!$C$34+'설정 Settings'!$C$35,2),0))</f>
      </c>
      <c r="I16" s="42">
        <f>IF($C16="","",IF($C16&gt;'설정 Settings'!$C$36,"$2,000 초과: 은행 한도 확인, 나눠 받기 (F36)",""))</f>
      </c>
      <c r="J16" s="41">
        <f>IF($B16="","",IFERROR(INDEX('작업 Jobs'!$P$3:$P$1002,MATCH($B16,'작업 Jobs'!$A$3:$A$1002,0)),""))</f>
      </c>
    </row>
    <row r="17" spans="7:10" x14ac:dyDescent="0.25">
      <c r="G17" s="42">
        <f>IF($B17="","",IFERROR(INDEX('작업 Jobs'!$D$3:$D$1002,MATCH($B17,'작업 Jobs'!$A$3:$A$1002,0)),"작업 ID 없음"))</f>
      </c>
      <c r="H17" s="41">
        <f>IF($C17="","",IF($D17="CARD",ROUND($C17*'설정 Settings'!$C$34+'설정 Settings'!$C$35,2),0))</f>
      </c>
      <c r="I17" s="42">
        <f>IF($C17="","",IF($C17&gt;'설정 Settings'!$C$36,"$2,000 초과: 은행 한도 확인, 나눠 받기 (F36)",""))</f>
      </c>
      <c r="J17" s="41">
        <f>IF($B17="","",IFERROR(INDEX('작업 Jobs'!$P$3:$P$1002,MATCH($B17,'작업 Jobs'!$A$3:$A$1002,0)),""))</f>
      </c>
    </row>
    <row r="18" spans="7:10" x14ac:dyDescent="0.25">
      <c r="G18" s="42">
        <f>IF($B18="","",IFERROR(INDEX('작업 Jobs'!$D$3:$D$1002,MATCH($B18,'작업 Jobs'!$A$3:$A$1002,0)),"작업 ID 없음"))</f>
      </c>
      <c r="H18" s="41">
        <f>IF($C18="","",IF($D18="CARD",ROUND($C18*'설정 Settings'!$C$34+'설정 Settings'!$C$35,2),0))</f>
      </c>
      <c r="I18" s="42">
        <f>IF($C18="","",IF($C18&gt;'설정 Settings'!$C$36,"$2,000 초과: 은행 한도 확인, 나눠 받기 (F36)",""))</f>
      </c>
      <c r="J18" s="41">
        <f>IF($B18="","",IFERROR(INDEX('작업 Jobs'!$P$3:$P$1002,MATCH($B18,'작업 Jobs'!$A$3:$A$1002,0)),""))</f>
      </c>
    </row>
    <row r="19" spans="7:10" x14ac:dyDescent="0.25">
      <c r="G19" s="42">
        <f>IF($B19="","",IFERROR(INDEX('작업 Jobs'!$D$3:$D$1002,MATCH($B19,'작업 Jobs'!$A$3:$A$1002,0)),"작업 ID 없음"))</f>
      </c>
      <c r="H19" s="41">
        <f>IF($C19="","",IF($D19="CARD",ROUND($C19*'설정 Settings'!$C$34+'설정 Settings'!$C$35,2),0))</f>
      </c>
      <c r="I19" s="42">
        <f>IF($C19="","",IF($C19&gt;'설정 Settings'!$C$36,"$2,000 초과: 은행 한도 확인, 나눠 받기 (F36)",""))</f>
      </c>
      <c r="J19" s="41">
        <f>IF($B19="","",IFERROR(INDEX('작업 Jobs'!$P$3:$P$1002,MATCH($B19,'작업 Jobs'!$A$3:$A$1002,0)),""))</f>
      </c>
    </row>
    <row r="20" spans="7:10" x14ac:dyDescent="0.25">
      <c r="G20" s="42">
        <f>IF($B20="","",IFERROR(INDEX('작업 Jobs'!$D$3:$D$1002,MATCH($B20,'작업 Jobs'!$A$3:$A$1002,0)),"작업 ID 없음"))</f>
      </c>
      <c r="H20" s="41">
        <f>IF($C20="","",IF($D20="CARD",ROUND($C20*'설정 Settings'!$C$34+'설정 Settings'!$C$35,2),0))</f>
      </c>
      <c r="I20" s="42">
        <f>IF($C20="","",IF($C20&gt;'설정 Settings'!$C$36,"$2,000 초과: 은행 한도 확인, 나눠 받기 (F36)",""))</f>
      </c>
      <c r="J20" s="41">
        <f>IF($B20="","",IFERROR(INDEX('작업 Jobs'!$P$3:$P$1002,MATCH($B20,'작업 Jobs'!$A$3:$A$1002,0)),""))</f>
      </c>
    </row>
    <row r="21" spans="7:10" x14ac:dyDescent="0.25">
      <c r="G21" s="42">
        <f>IF($B21="","",IFERROR(INDEX('작업 Jobs'!$D$3:$D$1002,MATCH($B21,'작업 Jobs'!$A$3:$A$1002,0)),"작업 ID 없음"))</f>
      </c>
      <c r="H21" s="41">
        <f>IF($C21="","",IF($D21="CARD",ROUND($C21*'설정 Settings'!$C$34+'설정 Settings'!$C$35,2),0))</f>
      </c>
      <c r="I21" s="42">
        <f>IF($C21="","",IF($C21&gt;'설정 Settings'!$C$36,"$2,000 초과: 은행 한도 확인, 나눠 받기 (F36)",""))</f>
      </c>
      <c r="J21" s="41">
        <f>IF($B21="","",IFERROR(INDEX('작업 Jobs'!$P$3:$P$1002,MATCH($B21,'작업 Jobs'!$A$3:$A$1002,0)),""))</f>
      </c>
    </row>
    <row r="22" spans="7:10" x14ac:dyDescent="0.25">
      <c r="G22" s="42">
        <f>IF($B22="","",IFERROR(INDEX('작업 Jobs'!$D$3:$D$1002,MATCH($B22,'작업 Jobs'!$A$3:$A$1002,0)),"작업 ID 없음"))</f>
      </c>
      <c r="H22" s="41">
        <f>IF($C22="","",IF($D22="CARD",ROUND($C22*'설정 Settings'!$C$34+'설정 Settings'!$C$35,2),0))</f>
      </c>
      <c r="I22" s="42">
        <f>IF($C22="","",IF($C22&gt;'설정 Settings'!$C$36,"$2,000 초과: 은행 한도 확인, 나눠 받기 (F36)",""))</f>
      </c>
      <c r="J22" s="41">
        <f>IF($B22="","",IFERROR(INDEX('작업 Jobs'!$P$3:$P$1002,MATCH($B22,'작업 Jobs'!$A$3:$A$1002,0)),""))</f>
      </c>
    </row>
    <row r="23" spans="7:10" x14ac:dyDescent="0.25">
      <c r="G23" s="42">
        <f>IF($B23="","",IFERROR(INDEX('작업 Jobs'!$D$3:$D$1002,MATCH($B23,'작업 Jobs'!$A$3:$A$1002,0)),"작업 ID 없음"))</f>
      </c>
      <c r="H23" s="41">
        <f>IF($C23="","",IF($D23="CARD",ROUND($C23*'설정 Settings'!$C$34+'설정 Settings'!$C$35,2),0))</f>
      </c>
      <c r="I23" s="42">
        <f>IF($C23="","",IF($C23&gt;'설정 Settings'!$C$36,"$2,000 초과: 은행 한도 확인, 나눠 받기 (F36)",""))</f>
      </c>
      <c r="J23" s="41">
        <f>IF($B23="","",IFERROR(INDEX('작업 Jobs'!$P$3:$P$1002,MATCH($B23,'작업 Jobs'!$A$3:$A$1002,0)),""))</f>
      </c>
    </row>
    <row r="24" spans="7:10" x14ac:dyDescent="0.25">
      <c r="G24" s="42">
        <f>IF($B24="","",IFERROR(INDEX('작업 Jobs'!$D$3:$D$1002,MATCH($B24,'작업 Jobs'!$A$3:$A$1002,0)),"작업 ID 없음"))</f>
      </c>
      <c r="H24" s="41">
        <f>IF($C24="","",IF($D24="CARD",ROUND($C24*'설정 Settings'!$C$34+'설정 Settings'!$C$35,2),0))</f>
      </c>
      <c r="I24" s="42">
        <f>IF($C24="","",IF($C24&gt;'설정 Settings'!$C$36,"$2,000 초과: 은행 한도 확인, 나눠 받기 (F36)",""))</f>
      </c>
      <c r="J24" s="41">
        <f>IF($B24="","",IFERROR(INDEX('작업 Jobs'!$P$3:$P$1002,MATCH($B24,'작업 Jobs'!$A$3:$A$1002,0)),""))</f>
      </c>
    </row>
    <row r="25" spans="7:10" x14ac:dyDescent="0.25">
      <c r="G25" s="42">
        <f>IF($B25="","",IFERROR(INDEX('작업 Jobs'!$D$3:$D$1002,MATCH($B25,'작업 Jobs'!$A$3:$A$1002,0)),"작업 ID 없음"))</f>
      </c>
      <c r="H25" s="41">
        <f>IF($C25="","",IF($D25="CARD",ROUND($C25*'설정 Settings'!$C$34+'설정 Settings'!$C$35,2),0))</f>
      </c>
      <c r="I25" s="42">
        <f>IF($C25="","",IF($C25&gt;'설정 Settings'!$C$36,"$2,000 초과: 은행 한도 확인, 나눠 받기 (F36)",""))</f>
      </c>
      <c r="J25" s="41">
        <f>IF($B25="","",IFERROR(INDEX('작업 Jobs'!$P$3:$P$1002,MATCH($B25,'작업 Jobs'!$A$3:$A$1002,0)),""))</f>
      </c>
    </row>
    <row r="26" spans="7:10" x14ac:dyDescent="0.25">
      <c r="G26" s="42">
        <f>IF($B26="","",IFERROR(INDEX('작업 Jobs'!$D$3:$D$1002,MATCH($B26,'작업 Jobs'!$A$3:$A$1002,0)),"작업 ID 없음"))</f>
      </c>
      <c r="H26" s="41">
        <f>IF($C26="","",IF($D26="CARD",ROUND($C26*'설정 Settings'!$C$34+'설정 Settings'!$C$35,2),0))</f>
      </c>
      <c r="I26" s="42">
        <f>IF($C26="","",IF($C26&gt;'설정 Settings'!$C$36,"$2,000 초과: 은행 한도 확인, 나눠 받기 (F36)",""))</f>
      </c>
      <c r="J26" s="41">
        <f>IF($B26="","",IFERROR(INDEX('작업 Jobs'!$P$3:$P$1002,MATCH($B26,'작업 Jobs'!$A$3:$A$1002,0)),""))</f>
      </c>
    </row>
    <row r="27" spans="7:10" x14ac:dyDescent="0.25">
      <c r="G27" s="42">
        <f>IF($B27="","",IFERROR(INDEX('작업 Jobs'!$D$3:$D$1002,MATCH($B27,'작업 Jobs'!$A$3:$A$1002,0)),"작업 ID 없음"))</f>
      </c>
      <c r="H27" s="41">
        <f>IF($C27="","",IF($D27="CARD",ROUND($C27*'설정 Settings'!$C$34+'설정 Settings'!$C$35,2),0))</f>
      </c>
      <c r="I27" s="42">
        <f>IF($C27="","",IF($C27&gt;'설정 Settings'!$C$36,"$2,000 초과: 은행 한도 확인, 나눠 받기 (F36)",""))</f>
      </c>
      <c r="J27" s="41">
        <f>IF($B27="","",IFERROR(INDEX('작업 Jobs'!$P$3:$P$1002,MATCH($B27,'작업 Jobs'!$A$3:$A$1002,0)),""))</f>
      </c>
    </row>
    <row r="28" spans="7:10" x14ac:dyDescent="0.25">
      <c r="G28" s="42">
        <f>IF($B28="","",IFERROR(INDEX('작업 Jobs'!$D$3:$D$1002,MATCH($B28,'작업 Jobs'!$A$3:$A$1002,0)),"작업 ID 없음"))</f>
      </c>
      <c r="H28" s="41">
        <f>IF($C28="","",IF($D28="CARD",ROUND($C28*'설정 Settings'!$C$34+'설정 Settings'!$C$35,2),0))</f>
      </c>
      <c r="I28" s="42">
        <f>IF($C28="","",IF($C28&gt;'설정 Settings'!$C$36,"$2,000 초과: 은행 한도 확인, 나눠 받기 (F36)",""))</f>
      </c>
      <c r="J28" s="41">
        <f>IF($B28="","",IFERROR(INDEX('작업 Jobs'!$P$3:$P$1002,MATCH($B28,'작업 Jobs'!$A$3:$A$1002,0)),""))</f>
      </c>
    </row>
    <row r="29" spans="7:10" x14ac:dyDescent="0.25">
      <c r="G29" s="42">
        <f>IF($B29="","",IFERROR(INDEX('작업 Jobs'!$D$3:$D$1002,MATCH($B29,'작업 Jobs'!$A$3:$A$1002,0)),"작업 ID 없음"))</f>
      </c>
      <c r="H29" s="41">
        <f>IF($C29="","",IF($D29="CARD",ROUND($C29*'설정 Settings'!$C$34+'설정 Settings'!$C$35,2),0))</f>
      </c>
      <c r="I29" s="42">
        <f>IF($C29="","",IF($C29&gt;'설정 Settings'!$C$36,"$2,000 초과: 은행 한도 확인, 나눠 받기 (F36)",""))</f>
      </c>
      <c r="J29" s="41">
        <f>IF($B29="","",IFERROR(INDEX('작업 Jobs'!$P$3:$P$1002,MATCH($B29,'작업 Jobs'!$A$3:$A$1002,0)),""))</f>
      </c>
    </row>
    <row r="30" spans="7:10" x14ac:dyDescent="0.25">
      <c r="G30" s="42">
        <f>IF($B30="","",IFERROR(INDEX('작업 Jobs'!$D$3:$D$1002,MATCH($B30,'작업 Jobs'!$A$3:$A$1002,0)),"작업 ID 없음"))</f>
      </c>
      <c r="H30" s="41">
        <f>IF($C30="","",IF($D30="CARD",ROUND($C30*'설정 Settings'!$C$34+'설정 Settings'!$C$35,2),0))</f>
      </c>
      <c r="I30" s="42">
        <f>IF($C30="","",IF($C30&gt;'설정 Settings'!$C$36,"$2,000 초과: 은행 한도 확인, 나눠 받기 (F36)",""))</f>
      </c>
      <c r="J30" s="41">
        <f>IF($B30="","",IFERROR(INDEX('작업 Jobs'!$P$3:$P$1002,MATCH($B30,'작업 Jobs'!$A$3:$A$1002,0)),""))</f>
      </c>
    </row>
    <row r="31" spans="7:10" x14ac:dyDescent="0.25">
      <c r="G31" s="42">
        <f>IF($B31="","",IFERROR(INDEX('작업 Jobs'!$D$3:$D$1002,MATCH($B31,'작업 Jobs'!$A$3:$A$1002,0)),"작업 ID 없음"))</f>
      </c>
      <c r="H31" s="41">
        <f>IF($C31="","",IF($D31="CARD",ROUND($C31*'설정 Settings'!$C$34+'설정 Settings'!$C$35,2),0))</f>
      </c>
      <c r="I31" s="42">
        <f>IF($C31="","",IF($C31&gt;'설정 Settings'!$C$36,"$2,000 초과: 은행 한도 확인, 나눠 받기 (F36)",""))</f>
      </c>
      <c r="J31" s="41">
        <f>IF($B31="","",IFERROR(INDEX('작업 Jobs'!$P$3:$P$1002,MATCH($B31,'작업 Jobs'!$A$3:$A$1002,0)),""))</f>
      </c>
    </row>
    <row r="32" spans="7:10" x14ac:dyDescent="0.25">
      <c r="G32" s="42">
        <f>IF($B32="","",IFERROR(INDEX('작업 Jobs'!$D$3:$D$1002,MATCH($B32,'작업 Jobs'!$A$3:$A$1002,0)),"작업 ID 없음"))</f>
      </c>
      <c r="H32" s="41">
        <f>IF($C32="","",IF($D32="CARD",ROUND($C32*'설정 Settings'!$C$34+'설정 Settings'!$C$35,2),0))</f>
      </c>
      <c r="I32" s="42">
        <f>IF($C32="","",IF($C32&gt;'설정 Settings'!$C$36,"$2,000 초과: 은행 한도 확인, 나눠 받기 (F36)",""))</f>
      </c>
      <c r="J32" s="41">
        <f>IF($B32="","",IFERROR(INDEX('작업 Jobs'!$P$3:$P$1002,MATCH($B32,'작업 Jobs'!$A$3:$A$1002,0)),""))</f>
      </c>
    </row>
    <row r="33" spans="7:10" x14ac:dyDescent="0.25">
      <c r="G33" s="42">
        <f>IF($B33="","",IFERROR(INDEX('작업 Jobs'!$D$3:$D$1002,MATCH($B33,'작업 Jobs'!$A$3:$A$1002,0)),"작업 ID 없음"))</f>
      </c>
      <c r="H33" s="41">
        <f>IF($C33="","",IF($D33="CARD",ROUND($C33*'설정 Settings'!$C$34+'설정 Settings'!$C$35,2),0))</f>
      </c>
      <c r="I33" s="42">
        <f>IF($C33="","",IF($C33&gt;'설정 Settings'!$C$36,"$2,000 초과: 은행 한도 확인, 나눠 받기 (F36)",""))</f>
      </c>
      <c r="J33" s="41">
        <f>IF($B33="","",IFERROR(INDEX('작업 Jobs'!$P$3:$P$1002,MATCH($B33,'작업 Jobs'!$A$3:$A$1002,0)),""))</f>
      </c>
    </row>
    <row r="34" spans="7:10" x14ac:dyDescent="0.25">
      <c r="G34" s="42">
        <f>IF($B34="","",IFERROR(INDEX('작업 Jobs'!$D$3:$D$1002,MATCH($B34,'작업 Jobs'!$A$3:$A$1002,0)),"작업 ID 없음"))</f>
      </c>
      <c r="H34" s="41">
        <f>IF($C34="","",IF($D34="CARD",ROUND($C34*'설정 Settings'!$C$34+'설정 Settings'!$C$35,2),0))</f>
      </c>
      <c r="I34" s="42">
        <f>IF($C34="","",IF($C34&gt;'설정 Settings'!$C$36,"$2,000 초과: 은행 한도 확인, 나눠 받기 (F36)",""))</f>
      </c>
      <c r="J34" s="41">
        <f>IF($B34="","",IFERROR(INDEX('작업 Jobs'!$P$3:$P$1002,MATCH($B34,'작업 Jobs'!$A$3:$A$1002,0)),""))</f>
      </c>
    </row>
    <row r="35" spans="7:10" x14ac:dyDescent="0.25">
      <c r="G35" s="42">
        <f>IF($B35="","",IFERROR(INDEX('작업 Jobs'!$D$3:$D$1002,MATCH($B35,'작업 Jobs'!$A$3:$A$1002,0)),"작업 ID 없음"))</f>
      </c>
      <c r="H35" s="41">
        <f>IF($C35="","",IF($D35="CARD",ROUND($C35*'설정 Settings'!$C$34+'설정 Settings'!$C$35,2),0))</f>
      </c>
      <c r="I35" s="42">
        <f>IF($C35="","",IF($C35&gt;'설정 Settings'!$C$36,"$2,000 초과: 은행 한도 확인, 나눠 받기 (F36)",""))</f>
      </c>
      <c r="J35" s="41">
        <f>IF($B35="","",IFERROR(INDEX('작업 Jobs'!$P$3:$P$1002,MATCH($B35,'작업 Jobs'!$A$3:$A$1002,0)),""))</f>
      </c>
    </row>
    <row r="36" spans="7:10" x14ac:dyDescent="0.25">
      <c r="G36" s="42">
        <f>IF($B36="","",IFERROR(INDEX('작업 Jobs'!$D$3:$D$1002,MATCH($B36,'작업 Jobs'!$A$3:$A$1002,0)),"작업 ID 없음"))</f>
      </c>
      <c r="H36" s="41">
        <f>IF($C36="","",IF($D36="CARD",ROUND($C36*'설정 Settings'!$C$34+'설정 Settings'!$C$35,2),0))</f>
      </c>
      <c r="I36" s="42">
        <f>IF($C36="","",IF($C36&gt;'설정 Settings'!$C$36,"$2,000 초과: 은행 한도 확인, 나눠 받기 (F36)",""))</f>
      </c>
      <c r="J36" s="41">
        <f>IF($B36="","",IFERROR(INDEX('작업 Jobs'!$P$3:$P$1002,MATCH($B36,'작업 Jobs'!$A$3:$A$1002,0)),""))</f>
      </c>
    </row>
    <row r="37" spans="7:10" x14ac:dyDescent="0.25">
      <c r="G37" s="42">
        <f>IF($B37="","",IFERROR(INDEX('작업 Jobs'!$D$3:$D$1002,MATCH($B37,'작업 Jobs'!$A$3:$A$1002,0)),"작업 ID 없음"))</f>
      </c>
      <c r="H37" s="41">
        <f>IF($C37="","",IF($D37="CARD",ROUND($C37*'설정 Settings'!$C$34+'설정 Settings'!$C$35,2),0))</f>
      </c>
      <c r="I37" s="42">
        <f>IF($C37="","",IF($C37&gt;'설정 Settings'!$C$36,"$2,000 초과: 은행 한도 확인, 나눠 받기 (F36)",""))</f>
      </c>
      <c r="J37" s="41">
        <f>IF($B37="","",IFERROR(INDEX('작업 Jobs'!$P$3:$P$1002,MATCH($B37,'작업 Jobs'!$A$3:$A$1002,0)),""))</f>
      </c>
    </row>
    <row r="38" spans="7:10" x14ac:dyDescent="0.25">
      <c r="G38" s="42">
        <f>IF($B38="","",IFERROR(INDEX('작업 Jobs'!$D$3:$D$1002,MATCH($B38,'작업 Jobs'!$A$3:$A$1002,0)),"작업 ID 없음"))</f>
      </c>
      <c r="H38" s="41">
        <f>IF($C38="","",IF($D38="CARD",ROUND($C38*'설정 Settings'!$C$34+'설정 Settings'!$C$35,2),0))</f>
      </c>
      <c r="I38" s="42">
        <f>IF($C38="","",IF($C38&gt;'설정 Settings'!$C$36,"$2,000 초과: 은행 한도 확인, 나눠 받기 (F36)",""))</f>
      </c>
      <c r="J38" s="41">
        <f>IF($B38="","",IFERROR(INDEX('작업 Jobs'!$P$3:$P$1002,MATCH($B38,'작업 Jobs'!$A$3:$A$1002,0)),""))</f>
      </c>
    </row>
    <row r="39" spans="7:10" x14ac:dyDescent="0.25">
      <c r="G39" s="42">
        <f>IF($B39="","",IFERROR(INDEX('작업 Jobs'!$D$3:$D$1002,MATCH($B39,'작업 Jobs'!$A$3:$A$1002,0)),"작업 ID 없음"))</f>
      </c>
      <c r="H39" s="41">
        <f>IF($C39="","",IF($D39="CARD",ROUND($C39*'설정 Settings'!$C$34+'설정 Settings'!$C$35,2),0))</f>
      </c>
      <c r="I39" s="42">
        <f>IF($C39="","",IF($C39&gt;'설정 Settings'!$C$36,"$2,000 초과: 은행 한도 확인, 나눠 받기 (F36)",""))</f>
      </c>
      <c r="J39" s="41">
        <f>IF($B39="","",IFERROR(INDEX('작업 Jobs'!$P$3:$P$1002,MATCH($B39,'작업 Jobs'!$A$3:$A$1002,0)),""))</f>
      </c>
    </row>
    <row r="40" spans="7:10" x14ac:dyDescent="0.25">
      <c r="G40" s="42">
        <f>IF($B40="","",IFERROR(INDEX('작업 Jobs'!$D$3:$D$1002,MATCH($B40,'작업 Jobs'!$A$3:$A$1002,0)),"작업 ID 없음"))</f>
      </c>
      <c r="H40" s="41">
        <f>IF($C40="","",IF($D40="CARD",ROUND($C40*'설정 Settings'!$C$34+'설정 Settings'!$C$35,2),0))</f>
      </c>
      <c r="I40" s="42">
        <f>IF($C40="","",IF($C40&gt;'설정 Settings'!$C$36,"$2,000 초과: 은행 한도 확인, 나눠 받기 (F36)",""))</f>
      </c>
      <c r="J40" s="41">
        <f>IF($B40="","",IFERROR(INDEX('작업 Jobs'!$P$3:$P$1002,MATCH($B40,'작업 Jobs'!$A$3:$A$1002,0)),""))</f>
      </c>
    </row>
    <row r="41" spans="7:10" x14ac:dyDescent="0.25">
      <c r="G41" s="42">
        <f>IF($B41="","",IFERROR(INDEX('작업 Jobs'!$D$3:$D$1002,MATCH($B41,'작업 Jobs'!$A$3:$A$1002,0)),"작업 ID 없음"))</f>
      </c>
      <c r="H41" s="41">
        <f>IF($C41="","",IF($D41="CARD",ROUND($C41*'설정 Settings'!$C$34+'설정 Settings'!$C$35,2),0))</f>
      </c>
      <c r="I41" s="42">
        <f>IF($C41="","",IF($C41&gt;'설정 Settings'!$C$36,"$2,000 초과: 은행 한도 확인, 나눠 받기 (F36)",""))</f>
      </c>
      <c r="J41" s="41">
        <f>IF($B41="","",IFERROR(INDEX('작업 Jobs'!$P$3:$P$1002,MATCH($B41,'작업 Jobs'!$A$3:$A$1002,0)),""))</f>
      </c>
    </row>
    <row r="42" spans="7:10" x14ac:dyDescent="0.25">
      <c r="G42" s="42">
        <f>IF($B42="","",IFERROR(INDEX('작업 Jobs'!$D$3:$D$1002,MATCH($B42,'작업 Jobs'!$A$3:$A$1002,0)),"작업 ID 없음"))</f>
      </c>
      <c r="H42" s="41">
        <f>IF($C42="","",IF($D42="CARD",ROUND($C42*'설정 Settings'!$C$34+'설정 Settings'!$C$35,2),0))</f>
      </c>
      <c r="I42" s="42">
        <f>IF($C42="","",IF($C42&gt;'설정 Settings'!$C$36,"$2,000 초과: 은행 한도 확인, 나눠 받기 (F36)",""))</f>
      </c>
      <c r="J42" s="41">
        <f>IF($B42="","",IFERROR(INDEX('작업 Jobs'!$P$3:$P$1002,MATCH($B42,'작업 Jobs'!$A$3:$A$1002,0)),""))</f>
      </c>
    </row>
    <row r="43" spans="7:10" x14ac:dyDescent="0.25">
      <c r="G43" s="42">
        <f>IF($B43="","",IFERROR(INDEX('작업 Jobs'!$D$3:$D$1002,MATCH($B43,'작업 Jobs'!$A$3:$A$1002,0)),"작업 ID 없음"))</f>
      </c>
      <c r="H43" s="41">
        <f>IF($C43="","",IF($D43="CARD",ROUND($C43*'설정 Settings'!$C$34+'설정 Settings'!$C$35,2),0))</f>
      </c>
      <c r="I43" s="42">
        <f>IF($C43="","",IF($C43&gt;'설정 Settings'!$C$36,"$2,000 초과: 은행 한도 확인, 나눠 받기 (F36)",""))</f>
      </c>
      <c r="J43" s="41">
        <f>IF($B43="","",IFERROR(INDEX('작업 Jobs'!$P$3:$P$1002,MATCH($B43,'작업 Jobs'!$A$3:$A$1002,0)),""))</f>
      </c>
    </row>
    <row r="44" spans="7:10" x14ac:dyDescent="0.25">
      <c r="G44" s="42">
        <f>IF($B44="","",IFERROR(INDEX('작업 Jobs'!$D$3:$D$1002,MATCH($B44,'작업 Jobs'!$A$3:$A$1002,0)),"작업 ID 없음"))</f>
      </c>
      <c r="H44" s="41">
        <f>IF($C44="","",IF($D44="CARD",ROUND($C44*'설정 Settings'!$C$34+'설정 Settings'!$C$35,2),0))</f>
      </c>
      <c r="I44" s="42">
        <f>IF($C44="","",IF($C44&gt;'설정 Settings'!$C$36,"$2,000 초과: 은행 한도 확인, 나눠 받기 (F36)",""))</f>
      </c>
      <c r="J44" s="41">
        <f>IF($B44="","",IFERROR(INDEX('작업 Jobs'!$P$3:$P$1002,MATCH($B44,'작업 Jobs'!$A$3:$A$1002,0)),""))</f>
      </c>
    </row>
    <row r="45" spans="7:10" x14ac:dyDescent="0.25">
      <c r="G45" s="42">
        <f>IF($B45="","",IFERROR(INDEX('작업 Jobs'!$D$3:$D$1002,MATCH($B45,'작업 Jobs'!$A$3:$A$1002,0)),"작업 ID 없음"))</f>
      </c>
      <c r="H45" s="41">
        <f>IF($C45="","",IF($D45="CARD",ROUND($C45*'설정 Settings'!$C$34+'설정 Settings'!$C$35,2),0))</f>
      </c>
      <c r="I45" s="42">
        <f>IF($C45="","",IF($C45&gt;'설정 Settings'!$C$36,"$2,000 초과: 은행 한도 확인, 나눠 받기 (F36)",""))</f>
      </c>
      <c r="J45" s="41">
        <f>IF($B45="","",IFERROR(INDEX('작업 Jobs'!$P$3:$P$1002,MATCH($B45,'작업 Jobs'!$A$3:$A$1002,0)),""))</f>
      </c>
    </row>
    <row r="46" spans="7:10" x14ac:dyDescent="0.25">
      <c r="G46" s="42">
        <f>IF($B46="","",IFERROR(INDEX('작업 Jobs'!$D$3:$D$1002,MATCH($B46,'작업 Jobs'!$A$3:$A$1002,0)),"작업 ID 없음"))</f>
      </c>
      <c r="H46" s="41">
        <f>IF($C46="","",IF($D46="CARD",ROUND($C46*'설정 Settings'!$C$34+'설정 Settings'!$C$35,2),0))</f>
      </c>
      <c r="I46" s="42">
        <f>IF($C46="","",IF($C46&gt;'설정 Settings'!$C$36,"$2,000 초과: 은행 한도 확인, 나눠 받기 (F36)",""))</f>
      </c>
      <c r="J46" s="41">
        <f>IF($B46="","",IFERROR(INDEX('작업 Jobs'!$P$3:$P$1002,MATCH($B46,'작업 Jobs'!$A$3:$A$1002,0)),""))</f>
      </c>
    </row>
    <row r="47" spans="7:10" x14ac:dyDescent="0.25">
      <c r="G47" s="42">
        <f>IF($B47="","",IFERROR(INDEX('작업 Jobs'!$D$3:$D$1002,MATCH($B47,'작업 Jobs'!$A$3:$A$1002,0)),"작업 ID 없음"))</f>
      </c>
      <c r="H47" s="41">
        <f>IF($C47="","",IF($D47="CARD",ROUND($C47*'설정 Settings'!$C$34+'설정 Settings'!$C$35,2),0))</f>
      </c>
      <c r="I47" s="42">
        <f>IF($C47="","",IF($C47&gt;'설정 Settings'!$C$36,"$2,000 초과: 은행 한도 확인, 나눠 받기 (F36)",""))</f>
      </c>
      <c r="J47" s="41">
        <f>IF($B47="","",IFERROR(INDEX('작업 Jobs'!$P$3:$P$1002,MATCH($B47,'작업 Jobs'!$A$3:$A$1002,0)),""))</f>
      </c>
    </row>
    <row r="48" spans="7:10" x14ac:dyDescent="0.25">
      <c r="G48" s="42">
        <f>IF($B48="","",IFERROR(INDEX('작업 Jobs'!$D$3:$D$1002,MATCH($B48,'작업 Jobs'!$A$3:$A$1002,0)),"작업 ID 없음"))</f>
      </c>
      <c r="H48" s="41">
        <f>IF($C48="","",IF($D48="CARD",ROUND($C48*'설정 Settings'!$C$34+'설정 Settings'!$C$35,2),0))</f>
      </c>
      <c r="I48" s="42">
        <f>IF($C48="","",IF($C48&gt;'설정 Settings'!$C$36,"$2,000 초과: 은행 한도 확인, 나눠 받기 (F36)",""))</f>
      </c>
      <c r="J48" s="41">
        <f>IF($B48="","",IFERROR(INDEX('작업 Jobs'!$P$3:$P$1002,MATCH($B48,'작업 Jobs'!$A$3:$A$1002,0)),""))</f>
      </c>
    </row>
    <row r="49" spans="7:10" x14ac:dyDescent="0.25">
      <c r="G49" s="42">
        <f>IF($B49="","",IFERROR(INDEX('작업 Jobs'!$D$3:$D$1002,MATCH($B49,'작업 Jobs'!$A$3:$A$1002,0)),"작업 ID 없음"))</f>
      </c>
      <c r="H49" s="41">
        <f>IF($C49="","",IF($D49="CARD",ROUND($C49*'설정 Settings'!$C$34+'설정 Settings'!$C$35,2),0))</f>
      </c>
      <c r="I49" s="42">
        <f>IF($C49="","",IF($C49&gt;'설정 Settings'!$C$36,"$2,000 초과: 은행 한도 확인, 나눠 받기 (F36)",""))</f>
      </c>
      <c r="J49" s="41">
        <f>IF($B49="","",IFERROR(INDEX('작업 Jobs'!$P$3:$P$1002,MATCH($B49,'작업 Jobs'!$A$3:$A$1002,0)),""))</f>
      </c>
    </row>
    <row r="50" spans="7:10" x14ac:dyDescent="0.25">
      <c r="G50" s="42">
        <f>IF($B50="","",IFERROR(INDEX('작업 Jobs'!$D$3:$D$1002,MATCH($B50,'작업 Jobs'!$A$3:$A$1002,0)),"작업 ID 없음"))</f>
      </c>
      <c r="H50" s="41">
        <f>IF($C50="","",IF($D50="CARD",ROUND($C50*'설정 Settings'!$C$34+'설정 Settings'!$C$35,2),0))</f>
      </c>
      <c r="I50" s="42">
        <f>IF($C50="","",IF($C50&gt;'설정 Settings'!$C$36,"$2,000 초과: 은행 한도 확인, 나눠 받기 (F36)",""))</f>
      </c>
      <c r="J50" s="41">
        <f>IF($B50="","",IFERROR(INDEX('작업 Jobs'!$P$3:$P$1002,MATCH($B50,'작업 Jobs'!$A$3:$A$1002,0)),""))</f>
      </c>
    </row>
    <row r="51" spans="7:10" x14ac:dyDescent="0.25">
      <c r="G51" s="42">
        <f>IF($B51="","",IFERROR(INDEX('작업 Jobs'!$D$3:$D$1002,MATCH($B51,'작업 Jobs'!$A$3:$A$1002,0)),"작업 ID 없음"))</f>
      </c>
      <c r="H51" s="41">
        <f>IF($C51="","",IF($D51="CARD",ROUND($C51*'설정 Settings'!$C$34+'설정 Settings'!$C$35,2),0))</f>
      </c>
      <c r="I51" s="42">
        <f>IF($C51="","",IF($C51&gt;'설정 Settings'!$C$36,"$2,000 초과: 은행 한도 확인, 나눠 받기 (F36)",""))</f>
      </c>
      <c r="J51" s="41">
        <f>IF($B51="","",IFERROR(INDEX('작업 Jobs'!$P$3:$P$1002,MATCH($B51,'작업 Jobs'!$A$3:$A$1002,0)),""))</f>
      </c>
    </row>
    <row r="52" spans="7:10" x14ac:dyDescent="0.25">
      <c r="G52" s="42">
        <f>IF($B52="","",IFERROR(INDEX('작업 Jobs'!$D$3:$D$1002,MATCH($B52,'작업 Jobs'!$A$3:$A$1002,0)),"작업 ID 없음"))</f>
      </c>
      <c r="H52" s="41">
        <f>IF($C52="","",IF($D52="CARD",ROUND($C52*'설정 Settings'!$C$34+'설정 Settings'!$C$35,2),0))</f>
      </c>
      <c r="I52" s="42">
        <f>IF($C52="","",IF($C52&gt;'설정 Settings'!$C$36,"$2,000 초과: 은행 한도 확인, 나눠 받기 (F36)",""))</f>
      </c>
      <c r="J52" s="41">
        <f>IF($B52="","",IFERROR(INDEX('작업 Jobs'!$P$3:$P$1002,MATCH($B52,'작업 Jobs'!$A$3:$A$1002,0)),""))</f>
      </c>
    </row>
    <row r="53" spans="7:10" x14ac:dyDescent="0.25">
      <c r="G53" s="42">
        <f>IF($B53="","",IFERROR(INDEX('작업 Jobs'!$D$3:$D$1002,MATCH($B53,'작업 Jobs'!$A$3:$A$1002,0)),"작업 ID 없음"))</f>
      </c>
      <c r="H53" s="41">
        <f>IF($C53="","",IF($D53="CARD",ROUND($C53*'설정 Settings'!$C$34+'설정 Settings'!$C$35,2),0))</f>
      </c>
      <c r="I53" s="42">
        <f>IF($C53="","",IF($C53&gt;'설정 Settings'!$C$36,"$2,000 초과: 은행 한도 확인, 나눠 받기 (F36)",""))</f>
      </c>
      <c r="J53" s="41">
        <f>IF($B53="","",IFERROR(INDEX('작업 Jobs'!$P$3:$P$1002,MATCH($B53,'작업 Jobs'!$A$3:$A$1002,0)),""))</f>
      </c>
    </row>
    <row r="54" spans="7:10" x14ac:dyDescent="0.25">
      <c r="G54" s="42">
        <f>IF($B54="","",IFERROR(INDEX('작업 Jobs'!$D$3:$D$1002,MATCH($B54,'작업 Jobs'!$A$3:$A$1002,0)),"작업 ID 없음"))</f>
      </c>
      <c r="H54" s="41">
        <f>IF($C54="","",IF($D54="CARD",ROUND($C54*'설정 Settings'!$C$34+'설정 Settings'!$C$35,2),0))</f>
      </c>
      <c r="I54" s="42">
        <f>IF($C54="","",IF($C54&gt;'설정 Settings'!$C$36,"$2,000 초과: 은행 한도 확인, 나눠 받기 (F36)",""))</f>
      </c>
      <c r="J54" s="41">
        <f>IF($B54="","",IFERROR(INDEX('작업 Jobs'!$P$3:$P$1002,MATCH($B54,'작업 Jobs'!$A$3:$A$1002,0)),""))</f>
      </c>
    </row>
    <row r="55" spans="7:10" x14ac:dyDescent="0.25">
      <c r="G55" s="42">
        <f>IF($B55="","",IFERROR(INDEX('작업 Jobs'!$D$3:$D$1002,MATCH($B55,'작업 Jobs'!$A$3:$A$1002,0)),"작업 ID 없음"))</f>
      </c>
      <c r="H55" s="41">
        <f>IF($C55="","",IF($D55="CARD",ROUND($C55*'설정 Settings'!$C$34+'설정 Settings'!$C$35,2),0))</f>
      </c>
      <c r="I55" s="42">
        <f>IF($C55="","",IF($C55&gt;'설정 Settings'!$C$36,"$2,000 초과: 은행 한도 확인, 나눠 받기 (F36)",""))</f>
      </c>
      <c r="J55" s="41">
        <f>IF($B55="","",IFERROR(INDEX('작업 Jobs'!$P$3:$P$1002,MATCH($B55,'작업 Jobs'!$A$3:$A$1002,0)),""))</f>
      </c>
    </row>
    <row r="56" spans="7:10" x14ac:dyDescent="0.25">
      <c r="G56" s="42">
        <f>IF($B56="","",IFERROR(INDEX('작업 Jobs'!$D$3:$D$1002,MATCH($B56,'작업 Jobs'!$A$3:$A$1002,0)),"작업 ID 없음"))</f>
      </c>
      <c r="H56" s="41">
        <f>IF($C56="","",IF($D56="CARD",ROUND($C56*'설정 Settings'!$C$34+'설정 Settings'!$C$35,2),0))</f>
      </c>
      <c r="I56" s="42">
        <f>IF($C56="","",IF($C56&gt;'설정 Settings'!$C$36,"$2,000 초과: 은행 한도 확인, 나눠 받기 (F36)",""))</f>
      </c>
      <c r="J56" s="41">
        <f>IF($B56="","",IFERROR(INDEX('작업 Jobs'!$P$3:$P$1002,MATCH($B56,'작업 Jobs'!$A$3:$A$1002,0)),""))</f>
      </c>
    </row>
    <row r="57" spans="7:10" x14ac:dyDescent="0.25">
      <c r="G57" s="42">
        <f>IF($B57="","",IFERROR(INDEX('작업 Jobs'!$D$3:$D$1002,MATCH($B57,'작업 Jobs'!$A$3:$A$1002,0)),"작업 ID 없음"))</f>
      </c>
      <c r="H57" s="41">
        <f>IF($C57="","",IF($D57="CARD",ROUND($C57*'설정 Settings'!$C$34+'설정 Settings'!$C$35,2),0))</f>
      </c>
      <c r="I57" s="42">
        <f>IF($C57="","",IF($C57&gt;'설정 Settings'!$C$36,"$2,000 초과: 은행 한도 확인, 나눠 받기 (F36)",""))</f>
      </c>
      <c r="J57" s="41">
        <f>IF($B57="","",IFERROR(INDEX('작업 Jobs'!$P$3:$P$1002,MATCH($B57,'작업 Jobs'!$A$3:$A$1002,0)),""))</f>
      </c>
    </row>
    <row r="58" spans="7:10" x14ac:dyDescent="0.25">
      <c r="G58" s="42">
        <f>IF($B58="","",IFERROR(INDEX('작업 Jobs'!$D$3:$D$1002,MATCH($B58,'작업 Jobs'!$A$3:$A$1002,0)),"작업 ID 없음"))</f>
      </c>
      <c r="H58" s="41">
        <f>IF($C58="","",IF($D58="CARD",ROUND($C58*'설정 Settings'!$C$34+'설정 Settings'!$C$35,2),0))</f>
      </c>
      <c r="I58" s="42">
        <f>IF($C58="","",IF($C58&gt;'설정 Settings'!$C$36,"$2,000 초과: 은행 한도 확인, 나눠 받기 (F36)",""))</f>
      </c>
      <c r="J58" s="41">
        <f>IF($B58="","",IFERROR(INDEX('작업 Jobs'!$P$3:$P$1002,MATCH($B58,'작업 Jobs'!$A$3:$A$1002,0)),""))</f>
      </c>
    </row>
    <row r="59" spans="7:10" x14ac:dyDescent="0.25">
      <c r="G59" s="42">
        <f>IF($B59="","",IFERROR(INDEX('작업 Jobs'!$D$3:$D$1002,MATCH($B59,'작업 Jobs'!$A$3:$A$1002,0)),"작업 ID 없음"))</f>
      </c>
      <c r="H59" s="41">
        <f>IF($C59="","",IF($D59="CARD",ROUND($C59*'설정 Settings'!$C$34+'설정 Settings'!$C$35,2),0))</f>
      </c>
      <c r="I59" s="42">
        <f>IF($C59="","",IF($C59&gt;'설정 Settings'!$C$36,"$2,000 초과: 은행 한도 확인, 나눠 받기 (F36)",""))</f>
      </c>
      <c r="J59" s="41">
        <f>IF($B59="","",IFERROR(INDEX('작업 Jobs'!$P$3:$P$1002,MATCH($B59,'작업 Jobs'!$A$3:$A$1002,0)),""))</f>
      </c>
    </row>
    <row r="60" spans="7:10" x14ac:dyDescent="0.25">
      <c r="G60" s="42">
        <f>IF($B60="","",IFERROR(INDEX('작업 Jobs'!$D$3:$D$1002,MATCH($B60,'작업 Jobs'!$A$3:$A$1002,0)),"작업 ID 없음"))</f>
      </c>
      <c r="H60" s="41">
        <f>IF($C60="","",IF($D60="CARD",ROUND($C60*'설정 Settings'!$C$34+'설정 Settings'!$C$35,2),0))</f>
      </c>
      <c r="I60" s="42">
        <f>IF($C60="","",IF($C60&gt;'설정 Settings'!$C$36,"$2,000 초과: 은행 한도 확인, 나눠 받기 (F36)",""))</f>
      </c>
      <c r="J60" s="41">
        <f>IF($B60="","",IFERROR(INDEX('작업 Jobs'!$P$3:$P$1002,MATCH($B60,'작업 Jobs'!$A$3:$A$1002,0)),""))</f>
      </c>
    </row>
    <row r="61" spans="7:10" x14ac:dyDescent="0.25">
      <c r="G61" s="42">
        <f>IF($B61="","",IFERROR(INDEX('작업 Jobs'!$D$3:$D$1002,MATCH($B61,'작업 Jobs'!$A$3:$A$1002,0)),"작업 ID 없음"))</f>
      </c>
      <c r="H61" s="41">
        <f>IF($C61="","",IF($D61="CARD",ROUND($C61*'설정 Settings'!$C$34+'설정 Settings'!$C$35,2),0))</f>
      </c>
      <c r="I61" s="42">
        <f>IF($C61="","",IF($C61&gt;'설정 Settings'!$C$36,"$2,000 초과: 은행 한도 확인, 나눠 받기 (F36)",""))</f>
      </c>
      <c r="J61" s="41">
        <f>IF($B61="","",IFERROR(INDEX('작업 Jobs'!$P$3:$P$1002,MATCH($B61,'작업 Jobs'!$A$3:$A$1002,0)),""))</f>
      </c>
    </row>
    <row r="62" spans="7:10" x14ac:dyDescent="0.25">
      <c r="G62" s="42">
        <f>IF($B62="","",IFERROR(INDEX('작업 Jobs'!$D$3:$D$1002,MATCH($B62,'작업 Jobs'!$A$3:$A$1002,0)),"작업 ID 없음"))</f>
      </c>
      <c r="H62" s="41">
        <f>IF($C62="","",IF($D62="CARD",ROUND($C62*'설정 Settings'!$C$34+'설정 Settings'!$C$35,2),0))</f>
      </c>
      <c r="I62" s="42">
        <f>IF($C62="","",IF($C62&gt;'설정 Settings'!$C$36,"$2,000 초과: 은행 한도 확인, 나눠 받기 (F36)",""))</f>
      </c>
      <c r="J62" s="41">
        <f>IF($B62="","",IFERROR(INDEX('작업 Jobs'!$P$3:$P$1002,MATCH($B62,'작업 Jobs'!$A$3:$A$1002,0)),""))</f>
      </c>
    </row>
    <row r="63" spans="7:10" x14ac:dyDescent="0.25">
      <c r="G63" s="42">
        <f>IF($B63="","",IFERROR(INDEX('작업 Jobs'!$D$3:$D$1002,MATCH($B63,'작업 Jobs'!$A$3:$A$1002,0)),"작업 ID 없음"))</f>
      </c>
      <c r="H63" s="41">
        <f>IF($C63="","",IF($D63="CARD",ROUND($C63*'설정 Settings'!$C$34+'설정 Settings'!$C$35,2),0))</f>
      </c>
      <c r="I63" s="42">
        <f>IF($C63="","",IF($C63&gt;'설정 Settings'!$C$36,"$2,000 초과: 은행 한도 확인, 나눠 받기 (F36)",""))</f>
      </c>
      <c r="J63" s="41">
        <f>IF($B63="","",IFERROR(INDEX('작업 Jobs'!$P$3:$P$1002,MATCH($B63,'작업 Jobs'!$A$3:$A$1002,0)),""))</f>
      </c>
    </row>
    <row r="64" spans="7:10" x14ac:dyDescent="0.25">
      <c r="G64" s="42">
        <f>IF($B64="","",IFERROR(INDEX('작업 Jobs'!$D$3:$D$1002,MATCH($B64,'작업 Jobs'!$A$3:$A$1002,0)),"작업 ID 없음"))</f>
      </c>
      <c r="H64" s="41">
        <f>IF($C64="","",IF($D64="CARD",ROUND($C64*'설정 Settings'!$C$34+'설정 Settings'!$C$35,2),0))</f>
      </c>
      <c r="I64" s="42">
        <f>IF($C64="","",IF($C64&gt;'설정 Settings'!$C$36,"$2,000 초과: 은행 한도 확인, 나눠 받기 (F36)",""))</f>
      </c>
      <c r="J64" s="41">
        <f>IF($B64="","",IFERROR(INDEX('작업 Jobs'!$P$3:$P$1002,MATCH($B64,'작업 Jobs'!$A$3:$A$1002,0)),""))</f>
      </c>
    </row>
    <row r="65" spans="7:10" x14ac:dyDescent="0.25">
      <c r="G65" s="42">
        <f>IF($B65="","",IFERROR(INDEX('작업 Jobs'!$D$3:$D$1002,MATCH($B65,'작업 Jobs'!$A$3:$A$1002,0)),"작업 ID 없음"))</f>
      </c>
      <c r="H65" s="41">
        <f>IF($C65="","",IF($D65="CARD",ROUND($C65*'설정 Settings'!$C$34+'설정 Settings'!$C$35,2),0))</f>
      </c>
      <c r="I65" s="42">
        <f>IF($C65="","",IF($C65&gt;'설정 Settings'!$C$36,"$2,000 초과: 은행 한도 확인, 나눠 받기 (F36)",""))</f>
      </c>
      <c r="J65" s="41">
        <f>IF($B65="","",IFERROR(INDEX('작업 Jobs'!$P$3:$P$1002,MATCH($B65,'작업 Jobs'!$A$3:$A$1002,0)),""))</f>
      </c>
    </row>
    <row r="66" spans="7:10" x14ac:dyDescent="0.25">
      <c r="G66" s="42">
        <f>IF($B66="","",IFERROR(INDEX('작업 Jobs'!$D$3:$D$1002,MATCH($B66,'작업 Jobs'!$A$3:$A$1002,0)),"작업 ID 없음"))</f>
      </c>
      <c r="H66" s="41">
        <f>IF($C66="","",IF($D66="CARD",ROUND($C66*'설정 Settings'!$C$34+'설정 Settings'!$C$35,2),0))</f>
      </c>
      <c r="I66" s="42">
        <f>IF($C66="","",IF($C66&gt;'설정 Settings'!$C$36,"$2,000 초과: 은행 한도 확인, 나눠 받기 (F36)",""))</f>
      </c>
      <c r="J66" s="41">
        <f>IF($B66="","",IFERROR(INDEX('작업 Jobs'!$P$3:$P$1002,MATCH($B66,'작업 Jobs'!$A$3:$A$1002,0)),""))</f>
      </c>
    </row>
    <row r="67" spans="7:10" x14ac:dyDescent="0.25">
      <c r="G67" s="42">
        <f>IF($B67="","",IFERROR(INDEX('작업 Jobs'!$D$3:$D$1002,MATCH($B67,'작업 Jobs'!$A$3:$A$1002,0)),"작업 ID 없음"))</f>
      </c>
      <c r="H67" s="41">
        <f>IF($C67="","",IF($D67="CARD",ROUND($C67*'설정 Settings'!$C$34+'설정 Settings'!$C$35,2),0))</f>
      </c>
      <c r="I67" s="42">
        <f>IF($C67="","",IF($C67&gt;'설정 Settings'!$C$36,"$2,000 초과: 은행 한도 확인, 나눠 받기 (F36)",""))</f>
      </c>
      <c r="J67" s="41">
        <f>IF($B67="","",IFERROR(INDEX('작업 Jobs'!$P$3:$P$1002,MATCH($B67,'작업 Jobs'!$A$3:$A$1002,0)),""))</f>
      </c>
    </row>
    <row r="68" spans="7:10" x14ac:dyDescent="0.25">
      <c r="G68" s="42">
        <f>IF($B68="","",IFERROR(INDEX('작업 Jobs'!$D$3:$D$1002,MATCH($B68,'작업 Jobs'!$A$3:$A$1002,0)),"작업 ID 없음"))</f>
      </c>
      <c r="H68" s="41">
        <f>IF($C68="","",IF($D68="CARD",ROUND($C68*'설정 Settings'!$C$34+'설정 Settings'!$C$35,2),0))</f>
      </c>
      <c r="I68" s="42">
        <f>IF($C68="","",IF($C68&gt;'설정 Settings'!$C$36,"$2,000 초과: 은행 한도 확인, 나눠 받기 (F36)",""))</f>
      </c>
      <c r="J68" s="41">
        <f>IF($B68="","",IFERROR(INDEX('작업 Jobs'!$P$3:$P$1002,MATCH($B68,'작업 Jobs'!$A$3:$A$1002,0)),""))</f>
      </c>
    </row>
    <row r="69" spans="7:10" x14ac:dyDescent="0.25">
      <c r="G69" s="42">
        <f>IF($B69="","",IFERROR(INDEX('작업 Jobs'!$D$3:$D$1002,MATCH($B69,'작업 Jobs'!$A$3:$A$1002,0)),"작업 ID 없음"))</f>
      </c>
      <c r="H69" s="41">
        <f>IF($C69="","",IF($D69="CARD",ROUND($C69*'설정 Settings'!$C$34+'설정 Settings'!$C$35,2),0))</f>
      </c>
      <c r="I69" s="42">
        <f>IF($C69="","",IF($C69&gt;'설정 Settings'!$C$36,"$2,000 초과: 은행 한도 확인, 나눠 받기 (F36)",""))</f>
      </c>
      <c r="J69" s="41">
        <f>IF($B69="","",IFERROR(INDEX('작업 Jobs'!$P$3:$P$1002,MATCH($B69,'작업 Jobs'!$A$3:$A$1002,0)),""))</f>
      </c>
    </row>
    <row r="70" spans="7:10" x14ac:dyDescent="0.25">
      <c r="G70" s="42">
        <f>IF($B70="","",IFERROR(INDEX('작업 Jobs'!$D$3:$D$1002,MATCH($B70,'작업 Jobs'!$A$3:$A$1002,0)),"작업 ID 없음"))</f>
      </c>
      <c r="H70" s="41">
        <f>IF($C70="","",IF($D70="CARD",ROUND($C70*'설정 Settings'!$C$34+'설정 Settings'!$C$35,2),0))</f>
      </c>
      <c r="I70" s="42">
        <f>IF($C70="","",IF($C70&gt;'설정 Settings'!$C$36,"$2,000 초과: 은행 한도 확인, 나눠 받기 (F36)",""))</f>
      </c>
      <c r="J70" s="41">
        <f>IF($B70="","",IFERROR(INDEX('작업 Jobs'!$P$3:$P$1002,MATCH($B70,'작업 Jobs'!$A$3:$A$1002,0)),""))</f>
      </c>
    </row>
    <row r="71" spans="7:10" x14ac:dyDescent="0.25">
      <c r="G71" s="42">
        <f>IF($B71="","",IFERROR(INDEX('작업 Jobs'!$D$3:$D$1002,MATCH($B71,'작업 Jobs'!$A$3:$A$1002,0)),"작업 ID 없음"))</f>
      </c>
      <c r="H71" s="41">
        <f>IF($C71="","",IF($D71="CARD",ROUND($C71*'설정 Settings'!$C$34+'설정 Settings'!$C$35,2),0))</f>
      </c>
      <c r="I71" s="42">
        <f>IF($C71="","",IF($C71&gt;'설정 Settings'!$C$36,"$2,000 초과: 은행 한도 확인, 나눠 받기 (F36)",""))</f>
      </c>
      <c r="J71" s="41">
        <f>IF($B71="","",IFERROR(INDEX('작업 Jobs'!$P$3:$P$1002,MATCH($B71,'작업 Jobs'!$A$3:$A$1002,0)),""))</f>
      </c>
    </row>
    <row r="72" spans="7:10" x14ac:dyDescent="0.25">
      <c r="G72" s="42">
        <f>IF($B72="","",IFERROR(INDEX('작업 Jobs'!$D$3:$D$1002,MATCH($B72,'작업 Jobs'!$A$3:$A$1002,0)),"작업 ID 없음"))</f>
      </c>
      <c r="H72" s="41">
        <f>IF($C72="","",IF($D72="CARD",ROUND($C72*'설정 Settings'!$C$34+'설정 Settings'!$C$35,2),0))</f>
      </c>
      <c r="I72" s="42">
        <f>IF($C72="","",IF($C72&gt;'설정 Settings'!$C$36,"$2,000 초과: 은행 한도 확인, 나눠 받기 (F36)",""))</f>
      </c>
      <c r="J72" s="41">
        <f>IF($B72="","",IFERROR(INDEX('작업 Jobs'!$P$3:$P$1002,MATCH($B72,'작업 Jobs'!$A$3:$A$1002,0)),""))</f>
      </c>
    </row>
    <row r="73" spans="7:10" x14ac:dyDescent="0.25">
      <c r="G73" s="42">
        <f>IF($B73="","",IFERROR(INDEX('작업 Jobs'!$D$3:$D$1002,MATCH($B73,'작업 Jobs'!$A$3:$A$1002,0)),"작업 ID 없음"))</f>
      </c>
      <c r="H73" s="41">
        <f>IF($C73="","",IF($D73="CARD",ROUND($C73*'설정 Settings'!$C$34+'설정 Settings'!$C$35,2),0))</f>
      </c>
      <c r="I73" s="42">
        <f>IF($C73="","",IF($C73&gt;'설정 Settings'!$C$36,"$2,000 초과: 은행 한도 확인, 나눠 받기 (F36)",""))</f>
      </c>
      <c r="J73" s="41">
        <f>IF($B73="","",IFERROR(INDEX('작업 Jobs'!$P$3:$P$1002,MATCH($B73,'작업 Jobs'!$A$3:$A$1002,0)),""))</f>
      </c>
    </row>
    <row r="74" spans="7:10" x14ac:dyDescent="0.25">
      <c r="G74" s="42">
        <f>IF($B74="","",IFERROR(INDEX('작업 Jobs'!$D$3:$D$1002,MATCH($B74,'작업 Jobs'!$A$3:$A$1002,0)),"작업 ID 없음"))</f>
      </c>
      <c r="H74" s="41">
        <f>IF($C74="","",IF($D74="CARD",ROUND($C74*'설정 Settings'!$C$34+'설정 Settings'!$C$35,2),0))</f>
      </c>
      <c r="I74" s="42">
        <f>IF($C74="","",IF($C74&gt;'설정 Settings'!$C$36,"$2,000 초과: 은행 한도 확인, 나눠 받기 (F36)",""))</f>
      </c>
      <c r="J74" s="41">
        <f>IF($B74="","",IFERROR(INDEX('작업 Jobs'!$P$3:$P$1002,MATCH($B74,'작업 Jobs'!$A$3:$A$1002,0)),""))</f>
      </c>
    </row>
    <row r="75" spans="7:10" x14ac:dyDescent="0.25">
      <c r="G75" s="42">
        <f>IF($B75="","",IFERROR(INDEX('작업 Jobs'!$D$3:$D$1002,MATCH($B75,'작업 Jobs'!$A$3:$A$1002,0)),"작업 ID 없음"))</f>
      </c>
      <c r="H75" s="41">
        <f>IF($C75="","",IF($D75="CARD",ROUND($C75*'설정 Settings'!$C$34+'설정 Settings'!$C$35,2),0))</f>
      </c>
      <c r="I75" s="42">
        <f>IF($C75="","",IF($C75&gt;'설정 Settings'!$C$36,"$2,000 초과: 은행 한도 확인, 나눠 받기 (F36)",""))</f>
      </c>
      <c r="J75" s="41">
        <f>IF($B75="","",IFERROR(INDEX('작업 Jobs'!$P$3:$P$1002,MATCH($B75,'작업 Jobs'!$A$3:$A$1002,0)),""))</f>
      </c>
    </row>
    <row r="76" spans="7:10" x14ac:dyDescent="0.25">
      <c r="G76" s="42">
        <f>IF($B76="","",IFERROR(INDEX('작업 Jobs'!$D$3:$D$1002,MATCH($B76,'작업 Jobs'!$A$3:$A$1002,0)),"작업 ID 없음"))</f>
      </c>
      <c r="H76" s="41">
        <f>IF($C76="","",IF($D76="CARD",ROUND($C76*'설정 Settings'!$C$34+'설정 Settings'!$C$35,2),0))</f>
      </c>
      <c r="I76" s="42">
        <f>IF($C76="","",IF($C76&gt;'설정 Settings'!$C$36,"$2,000 초과: 은행 한도 확인, 나눠 받기 (F36)",""))</f>
      </c>
      <c r="J76" s="41">
        <f>IF($B76="","",IFERROR(INDEX('작업 Jobs'!$P$3:$P$1002,MATCH($B76,'작업 Jobs'!$A$3:$A$1002,0)),""))</f>
      </c>
    </row>
    <row r="77" spans="7:10" x14ac:dyDescent="0.25">
      <c r="G77" s="42">
        <f>IF($B77="","",IFERROR(INDEX('작업 Jobs'!$D$3:$D$1002,MATCH($B77,'작업 Jobs'!$A$3:$A$1002,0)),"작업 ID 없음"))</f>
      </c>
      <c r="H77" s="41">
        <f>IF($C77="","",IF($D77="CARD",ROUND($C77*'설정 Settings'!$C$34+'설정 Settings'!$C$35,2),0))</f>
      </c>
      <c r="I77" s="42">
        <f>IF($C77="","",IF($C77&gt;'설정 Settings'!$C$36,"$2,000 초과: 은행 한도 확인, 나눠 받기 (F36)",""))</f>
      </c>
      <c r="J77" s="41">
        <f>IF($B77="","",IFERROR(INDEX('작업 Jobs'!$P$3:$P$1002,MATCH($B77,'작업 Jobs'!$A$3:$A$1002,0)),""))</f>
      </c>
    </row>
    <row r="78" spans="7:10" x14ac:dyDescent="0.25">
      <c r="G78" s="42">
        <f>IF($B78="","",IFERROR(INDEX('작업 Jobs'!$D$3:$D$1002,MATCH($B78,'작업 Jobs'!$A$3:$A$1002,0)),"작업 ID 없음"))</f>
      </c>
      <c r="H78" s="41">
        <f>IF($C78="","",IF($D78="CARD",ROUND($C78*'설정 Settings'!$C$34+'설정 Settings'!$C$35,2),0))</f>
      </c>
      <c r="I78" s="42">
        <f>IF($C78="","",IF($C78&gt;'설정 Settings'!$C$36,"$2,000 초과: 은행 한도 확인, 나눠 받기 (F36)",""))</f>
      </c>
      <c r="J78" s="41">
        <f>IF($B78="","",IFERROR(INDEX('작업 Jobs'!$P$3:$P$1002,MATCH($B78,'작업 Jobs'!$A$3:$A$1002,0)),""))</f>
      </c>
    </row>
    <row r="79" spans="7:10" x14ac:dyDescent="0.25">
      <c r="G79" s="42">
        <f>IF($B79="","",IFERROR(INDEX('작업 Jobs'!$D$3:$D$1002,MATCH($B79,'작업 Jobs'!$A$3:$A$1002,0)),"작업 ID 없음"))</f>
      </c>
      <c r="H79" s="41">
        <f>IF($C79="","",IF($D79="CARD",ROUND($C79*'설정 Settings'!$C$34+'설정 Settings'!$C$35,2),0))</f>
      </c>
      <c r="I79" s="42">
        <f>IF($C79="","",IF($C79&gt;'설정 Settings'!$C$36,"$2,000 초과: 은행 한도 확인, 나눠 받기 (F36)",""))</f>
      </c>
      <c r="J79" s="41">
        <f>IF($B79="","",IFERROR(INDEX('작업 Jobs'!$P$3:$P$1002,MATCH($B79,'작업 Jobs'!$A$3:$A$1002,0)),""))</f>
      </c>
    </row>
    <row r="80" spans="7:10" x14ac:dyDescent="0.25">
      <c r="G80" s="42">
        <f>IF($B80="","",IFERROR(INDEX('작업 Jobs'!$D$3:$D$1002,MATCH($B80,'작업 Jobs'!$A$3:$A$1002,0)),"작업 ID 없음"))</f>
      </c>
      <c r="H80" s="41">
        <f>IF($C80="","",IF($D80="CARD",ROUND($C80*'설정 Settings'!$C$34+'설정 Settings'!$C$35,2),0))</f>
      </c>
      <c r="I80" s="42">
        <f>IF($C80="","",IF($C80&gt;'설정 Settings'!$C$36,"$2,000 초과: 은행 한도 확인, 나눠 받기 (F36)",""))</f>
      </c>
      <c r="J80" s="41">
        <f>IF($B80="","",IFERROR(INDEX('작업 Jobs'!$P$3:$P$1002,MATCH($B80,'작업 Jobs'!$A$3:$A$1002,0)),""))</f>
      </c>
    </row>
    <row r="81" spans="7:10" x14ac:dyDescent="0.25">
      <c r="G81" s="42">
        <f>IF($B81="","",IFERROR(INDEX('작업 Jobs'!$D$3:$D$1002,MATCH($B81,'작업 Jobs'!$A$3:$A$1002,0)),"작업 ID 없음"))</f>
      </c>
      <c r="H81" s="41">
        <f>IF($C81="","",IF($D81="CARD",ROUND($C81*'설정 Settings'!$C$34+'설정 Settings'!$C$35,2),0))</f>
      </c>
      <c r="I81" s="42">
        <f>IF($C81="","",IF($C81&gt;'설정 Settings'!$C$36,"$2,000 초과: 은행 한도 확인, 나눠 받기 (F36)",""))</f>
      </c>
      <c r="J81" s="41">
        <f>IF($B81="","",IFERROR(INDEX('작업 Jobs'!$P$3:$P$1002,MATCH($B81,'작업 Jobs'!$A$3:$A$1002,0)),""))</f>
      </c>
    </row>
    <row r="82" spans="7:10" x14ac:dyDescent="0.25">
      <c r="G82" s="42">
        <f>IF($B82="","",IFERROR(INDEX('작업 Jobs'!$D$3:$D$1002,MATCH($B82,'작업 Jobs'!$A$3:$A$1002,0)),"작업 ID 없음"))</f>
      </c>
      <c r="H82" s="41">
        <f>IF($C82="","",IF($D82="CARD",ROUND($C82*'설정 Settings'!$C$34+'설정 Settings'!$C$35,2),0))</f>
      </c>
      <c r="I82" s="42">
        <f>IF($C82="","",IF($C82&gt;'설정 Settings'!$C$36,"$2,000 초과: 은행 한도 확인, 나눠 받기 (F36)",""))</f>
      </c>
      <c r="J82" s="41">
        <f>IF($B82="","",IFERROR(INDEX('작업 Jobs'!$P$3:$P$1002,MATCH($B82,'작업 Jobs'!$A$3:$A$1002,0)),""))</f>
      </c>
    </row>
    <row r="83" spans="7:10" x14ac:dyDescent="0.25">
      <c r="G83" s="42">
        <f>IF($B83="","",IFERROR(INDEX('작업 Jobs'!$D$3:$D$1002,MATCH($B83,'작업 Jobs'!$A$3:$A$1002,0)),"작업 ID 없음"))</f>
      </c>
      <c r="H83" s="41">
        <f>IF($C83="","",IF($D83="CARD",ROUND($C83*'설정 Settings'!$C$34+'설정 Settings'!$C$35,2),0))</f>
      </c>
      <c r="I83" s="42">
        <f>IF($C83="","",IF($C83&gt;'설정 Settings'!$C$36,"$2,000 초과: 은행 한도 확인, 나눠 받기 (F36)",""))</f>
      </c>
      <c r="J83" s="41">
        <f>IF($B83="","",IFERROR(INDEX('작업 Jobs'!$P$3:$P$1002,MATCH($B83,'작업 Jobs'!$A$3:$A$1002,0)),""))</f>
      </c>
    </row>
    <row r="84" spans="7:10" x14ac:dyDescent="0.25">
      <c r="G84" s="42">
        <f>IF($B84="","",IFERROR(INDEX('작업 Jobs'!$D$3:$D$1002,MATCH($B84,'작업 Jobs'!$A$3:$A$1002,0)),"작업 ID 없음"))</f>
      </c>
      <c r="H84" s="41">
        <f>IF($C84="","",IF($D84="CARD",ROUND($C84*'설정 Settings'!$C$34+'설정 Settings'!$C$35,2),0))</f>
      </c>
      <c r="I84" s="42">
        <f>IF($C84="","",IF($C84&gt;'설정 Settings'!$C$36,"$2,000 초과: 은행 한도 확인, 나눠 받기 (F36)",""))</f>
      </c>
      <c r="J84" s="41">
        <f>IF($B84="","",IFERROR(INDEX('작업 Jobs'!$P$3:$P$1002,MATCH($B84,'작업 Jobs'!$A$3:$A$1002,0)),""))</f>
      </c>
    </row>
    <row r="85" spans="7:10" x14ac:dyDescent="0.25">
      <c r="G85" s="42">
        <f>IF($B85="","",IFERROR(INDEX('작업 Jobs'!$D$3:$D$1002,MATCH($B85,'작업 Jobs'!$A$3:$A$1002,0)),"작업 ID 없음"))</f>
      </c>
      <c r="H85" s="41">
        <f>IF($C85="","",IF($D85="CARD",ROUND($C85*'설정 Settings'!$C$34+'설정 Settings'!$C$35,2),0))</f>
      </c>
      <c r="I85" s="42">
        <f>IF($C85="","",IF($C85&gt;'설정 Settings'!$C$36,"$2,000 초과: 은행 한도 확인, 나눠 받기 (F36)",""))</f>
      </c>
      <c r="J85" s="41">
        <f>IF($B85="","",IFERROR(INDEX('작업 Jobs'!$P$3:$P$1002,MATCH($B85,'작업 Jobs'!$A$3:$A$1002,0)),""))</f>
      </c>
    </row>
    <row r="86" spans="7:10" x14ac:dyDescent="0.25">
      <c r="G86" s="42">
        <f>IF($B86="","",IFERROR(INDEX('작업 Jobs'!$D$3:$D$1002,MATCH($B86,'작업 Jobs'!$A$3:$A$1002,0)),"작업 ID 없음"))</f>
      </c>
      <c r="H86" s="41">
        <f>IF($C86="","",IF($D86="CARD",ROUND($C86*'설정 Settings'!$C$34+'설정 Settings'!$C$35,2),0))</f>
      </c>
      <c r="I86" s="42">
        <f>IF($C86="","",IF($C86&gt;'설정 Settings'!$C$36,"$2,000 초과: 은행 한도 확인, 나눠 받기 (F36)",""))</f>
      </c>
      <c r="J86" s="41">
        <f>IF($B86="","",IFERROR(INDEX('작업 Jobs'!$P$3:$P$1002,MATCH($B86,'작업 Jobs'!$A$3:$A$1002,0)),""))</f>
      </c>
    </row>
    <row r="87" spans="7:10" x14ac:dyDescent="0.25">
      <c r="G87" s="42">
        <f>IF($B87="","",IFERROR(INDEX('작업 Jobs'!$D$3:$D$1002,MATCH($B87,'작업 Jobs'!$A$3:$A$1002,0)),"작업 ID 없음"))</f>
      </c>
      <c r="H87" s="41">
        <f>IF($C87="","",IF($D87="CARD",ROUND($C87*'설정 Settings'!$C$34+'설정 Settings'!$C$35,2),0))</f>
      </c>
      <c r="I87" s="42">
        <f>IF($C87="","",IF($C87&gt;'설정 Settings'!$C$36,"$2,000 초과: 은행 한도 확인, 나눠 받기 (F36)",""))</f>
      </c>
      <c r="J87" s="41">
        <f>IF($B87="","",IFERROR(INDEX('작업 Jobs'!$P$3:$P$1002,MATCH($B87,'작업 Jobs'!$A$3:$A$1002,0)),""))</f>
      </c>
    </row>
    <row r="88" spans="7:10" x14ac:dyDescent="0.25">
      <c r="G88" s="42">
        <f>IF($B88="","",IFERROR(INDEX('작업 Jobs'!$D$3:$D$1002,MATCH($B88,'작업 Jobs'!$A$3:$A$1002,0)),"작업 ID 없음"))</f>
      </c>
      <c r="H88" s="41">
        <f>IF($C88="","",IF($D88="CARD",ROUND($C88*'설정 Settings'!$C$34+'설정 Settings'!$C$35,2),0))</f>
      </c>
      <c r="I88" s="42">
        <f>IF($C88="","",IF($C88&gt;'설정 Settings'!$C$36,"$2,000 초과: 은행 한도 확인, 나눠 받기 (F36)",""))</f>
      </c>
      <c r="J88" s="41">
        <f>IF($B88="","",IFERROR(INDEX('작업 Jobs'!$P$3:$P$1002,MATCH($B88,'작업 Jobs'!$A$3:$A$1002,0)),""))</f>
      </c>
    </row>
    <row r="89" spans="7:10" x14ac:dyDescent="0.25">
      <c r="G89" s="42">
        <f>IF($B89="","",IFERROR(INDEX('작업 Jobs'!$D$3:$D$1002,MATCH($B89,'작업 Jobs'!$A$3:$A$1002,0)),"작업 ID 없음"))</f>
      </c>
      <c r="H89" s="41">
        <f>IF($C89="","",IF($D89="CARD",ROUND($C89*'설정 Settings'!$C$34+'설정 Settings'!$C$35,2),0))</f>
      </c>
      <c r="I89" s="42">
        <f>IF($C89="","",IF($C89&gt;'설정 Settings'!$C$36,"$2,000 초과: 은행 한도 확인, 나눠 받기 (F36)",""))</f>
      </c>
      <c r="J89" s="41">
        <f>IF($B89="","",IFERROR(INDEX('작업 Jobs'!$P$3:$P$1002,MATCH($B89,'작업 Jobs'!$A$3:$A$1002,0)),""))</f>
      </c>
    </row>
    <row r="90" spans="7:10" x14ac:dyDescent="0.25">
      <c r="G90" s="42">
        <f>IF($B90="","",IFERROR(INDEX('작업 Jobs'!$D$3:$D$1002,MATCH($B90,'작업 Jobs'!$A$3:$A$1002,0)),"작업 ID 없음"))</f>
      </c>
      <c r="H90" s="41">
        <f>IF($C90="","",IF($D90="CARD",ROUND($C90*'설정 Settings'!$C$34+'설정 Settings'!$C$35,2),0))</f>
      </c>
      <c r="I90" s="42">
        <f>IF($C90="","",IF($C90&gt;'설정 Settings'!$C$36,"$2,000 초과: 은행 한도 확인, 나눠 받기 (F36)",""))</f>
      </c>
      <c r="J90" s="41">
        <f>IF($B90="","",IFERROR(INDEX('작업 Jobs'!$P$3:$P$1002,MATCH($B90,'작업 Jobs'!$A$3:$A$1002,0)),""))</f>
      </c>
    </row>
    <row r="91" spans="7:10" x14ac:dyDescent="0.25">
      <c r="G91" s="42">
        <f>IF($B91="","",IFERROR(INDEX('작업 Jobs'!$D$3:$D$1002,MATCH($B91,'작업 Jobs'!$A$3:$A$1002,0)),"작업 ID 없음"))</f>
      </c>
      <c r="H91" s="41">
        <f>IF($C91="","",IF($D91="CARD",ROUND($C91*'설정 Settings'!$C$34+'설정 Settings'!$C$35,2),0))</f>
      </c>
      <c r="I91" s="42">
        <f>IF($C91="","",IF($C91&gt;'설정 Settings'!$C$36,"$2,000 초과: 은행 한도 확인, 나눠 받기 (F36)",""))</f>
      </c>
      <c r="J91" s="41">
        <f>IF($B91="","",IFERROR(INDEX('작업 Jobs'!$P$3:$P$1002,MATCH($B91,'작업 Jobs'!$A$3:$A$1002,0)),""))</f>
      </c>
    </row>
    <row r="92" spans="7:10" x14ac:dyDescent="0.25">
      <c r="G92" s="42">
        <f>IF($B92="","",IFERROR(INDEX('작업 Jobs'!$D$3:$D$1002,MATCH($B92,'작업 Jobs'!$A$3:$A$1002,0)),"작업 ID 없음"))</f>
      </c>
      <c r="H92" s="41">
        <f>IF($C92="","",IF($D92="CARD",ROUND($C92*'설정 Settings'!$C$34+'설정 Settings'!$C$35,2),0))</f>
      </c>
      <c r="I92" s="42">
        <f>IF($C92="","",IF($C92&gt;'설정 Settings'!$C$36,"$2,000 초과: 은행 한도 확인, 나눠 받기 (F36)",""))</f>
      </c>
      <c r="J92" s="41">
        <f>IF($B92="","",IFERROR(INDEX('작업 Jobs'!$P$3:$P$1002,MATCH($B92,'작업 Jobs'!$A$3:$A$1002,0)),""))</f>
      </c>
    </row>
    <row r="93" spans="7:10" x14ac:dyDescent="0.25">
      <c r="G93" s="42">
        <f>IF($B93="","",IFERROR(INDEX('작업 Jobs'!$D$3:$D$1002,MATCH($B93,'작업 Jobs'!$A$3:$A$1002,0)),"작업 ID 없음"))</f>
      </c>
      <c r="H93" s="41">
        <f>IF($C93="","",IF($D93="CARD",ROUND($C93*'설정 Settings'!$C$34+'설정 Settings'!$C$35,2),0))</f>
      </c>
      <c r="I93" s="42">
        <f>IF($C93="","",IF($C93&gt;'설정 Settings'!$C$36,"$2,000 초과: 은행 한도 확인, 나눠 받기 (F36)",""))</f>
      </c>
      <c r="J93" s="41">
        <f>IF($B93="","",IFERROR(INDEX('작업 Jobs'!$P$3:$P$1002,MATCH($B93,'작업 Jobs'!$A$3:$A$1002,0)),""))</f>
      </c>
    </row>
    <row r="94" spans="7:10" x14ac:dyDescent="0.25">
      <c r="G94" s="42">
        <f>IF($B94="","",IFERROR(INDEX('작업 Jobs'!$D$3:$D$1002,MATCH($B94,'작업 Jobs'!$A$3:$A$1002,0)),"작업 ID 없음"))</f>
      </c>
      <c r="H94" s="41">
        <f>IF($C94="","",IF($D94="CARD",ROUND($C94*'설정 Settings'!$C$34+'설정 Settings'!$C$35,2),0))</f>
      </c>
      <c r="I94" s="42">
        <f>IF($C94="","",IF($C94&gt;'설정 Settings'!$C$36,"$2,000 초과: 은행 한도 확인, 나눠 받기 (F36)",""))</f>
      </c>
      <c r="J94" s="41">
        <f>IF($B94="","",IFERROR(INDEX('작업 Jobs'!$P$3:$P$1002,MATCH($B94,'작업 Jobs'!$A$3:$A$1002,0)),""))</f>
      </c>
    </row>
    <row r="95" spans="7:10" x14ac:dyDescent="0.25">
      <c r="G95" s="42">
        <f>IF($B95="","",IFERROR(INDEX('작업 Jobs'!$D$3:$D$1002,MATCH($B95,'작업 Jobs'!$A$3:$A$1002,0)),"작업 ID 없음"))</f>
      </c>
      <c r="H95" s="41">
        <f>IF($C95="","",IF($D95="CARD",ROUND($C95*'설정 Settings'!$C$34+'설정 Settings'!$C$35,2),0))</f>
      </c>
      <c r="I95" s="42">
        <f>IF($C95="","",IF($C95&gt;'설정 Settings'!$C$36,"$2,000 초과: 은행 한도 확인, 나눠 받기 (F36)",""))</f>
      </c>
      <c r="J95" s="41">
        <f>IF($B95="","",IFERROR(INDEX('작업 Jobs'!$P$3:$P$1002,MATCH($B95,'작업 Jobs'!$A$3:$A$1002,0)),""))</f>
      </c>
    </row>
    <row r="96" spans="7:10" x14ac:dyDescent="0.25">
      <c r="G96" s="42">
        <f>IF($B96="","",IFERROR(INDEX('작업 Jobs'!$D$3:$D$1002,MATCH($B96,'작업 Jobs'!$A$3:$A$1002,0)),"작업 ID 없음"))</f>
      </c>
      <c r="H96" s="41">
        <f>IF($C96="","",IF($D96="CARD",ROUND($C96*'설정 Settings'!$C$34+'설정 Settings'!$C$35,2),0))</f>
      </c>
      <c r="I96" s="42">
        <f>IF($C96="","",IF($C96&gt;'설정 Settings'!$C$36,"$2,000 초과: 은행 한도 확인, 나눠 받기 (F36)",""))</f>
      </c>
      <c r="J96" s="41">
        <f>IF($B96="","",IFERROR(INDEX('작업 Jobs'!$P$3:$P$1002,MATCH($B96,'작업 Jobs'!$A$3:$A$1002,0)),""))</f>
      </c>
    </row>
    <row r="97" spans="7:10" x14ac:dyDescent="0.25">
      <c r="G97" s="42">
        <f>IF($B97="","",IFERROR(INDEX('작업 Jobs'!$D$3:$D$1002,MATCH($B97,'작업 Jobs'!$A$3:$A$1002,0)),"작업 ID 없음"))</f>
      </c>
      <c r="H97" s="41">
        <f>IF($C97="","",IF($D97="CARD",ROUND($C97*'설정 Settings'!$C$34+'설정 Settings'!$C$35,2),0))</f>
      </c>
      <c r="I97" s="42">
        <f>IF($C97="","",IF($C97&gt;'설정 Settings'!$C$36,"$2,000 초과: 은행 한도 확인, 나눠 받기 (F36)",""))</f>
      </c>
      <c r="J97" s="41">
        <f>IF($B97="","",IFERROR(INDEX('작업 Jobs'!$P$3:$P$1002,MATCH($B97,'작업 Jobs'!$A$3:$A$1002,0)),""))</f>
      </c>
    </row>
    <row r="98" spans="7:10" x14ac:dyDescent="0.25">
      <c r="G98" s="42">
        <f>IF($B98="","",IFERROR(INDEX('작업 Jobs'!$D$3:$D$1002,MATCH($B98,'작업 Jobs'!$A$3:$A$1002,0)),"작업 ID 없음"))</f>
      </c>
      <c r="H98" s="41">
        <f>IF($C98="","",IF($D98="CARD",ROUND($C98*'설정 Settings'!$C$34+'설정 Settings'!$C$35,2),0))</f>
      </c>
      <c r="I98" s="42">
        <f>IF($C98="","",IF($C98&gt;'설정 Settings'!$C$36,"$2,000 초과: 은행 한도 확인, 나눠 받기 (F36)",""))</f>
      </c>
      <c r="J98" s="41">
        <f>IF($B98="","",IFERROR(INDEX('작업 Jobs'!$P$3:$P$1002,MATCH($B98,'작업 Jobs'!$A$3:$A$1002,0)),""))</f>
      </c>
    </row>
    <row r="99" spans="7:10" x14ac:dyDescent="0.25">
      <c r="G99" s="42">
        <f>IF($B99="","",IFERROR(INDEX('작업 Jobs'!$D$3:$D$1002,MATCH($B99,'작업 Jobs'!$A$3:$A$1002,0)),"작업 ID 없음"))</f>
      </c>
      <c r="H99" s="41">
        <f>IF($C99="","",IF($D99="CARD",ROUND($C99*'설정 Settings'!$C$34+'설정 Settings'!$C$35,2),0))</f>
      </c>
      <c r="I99" s="42">
        <f>IF($C99="","",IF($C99&gt;'설정 Settings'!$C$36,"$2,000 초과: 은행 한도 확인, 나눠 받기 (F36)",""))</f>
      </c>
      <c r="J99" s="41">
        <f>IF($B99="","",IFERROR(INDEX('작업 Jobs'!$P$3:$P$1002,MATCH($B99,'작업 Jobs'!$A$3:$A$1002,0)),""))</f>
      </c>
    </row>
    <row r="100" spans="7:10" x14ac:dyDescent="0.25">
      <c r="G100" s="42">
        <f>IF($B100="","",IFERROR(INDEX('작업 Jobs'!$D$3:$D$1002,MATCH($B100,'작업 Jobs'!$A$3:$A$1002,0)),"작업 ID 없음"))</f>
      </c>
      <c r="H100" s="41">
        <f>IF($C100="","",IF($D100="CARD",ROUND($C100*'설정 Settings'!$C$34+'설정 Settings'!$C$35,2),0))</f>
      </c>
      <c r="I100" s="42">
        <f>IF($C100="","",IF($C100&gt;'설정 Settings'!$C$36,"$2,000 초과: 은행 한도 확인, 나눠 받기 (F36)",""))</f>
      </c>
      <c r="J100" s="41">
        <f>IF($B100="","",IFERROR(INDEX('작업 Jobs'!$P$3:$P$1002,MATCH($B100,'작업 Jobs'!$A$3:$A$1002,0)),""))</f>
      </c>
    </row>
    <row r="101" spans="7:10" x14ac:dyDescent="0.25">
      <c r="G101" s="42">
        <f>IF($B101="","",IFERROR(INDEX('작업 Jobs'!$D$3:$D$1002,MATCH($B101,'작업 Jobs'!$A$3:$A$1002,0)),"작업 ID 없음"))</f>
      </c>
      <c r="H101" s="41">
        <f>IF($C101="","",IF($D101="CARD",ROUND($C101*'설정 Settings'!$C$34+'설정 Settings'!$C$35,2),0))</f>
      </c>
      <c r="I101" s="42">
        <f>IF($C101="","",IF($C101&gt;'설정 Settings'!$C$36,"$2,000 초과: 은행 한도 확인, 나눠 받기 (F36)",""))</f>
      </c>
      <c r="J101" s="41">
        <f>IF($B101="","",IFERROR(INDEX('작업 Jobs'!$P$3:$P$1002,MATCH($B101,'작업 Jobs'!$A$3:$A$1002,0)),""))</f>
      </c>
    </row>
    <row r="102" spans="7:10" x14ac:dyDescent="0.25">
      <c r="G102" s="42">
        <f>IF($B102="","",IFERROR(INDEX('작업 Jobs'!$D$3:$D$1002,MATCH($B102,'작업 Jobs'!$A$3:$A$1002,0)),"작업 ID 없음"))</f>
      </c>
      <c r="H102" s="41">
        <f>IF($C102="","",IF($D102="CARD",ROUND($C102*'설정 Settings'!$C$34+'설정 Settings'!$C$35,2),0))</f>
      </c>
      <c r="I102" s="42">
        <f>IF($C102="","",IF($C102&gt;'설정 Settings'!$C$36,"$2,000 초과: 은행 한도 확인, 나눠 받기 (F36)",""))</f>
      </c>
      <c r="J102" s="41">
        <f>IF($B102="","",IFERROR(INDEX('작업 Jobs'!$P$3:$P$1002,MATCH($B102,'작업 Jobs'!$A$3:$A$1002,0)),""))</f>
      </c>
    </row>
    <row r="103" spans="7:10" x14ac:dyDescent="0.25">
      <c r="G103" s="42">
        <f>IF($B103="","",IFERROR(INDEX('작업 Jobs'!$D$3:$D$1002,MATCH($B103,'작업 Jobs'!$A$3:$A$1002,0)),"작업 ID 없음"))</f>
      </c>
      <c r="H103" s="41">
        <f>IF($C103="","",IF($D103="CARD",ROUND($C103*'설정 Settings'!$C$34+'설정 Settings'!$C$35,2),0))</f>
      </c>
      <c r="I103" s="42">
        <f>IF($C103="","",IF($C103&gt;'설정 Settings'!$C$36,"$2,000 초과: 은행 한도 확인, 나눠 받기 (F36)",""))</f>
      </c>
      <c r="J103" s="41">
        <f>IF($B103="","",IFERROR(INDEX('작업 Jobs'!$P$3:$P$1002,MATCH($B103,'작업 Jobs'!$A$3:$A$1002,0)),""))</f>
      </c>
    </row>
    <row r="104" spans="7:10" x14ac:dyDescent="0.25">
      <c r="G104" s="42">
        <f>IF($B104="","",IFERROR(INDEX('작업 Jobs'!$D$3:$D$1002,MATCH($B104,'작업 Jobs'!$A$3:$A$1002,0)),"작업 ID 없음"))</f>
      </c>
      <c r="H104" s="41">
        <f>IF($C104="","",IF($D104="CARD",ROUND($C104*'설정 Settings'!$C$34+'설정 Settings'!$C$35,2),0))</f>
      </c>
      <c r="I104" s="42">
        <f>IF($C104="","",IF($C104&gt;'설정 Settings'!$C$36,"$2,000 초과: 은행 한도 확인, 나눠 받기 (F36)",""))</f>
      </c>
      <c r="J104" s="41">
        <f>IF($B104="","",IFERROR(INDEX('작업 Jobs'!$P$3:$P$1002,MATCH($B104,'작업 Jobs'!$A$3:$A$1002,0)),""))</f>
      </c>
    </row>
    <row r="105" spans="7:10" x14ac:dyDescent="0.25">
      <c r="G105" s="42">
        <f>IF($B105="","",IFERROR(INDEX('작업 Jobs'!$D$3:$D$1002,MATCH($B105,'작업 Jobs'!$A$3:$A$1002,0)),"작업 ID 없음"))</f>
      </c>
      <c r="H105" s="41">
        <f>IF($C105="","",IF($D105="CARD",ROUND($C105*'설정 Settings'!$C$34+'설정 Settings'!$C$35,2),0))</f>
      </c>
      <c r="I105" s="42">
        <f>IF($C105="","",IF($C105&gt;'설정 Settings'!$C$36,"$2,000 초과: 은행 한도 확인, 나눠 받기 (F36)",""))</f>
      </c>
      <c r="J105" s="41">
        <f>IF($B105="","",IFERROR(INDEX('작업 Jobs'!$P$3:$P$1002,MATCH($B105,'작업 Jobs'!$A$3:$A$1002,0)),""))</f>
      </c>
    </row>
    <row r="106" spans="7:10" x14ac:dyDescent="0.25">
      <c r="G106" s="42">
        <f>IF($B106="","",IFERROR(INDEX('작업 Jobs'!$D$3:$D$1002,MATCH($B106,'작업 Jobs'!$A$3:$A$1002,0)),"작업 ID 없음"))</f>
      </c>
      <c r="H106" s="41">
        <f>IF($C106="","",IF($D106="CARD",ROUND($C106*'설정 Settings'!$C$34+'설정 Settings'!$C$35,2),0))</f>
      </c>
      <c r="I106" s="42">
        <f>IF($C106="","",IF($C106&gt;'설정 Settings'!$C$36,"$2,000 초과: 은행 한도 확인, 나눠 받기 (F36)",""))</f>
      </c>
      <c r="J106" s="41">
        <f>IF($B106="","",IFERROR(INDEX('작업 Jobs'!$P$3:$P$1002,MATCH($B106,'작업 Jobs'!$A$3:$A$1002,0)),""))</f>
      </c>
    </row>
    <row r="107" spans="7:10" x14ac:dyDescent="0.25">
      <c r="G107" s="42">
        <f>IF($B107="","",IFERROR(INDEX('작업 Jobs'!$D$3:$D$1002,MATCH($B107,'작업 Jobs'!$A$3:$A$1002,0)),"작업 ID 없음"))</f>
      </c>
      <c r="H107" s="41">
        <f>IF($C107="","",IF($D107="CARD",ROUND($C107*'설정 Settings'!$C$34+'설정 Settings'!$C$35,2),0))</f>
      </c>
      <c r="I107" s="42">
        <f>IF($C107="","",IF($C107&gt;'설정 Settings'!$C$36,"$2,000 초과: 은행 한도 확인, 나눠 받기 (F36)",""))</f>
      </c>
      <c r="J107" s="41">
        <f>IF($B107="","",IFERROR(INDEX('작업 Jobs'!$P$3:$P$1002,MATCH($B107,'작업 Jobs'!$A$3:$A$1002,0)),""))</f>
      </c>
    </row>
    <row r="108" spans="7:10" x14ac:dyDescent="0.25">
      <c r="G108" s="42">
        <f>IF($B108="","",IFERROR(INDEX('작업 Jobs'!$D$3:$D$1002,MATCH($B108,'작업 Jobs'!$A$3:$A$1002,0)),"작업 ID 없음"))</f>
      </c>
      <c r="H108" s="41">
        <f>IF($C108="","",IF($D108="CARD",ROUND($C108*'설정 Settings'!$C$34+'설정 Settings'!$C$35,2),0))</f>
      </c>
      <c r="I108" s="42">
        <f>IF($C108="","",IF($C108&gt;'설정 Settings'!$C$36,"$2,000 초과: 은행 한도 확인, 나눠 받기 (F36)",""))</f>
      </c>
      <c r="J108" s="41">
        <f>IF($B108="","",IFERROR(INDEX('작업 Jobs'!$P$3:$P$1002,MATCH($B108,'작업 Jobs'!$A$3:$A$1002,0)),""))</f>
      </c>
    </row>
    <row r="109" spans="7:10" x14ac:dyDescent="0.25">
      <c r="G109" s="42">
        <f>IF($B109="","",IFERROR(INDEX('작업 Jobs'!$D$3:$D$1002,MATCH($B109,'작업 Jobs'!$A$3:$A$1002,0)),"작업 ID 없음"))</f>
      </c>
      <c r="H109" s="41">
        <f>IF($C109="","",IF($D109="CARD",ROUND($C109*'설정 Settings'!$C$34+'설정 Settings'!$C$35,2),0))</f>
      </c>
      <c r="I109" s="42">
        <f>IF($C109="","",IF($C109&gt;'설정 Settings'!$C$36,"$2,000 초과: 은행 한도 확인, 나눠 받기 (F36)",""))</f>
      </c>
      <c r="J109" s="41">
        <f>IF($B109="","",IFERROR(INDEX('작업 Jobs'!$P$3:$P$1002,MATCH($B109,'작업 Jobs'!$A$3:$A$1002,0)),""))</f>
      </c>
    </row>
    <row r="110" spans="7:10" x14ac:dyDescent="0.25">
      <c r="G110" s="42">
        <f>IF($B110="","",IFERROR(INDEX('작업 Jobs'!$D$3:$D$1002,MATCH($B110,'작업 Jobs'!$A$3:$A$1002,0)),"작업 ID 없음"))</f>
      </c>
      <c r="H110" s="41">
        <f>IF($C110="","",IF($D110="CARD",ROUND($C110*'설정 Settings'!$C$34+'설정 Settings'!$C$35,2),0))</f>
      </c>
      <c r="I110" s="42">
        <f>IF($C110="","",IF($C110&gt;'설정 Settings'!$C$36,"$2,000 초과: 은행 한도 확인, 나눠 받기 (F36)",""))</f>
      </c>
      <c r="J110" s="41">
        <f>IF($B110="","",IFERROR(INDEX('작업 Jobs'!$P$3:$P$1002,MATCH($B110,'작업 Jobs'!$A$3:$A$1002,0)),""))</f>
      </c>
    </row>
    <row r="111" spans="7:10" x14ac:dyDescent="0.25">
      <c r="G111" s="42">
        <f>IF($B111="","",IFERROR(INDEX('작업 Jobs'!$D$3:$D$1002,MATCH($B111,'작업 Jobs'!$A$3:$A$1002,0)),"작업 ID 없음"))</f>
      </c>
      <c r="H111" s="41">
        <f>IF($C111="","",IF($D111="CARD",ROUND($C111*'설정 Settings'!$C$34+'설정 Settings'!$C$35,2),0))</f>
      </c>
      <c r="I111" s="42">
        <f>IF($C111="","",IF($C111&gt;'설정 Settings'!$C$36,"$2,000 초과: 은행 한도 확인, 나눠 받기 (F36)",""))</f>
      </c>
      <c r="J111" s="41">
        <f>IF($B111="","",IFERROR(INDEX('작업 Jobs'!$P$3:$P$1002,MATCH($B111,'작업 Jobs'!$A$3:$A$1002,0)),""))</f>
      </c>
    </row>
    <row r="112" spans="7:10" x14ac:dyDescent="0.25">
      <c r="G112" s="42">
        <f>IF($B112="","",IFERROR(INDEX('작업 Jobs'!$D$3:$D$1002,MATCH($B112,'작업 Jobs'!$A$3:$A$1002,0)),"작업 ID 없음"))</f>
      </c>
      <c r="H112" s="41">
        <f>IF($C112="","",IF($D112="CARD",ROUND($C112*'설정 Settings'!$C$34+'설정 Settings'!$C$35,2),0))</f>
      </c>
      <c r="I112" s="42">
        <f>IF($C112="","",IF($C112&gt;'설정 Settings'!$C$36,"$2,000 초과: 은행 한도 확인, 나눠 받기 (F36)",""))</f>
      </c>
      <c r="J112" s="41">
        <f>IF($B112="","",IFERROR(INDEX('작업 Jobs'!$P$3:$P$1002,MATCH($B112,'작업 Jobs'!$A$3:$A$1002,0)),""))</f>
      </c>
    </row>
    <row r="113" spans="7:10" x14ac:dyDescent="0.25">
      <c r="G113" s="42">
        <f>IF($B113="","",IFERROR(INDEX('작업 Jobs'!$D$3:$D$1002,MATCH($B113,'작업 Jobs'!$A$3:$A$1002,0)),"작업 ID 없음"))</f>
      </c>
      <c r="H113" s="41">
        <f>IF($C113="","",IF($D113="CARD",ROUND($C113*'설정 Settings'!$C$34+'설정 Settings'!$C$35,2),0))</f>
      </c>
      <c r="I113" s="42">
        <f>IF($C113="","",IF($C113&gt;'설정 Settings'!$C$36,"$2,000 초과: 은행 한도 확인, 나눠 받기 (F36)",""))</f>
      </c>
      <c r="J113" s="41">
        <f>IF($B113="","",IFERROR(INDEX('작업 Jobs'!$P$3:$P$1002,MATCH($B113,'작업 Jobs'!$A$3:$A$1002,0)),""))</f>
      </c>
    </row>
    <row r="114" spans="7:10" x14ac:dyDescent="0.25">
      <c r="G114" s="42">
        <f>IF($B114="","",IFERROR(INDEX('작업 Jobs'!$D$3:$D$1002,MATCH($B114,'작업 Jobs'!$A$3:$A$1002,0)),"작업 ID 없음"))</f>
      </c>
      <c r="H114" s="41">
        <f>IF($C114="","",IF($D114="CARD",ROUND($C114*'설정 Settings'!$C$34+'설정 Settings'!$C$35,2),0))</f>
      </c>
      <c r="I114" s="42">
        <f>IF($C114="","",IF($C114&gt;'설정 Settings'!$C$36,"$2,000 초과: 은행 한도 확인, 나눠 받기 (F36)",""))</f>
      </c>
      <c r="J114" s="41">
        <f>IF($B114="","",IFERROR(INDEX('작업 Jobs'!$P$3:$P$1002,MATCH($B114,'작업 Jobs'!$A$3:$A$1002,0)),""))</f>
      </c>
    </row>
    <row r="115" spans="7:10" x14ac:dyDescent="0.25">
      <c r="G115" s="42">
        <f>IF($B115="","",IFERROR(INDEX('작업 Jobs'!$D$3:$D$1002,MATCH($B115,'작업 Jobs'!$A$3:$A$1002,0)),"작업 ID 없음"))</f>
      </c>
      <c r="H115" s="41">
        <f>IF($C115="","",IF($D115="CARD",ROUND($C115*'설정 Settings'!$C$34+'설정 Settings'!$C$35,2),0))</f>
      </c>
      <c r="I115" s="42">
        <f>IF($C115="","",IF($C115&gt;'설정 Settings'!$C$36,"$2,000 초과: 은행 한도 확인, 나눠 받기 (F36)",""))</f>
      </c>
      <c r="J115" s="41">
        <f>IF($B115="","",IFERROR(INDEX('작업 Jobs'!$P$3:$P$1002,MATCH($B115,'작업 Jobs'!$A$3:$A$1002,0)),""))</f>
      </c>
    </row>
    <row r="116" spans="7:10" x14ac:dyDescent="0.25">
      <c r="G116" s="42">
        <f>IF($B116="","",IFERROR(INDEX('작업 Jobs'!$D$3:$D$1002,MATCH($B116,'작업 Jobs'!$A$3:$A$1002,0)),"작업 ID 없음"))</f>
      </c>
      <c r="H116" s="41">
        <f>IF($C116="","",IF($D116="CARD",ROUND($C116*'설정 Settings'!$C$34+'설정 Settings'!$C$35,2),0))</f>
      </c>
      <c r="I116" s="42">
        <f>IF($C116="","",IF($C116&gt;'설정 Settings'!$C$36,"$2,000 초과: 은행 한도 확인, 나눠 받기 (F36)",""))</f>
      </c>
      <c r="J116" s="41">
        <f>IF($B116="","",IFERROR(INDEX('작업 Jobs'!$P$3:$P$1002,MATCH($B116,'작업 Jobs'!$A$3:$A$1002,0)),""))</f>
      </c>
    </row>
    <row r="117" spans="7:10" x14ac:dyDescent="0.25">
      <c r="G117" s="42">
        <f>IF($B117="","",IFERROR(INDEX('작업 Jobs'!$D$3:$D$1002,MATCH($B117,'작업 Jobs'!$A$3:$A$1002,0)),"작업 ID 없음"))</f>
      </c>
      <c r="H117" s="41">
        <f>IF($C117="","",IF($D117="CARD",ROUND($C117*'설정 Settings'!$C$34+'설정 Settings'!$C$35,2),0))</f>
      </c>
      <c r="I117" s="42">
        <f>IF($C117="","",IF($C117&gt;'설정 Settings'!$C$36,"$2,000 초과: 은행 한도 확인, 나눠 받기 (F36)",""))</f>
      </c>
      <c r="J117" s="41">
        <f>IF($B117="","",IFERROR(INDEX('작업 Jobs'!$P$3:$P$1002,MATCH($B117,'작업 Jobs'!$A$3:$A$1002,0)),""))</f>
      </c>
    </row>
    <row r="118" spans="7:10" x14ac:dyDescent="0.25">
      <c r="G118" s="42">
        <f>IF($B118="","",IFERROR(INDEX('작업 Jobs'!$D$3:$D$1002,MATCH($B118,'작업 Jobs'!$A$3:$A$1002,0)),"작업 ID 없음"))</f>
      </c>
      <c r="H118" s="41">
        <f>IF($C118="","",IF($D118="CARD",ROUND($C118*'설정 Settings'!$C$34+'설정 Settings'!$C$35,2),0))</f>
      </c>
      <c r="I118" s="42">
        <f>IF($C118="","",IF($C118&gt;'설정 Settings'!$C$36,"$2,000 초과: 은행 한도 확인, 나눠 받기 (F36)",""))</f>
      </c>
      <c r="J118" s="41">
        <f>IF($B118="","",IFERROR(INDEX('작업 Jobs'!$P$3:$P$1002,MATCH($B118,'작업 Jobs'!$A$3:$A$1002,0)),""))</f>
      </c>
    </row>
    <row r="119" spans="7:10" x14ac:dyDescent="0.25">
      <c r="G119" s="42">
        <f>IF($B119="","",IFERROR(INDEX('작업 Jobs'!$D$3:$D$1002,MATCH($B119,'작업 Jobs'!$A$3:$A$1002,0)),"작업 ID 없음"))</f>
      </c>
      <c r="H119" s="41">
        <f>IF($C119="","",IF($D119="CARD",ROUND($C119*'설정 Settings'!$C$34+'설정 Settings'!$C$35,2),0))</f>
      </c>
      <c r="I119" s="42">
        <f>IF($C119="","",IF($C119&gt;'설정 Settings'!$C$36,"$2,000 초과: 은행 한도 확인, 나눠 받기 (F36)",""))</f>
      </c>
      <c r="J119" s="41">
        <f>IF($B119="","",IFERROR(INDEX('작업 Jobs'!$P$3:$P$1002,MATCH($B119,'작업 Jobs'!$A$3:$A$1002,0)),""))</f>
      </c>
    </row>
    <row r="120" spans="7:10" x14ac:dyDescent="0.25">
      <c r="G120" s="42">
        <f>IF($B120="","",IFERROR(INDEX('작업 Jobs'!$D$3:$D$1002,MATCH($B120,'작업 Jobs'!$A$3:$A$1002,0)),"작업 ID 없음"))</f>
      </c>
      <c r="H120" s="41">
        <f>IF($C120="","",IF($D120="CARD",ROUND($C120*'설정 Settings'!$C$34+'설정 Settings'!$C$35,2),0))</f>
      </c>
      <c r="I120" s="42">
        <f>IF($C120="","",IF($C120&gt;'설정 Settings'!$C$36,"$2,000 초과: 은행 한도 확인, 나눠 받기 (F36)",""))</f>
      </c>
      <c r="J120" s="41">
        <f>IF($B120="","",IFERROR(INDEX('작업 Jobs'!$P$3:$P$1002,MATCH($B120,'작업 Jobs'!$A$3:$A$1002,0)),""))</f>
      </c>
    </row>
    <row r="121" spans="7:10" x14ac:dyDescent="0.25">
      <c r="G121" s="42">
        <f>IF($B121="","",IFERROR(INDEX('작업 Jobs'!$D$3:$D$1002,MATCH($B121,'작업 Jobs'!$A$3:$A$1002,0)),"작업 ID 없음"))</f>
      </c>
      <c r="H121" s="41">
        <f>IF($C121="","",IF($D121="CARD",ROUND($C121*'설정 Settings'!$C$34+'설정 Settings'!$C$35,2),0))</f>
      </c>
      <c r="I121" s="42">
        <f>IF($C121="","",IF($C121&gt;'설정 Settings'!$C$36,"$2,000 초과: 은행 한도 확인, 나눠 받기 (F36)",""))</f>
      </c>
      <c r="J121" s="41">
        <f>IF($B121="","",IFERROR(INDEX('작업 Jobs'!$P$3:$P$1002,MATCH($B121,'작업 Jobs'!$A$3:$A$1002,0)),""))</f>
      </c>
    </row>
    <row r="122" spans="7:10" x14ac:dyDescent="0.25">
      <c r="G122" s="42">
        <f>IF($B122="","",IFERROR(INDEX('작업 Jobs'!$D$3:$D$1002,MATCH($B122,'작업 Jobs'!$A$3:$A$1002,0)),"작업 ID 없음"))</f>
      </c>
      <c r="H122" s="41">
        <f>IF($C122="","",IF($D122="CARD",ROUND($C122*'설정 Settings'!$C$34+'설정 Settings'!$C$35,2),0))</f>
      </c>
      <c r="I122" s="42">
        <f>IF($C122="","",IF($C122&gt;'설정 Settings'!$C$36,"$2,000 초과: 은행 한도 확인, 나눠 받기 (F36)",""))</f>
      </c>
      <c r="J122" s="41">
        <f>IF($B122="","",IFERROR(INDEX('작업 Jobs'!$P$3:$P$1002,MATCH($B122,'작업 Jobs'!$A$3:$A$1002,0)),""))</f>
      </c>
    </row>
    <row r="123" spans="7:10" x14ac:dyDescent="0.25">
      <c r="G123" s="42">
        <f>IF($B123="","",IFERROR(INDEX('작업 Jobs'!$D$3:$D$1002,MATCH($B123,'작업 Jobs'!$A$3:$A$1002,0)),"작업 ID 없음"))</f>
      </c>
      <c r="H123" s="41">
        <f>IF($C123="","",IF($D123="CARD",ROUND($C123*'설정 Settings'!$C$34+'설정 Settings'!$C$35,2),0))</f>
      </c>
      <c r="I123" s="42">
        <f>IF($C123="","",IF($C123&gt;'설정 Settings'!$C$36,"$2,000 초과: 은행 한도 확인, 나눠 받기 (F36)",""))</f>
      </c>
      <c r="J123" s="41">
        <f>IF($B123="","",IFERROR(INDEX('작업 Jobs'!$P$3:$P$1002,MATCH($B123,'작업 Jobs'!$A$3:$A$1002,0)),""))</f>
      </c>
    </row>
    <row r="124" spans="7:10" x14ac:dyDescent="0.25">
      <c r="G124" s="42">
        <f>IF($B124="","",IFERROR(INDEX('작업 Jobs'!$D$3:$D$1002,MATCH($B124,'작업 Jobs'!$A$3:$A$1002,0)),"작업 ID 없음"))</f>
      </c>
      <c r="H124" s="41">
        <f>IF($C124="","",IF($D124="CARD",ROUND($C124*'설정 Settings'!$C$34+'설정 Settings'!$C$35,2),0))</f>
      </c>
      <c r="I124" s="42">
        <f>IF($C124="","",IF($C124&gt;'설정 Settings'!$C$36,"$2,000 초과: 은행 한도 확인, 나눠 받기 (F36)",""))</f>
      </c>
      <c r="J124" s="41">
        <f>IF($B124="","",IFERROR(INDEX('작업 Jobs'!$P$3:$P$1002,MATCH($B124,'작업 Jobs'!$A$3:$A$1002,0)),""))</f>
      </c>
    </row>
    <row r="125" spans="7:10" x14ac:dyDescent="0.25">
      <c r="G125" s="42">
        <f>IF($B125="","",IFERROR(INDEX('작업 Jobs'!$D$3:$D$1002,MATCH($B125,'작업 Jobs'!$A$3:$A$1002,0)),"작업 ID 없음"))</f>
      </c>
      <c r="H125" s="41">
        <f>IF($C125="","",IF($D125="CARD",ROUND($C125*'설정 Settings'!$C$34+'설정 Settings'!$C$35,2),0))</f>
      </c>
      <c r="I125" s="42">
        <f>IF($C125="","",IF($C125&gt;'설정 Settings'!$C$36,"$2,000 초과: 은행 한도 확인, 나눠 받기 (F36)",""))</f>
      </c>
      <c r="J125" s="41">
        <f>IF($B125="","",IFERROR(INDEX('작업 Jobs'!$P$3:$P$1002,MATCH($B125,'작업 Jobs'!$A$3:$A$1002,0)),""))</f>
      </c>
    </row>
    <row r="126" spans="7:10" x14ac:dyDescent="0.25">
      <c r="G126" s="42">
        <f>IF($B126="","",IFERROR(INDEX('작업 Jobs'!$D$3:$D$1002,MATCH($B126,'작업 Jobs'!$A$3:$A$1002,0)),"작업 ID 없음"))</f>
      </c>
      <c r="H126" s="41">
        <f>IF($C126="","",IF($D126="CARD",ROUND($C126*'설정 Settings'!$C$34+'설정 Settings'!$C$35,2),0))</f>
      </c>
      <c r="I126" s="42">
        <f>IF($C126="","",IF($C126&gt;'설정 Settings'!$C$36,"$2,000 초과: 은행 한도 확인, 나눠 받기 (F36)",""))</f>
      </c>
      <c r="J126" s="41">
        <f>IF($B126="","",IFERROR(INDEX('작업 Jobs'!$P$3:$P$1002,MATCH($B126,'작업 Jobs'!$A$3:$A$1002,0)),""))</f>
      </c>
    </row>
    <row r="127" spans="7:10" x14ac:dyDescent="0.25">
      <c r="G127" s="42">
        <f>IF($B127="","",IFERROR(INDEX('작업 Jobs'!$D$3:$D$1002,MATCH($B127,'작업 Jobs'!$A$3:$A$1002,0)),"작업 ID 없음"))</f>
      </c>
      <c r="H127" s="41">
        <f>IF($C127="","",IF($D127="CARD",ROUND($C127*'설정 Settings'!$C$34+'설정 Settings'!$C$35,2),0))</f>
      </c>
      <c r="I127" s="42">
        <f>IF($C127="","",IF($C127&gt;'설정 Settings'!$C$36,"$2,000 초과: 은행 한도 확인, 나눠 받기 (F36)",""))</f>
      </c>
      <c r="J127" s="41">
        <f>IF($B127="","",IFERROR(INDEX('작업 Jobs'!$P$3:$P$1002,MATCH($B127,'작업 Jobs'!$A$3:$A$1002,0)),""))</f>
      </c>
    </row>
    <row r="128" spans="7:10" x14ac:dyDescent="0.25">
      <c r="G128" s="42">
        <f>IF($B128="","",IFERROR(INDEX('작업 Jobs'!$D$3:$D$1002,MATCH($B128,'작업 Jobs'!$A$3:$A$1002,0)),"작업 ID 없음"))</f>
      </c>
      <c r="H128" s="41">
        <f>IF($C128="","",IF($D128="CARD",ROUND($C128*'설정 Settings'!$C$34+'설정 Settings'!$C$35,2),0))</f>
      </c>
      <c r="I128" s="42">
        <f>IF($C128="","",IF($C128&gt;'설정 Settings'!$C$36,"$2,000 초과: 은행 한도 확인, 나눠 받기 (F36)",""))</f>
      </c>
      <c r="J128" s="41">
        <f>IF($B128="","",IFERROR(INDEX('작업 Jobs'!$P$3:$P$1002,MATCH($B128,'작업 Jobs'!$A$3:$A$1002,0)),""))</f>
      </c>
    </row>
    <row r="129" spans="7:10" x14ac:dyDescent="0.25">
      <c r="G129" s="42">
        <f>IF($B129="","",IFERROR(INDEX('작업 Jobs'!$D$3:$D$1002,MATCH($B129,'작업 Jobs'!$A$3:$A$1002,0)),"작업 ID 없음"))</f>
      </c>
      <c r="H129" s="41">
        <f>IF($C129="","",IF($D129="CARD",ROUND($C129*'설정 Settings'!$C$34+'설정 Settings'!$C$35,2),0))</f>
      </c>
      <c r="I129" s="42">
        <f>IF($C129="","",IF($C129&gt;'설정 Settings'!$C$36,"$2,000 초과: 은행 한도 확인, 나눠 받기 (F36)",""))</f>
      </c>
      <c r="J129" s="41">
        <f>IF($B129="","",IFERROR(INDEX('작업 Jobs'!$P$3:$P$1002,MATCH($B129,'작업 Jobs'!$A$3:$A$1002,0)),""))</f>
      </c>
    </row>
    <row r="130" spans="7:10" x14ac:dyDescent="0.25">
      <c r="G130" s="42">
        <f>IF($B130="","",IFERROR(INDEX('작업 Jobs'!$D$3:$D$1002,MATCH($B130,'작업 Jobs'!$A$3:$A$1002,0)),"작업 ID 없음"))</f>
      </c>
      <c r="H130" s="41">
        <f>IF($C130="","",IF($D130="CARD",ROUND($C130*'설정 Settings'!$C$34+'설정 Settings'!$C$35,2),0))</f>
      </c>
      <c r="I130" s="42">
        <f>IF($C130="","",IF($C130&gt;'설정 Settings'!$C$36,"$2,000 초과: 은행 한도 확인, 나눠 받기 (F36)",""))</f>
      </c>
      <c r="J130" s="41">
        <f>IF($B130="","",IFERROR(INDEX('작업 Jobs'!$P$3:$P$1002,MATCH($B130,'작업 Jobs'!$A$3:$A$1002,0)),""))</f>
      </c>
    </row>
    <row r="131" spans="7:10" x14ac:dyDescent="0.25">
      <c r="G131" s="42">
        <f>IF($B131="","",IFERROR(INDEX('작업 Jobs'!$D$3:$D$1002,MATCH($B131,'작업 Jobs'!$A$3:$A$1002,0)),"작업 ID 없음"))</f>
      </c>
      <c r="H131" s="41">
        <f>IF($C131="","",IF($D131="CARD",ROUND($C131*'설정 Settings'!$C$34+'설정 Settings'!$C$35,2),0))</f>
      </c>
      <c r="I131" s="42">
        <f>IF($C131="","",IF($C131&gt;'설정 Settings'!$C$36,"$2,000 초과: 은행 한도 확인, 나눠 받기 (F36)",""))</f>
      </c>
      <c r="J131" s="41">
        <f>IF($B131="","",IFERROR(INDEX('작업 Jobs'!$P$3:$P$1002,MATCH($B131,'작업 Jobs'!$A$3:$A$1002,0)),""))</f>
      </c>
    </row>
    <row r="132" spans="7:10" x14ac:dyDescent="0.25">
      <c r="G132" s="42">
        <f>IF($B132="","",IFERROR(INDEX('작업 Jobs'!$D$3:$D$1002,MATCH($B132,'작업 Jobs'!$A$3:$A$1002,0)),"작업 ID 없음"))</f>
      </c>
      <c r="H132" s="41">
        <f>IF($C132="","",IF($D132="CARD",ROUND($C132*'설정 Settings'!$C$34+'설정 Settings'!$C$35,2),0))</f>
      </c>
      <c r="I132" s="42">
        <f>IF($C132="","",IF($C132&gt;'설정 Settings'!$C$36,"$2,000 초과: 은행 한도 확인, 나눠 받기 (F36)",""))</f>
      </c>
      <c r="J132" s="41">
        <f>IF($B132="","",IFERROR(INDEX('작업 Jobs'!$P$3:$P$1002,MATCH($B132,'작업 Jobs'!$A$3:$A$1002,0)),""))</f>
      </c>
    </row>
    <row r="133" spans="7:10" x14ac:dyDescent="0.25">
      <c r="G133" s="42">
        <f>IF($B133="","",IFERROR(INDEX('작업 Jobs'!$D$3:$D$1002,MATCH($B133,'작업 Jobs'!$A$3:$A$1002,0)),"작업 ID 없음"))</f>
      </c>
      <c r="H133" s="41">
        <f>IF($C133="","",IF($D133="CARD",ROUND($C133*'설정 Settings'!$C$34+'설정 Settings'!$C$35,2),0))</f>
      </c>
      <c r="I133" s="42">
        <f>IF($C133="","",IF($C133&gt;'설정 Settings'!$C$36,"$2,000 초과: 은행 한도 확인, 나눠 받기 (F36)",""))</f>
      </c>
      <c r="J133" s="41">
        <f>IF($B133="","",IFERROR(INDEX('작업 Jobs'!$P$3:$P$1002,MATCH($B133,'작업 Jobs'!$A$3:$A$1002,0)),""))</f>
      </c>
    </row>
    <row r="134" spans="7:10" x14ac:dyDescent="0.25">
      <c r="G134" s="42">
        <f>IF($B134="","",IFERROR(INDEX('작업 Jobs'!$D$3:$D$1002,MATCH($B134,'작업 Jobs'!$A$3:$A$1002,0)),"작업 ID 없음"))</f>
      </c>
      <c r="H134" s="41">
        <f>IF($C134="","",IF($D134="CARD",ROUND($C134*'설정 Settings'!$C$34+'설정 Settings'!$C$35,2),0))</f>
      </c>
      <c r="I134" s="42">
        <f>IF($C134="","",IF($C134&gt;'설정 Settings'!$C$36,"$2,000 초과: 은행 한도 확인, 나눠 받기 (F36)",""))</f>
      </c>
      <c r="J134" s="41">
        <f>IF($B134="","",IFERROR(INDEX('작업 Jobs'!$P$3:$P$1002,MATCH($B134,'작업 Jobs'!$A$3:$A$1002,0)),""))</f>
      </c>
    </row>
    <row r="135" spans="7:10" x14ac:dyDescent="0.25">
      <c r="G135" s="42">
        <f>IF($B135="","",IFERROR(INDEX('작업 Jobs'!$D$3:$D$1002,MATCH($B135,'작업 Jobs'!$A$3:$A$1002,0)),"작업 ID 없음"))</f>
      </c>
      <c r="H135" s="41">
        <f>IF($C135="","",IF($D135="CARD",ROUND($C135*'설정 Settings'!$C$34+'설정 Settings'!$C$35,2),0))</f>
      </c>
      <c r="I135" s="42">
        <f>IF($C135="","",IF($C135&gt;'설정 Settings'!$C$36,"$2,000 초과: 은행 한도 확인, 나눠 받기 (F36)",""))</f>
      </c>
      <c r="J135" s="41">
        <f>IF($B135="","",IFERROR(INDEX('작업 Jobs'!$P$3:$P$1002,MATCH($B135,'작업 Jobs'!$A$3:$A$1002,0)),""))</f>
      </c>
    </row>
    <row r="136" spans="7:10" x14ac:dyDescent="0.25">
      <c r="G136" s="42">
        <f>IF($B136="","",IFERROR(INDEX('작업 Jobs'!$D$3:$D$1002,MATCH($B136,'작업 Jobs'!$A$3:$A$1002,0)),"작업 ID 없음"))</f>
      </c>
      <c r="H136" s="41">
        <f>IF($C136="","",IF($D136="CARD",ROUND($C136*'설정 Settings'!$C$34+'설정 Settings'!$C$35,2),0))</f>
      </c>
      <c r="I136" s="42">
        <f>IF($C136="","",IF($C136&gt;'설정 Settings'!$C$36,"$2,000 초과: 은행 한도 확인, 나눠 받기 (F36)",""))</f>
      </c>
      <c r="J136" s="41">
        <f>IF($B136="","",IFERROR(INDEX('작업 Jobs'!$P$3:$P$1002,MATCH($B136,'작업 Jobs'!$A$3:$A$1002,0)),""))</f>
      </c>
    </row>
    <row r="137" spans="7:10" x14ac:dyDescent="0.25">
      <c r="G137" s="42">
        <f>IF($B137="","",IFERROR(INDEX('작업 Jobs'!$D$3:$D$1002,MATCH($B137,'작업 Jobs'!$A$3:$A$1002,0)),"작업 ID 없음"))</f>
      </c>
      <c r="H137" s="41">
        <f>IF($C137="","",IF($D137="CARD",ROUND($C137*'설정 Settings'!$C$34+'설정 Settings'!$C$35,2),0))</f>
      </c>
      <c r="I137" s="42">
        <f>IF($C137="","",IF($C137&gt;'설정 Settings'!$C$36,"$2,000 초과: 은행 한도 확인, 나눠 받기 (F36)",""))</f>
      </c>
      <c r="J137" s="41">
        <f>IF($B137="","",IFERROR(INDEX('작업 Jobs'!$P$3:$P$1002,MATCH($B137,'작업 Jobs'!$A$3:$A$1002,0)),""))</f>
      </c>
    </row>
    <row r="138" spans="7:10" x14ac:dyDescent="0.25">
      <c r="G138" s="42">
        <f>IF($B138="","",IFERROR(INDEX('작업 Jobs'!$D$3:$D$1002,MATCH($B138,'작업 Jobs'!$A$3:$A$1002,0)),"작업 ID 없음"))</f>
      </c>
      <c r="H138" s="41">
        <f>IF($C138="","",IF($D138="CARD",ROUND($C138*'설정 Settings'!$C$34+'설정 Settings'!$C$35,2),0))</f>
      </c>
      <c r="I138" s="42">
        <f>IF($C138="","",IF($C138&gt;'설정 Settings'!$C$36,"$2,000 초과: 은행 한도 확인, 나눠 받기 (F36)",""))</f>
      </c>
      <c r="J138" s="41">
        <f>IF($B138="","",IFERROR(INDEX('작업 Jobs'!$P$3:$P$1002,MATCH($B138,'작업 Jobs'!$A$3:$A$1002,0)),""))</f>
      </c>
    </row>
    <row r="139" spans="7:10" x14ac:dyDescent="0.25">
      <c r="G139" s="42">
        <f>IF($B139="","",IFERROR(INDEX('작업 Jobs'!$D$3:$D$1002,MATCH($B139,'작업 Jobs'!$A$3:$A$1002,0)),"작업 ID 없음"))</f>
      </c>
      <c r="H139" s="41">
        <f>IF($C139="","",IF($D139="CARD",ROUND($C139*'설정 Settings'!$C$34+'설정 Settings'!$C$35,2),0))</f>
      </c>
      <c r="I139" s="42">
        <f>IF($C139="","",IF($C139&gt;'설정 Settings'!$C$36,"$2,000 초과: 은행 한도 확인, 나눠 받기 (F36)",""))</f>
      </c>
      <c r="J139" s="41">
        <f>IF($B139="","",IFERROR(INDEX('작업 Jobs'!$P$3:$P$1002,MATCH($B139,'작업 Jobs'!$A$3:$A$1002,0)),""))</f>
      </c>
    </row>
    <row r="140" spans="7:10" x14ac:dyDescent="0.25">
      <c r="G140" s="42">
        <f>IF($B140="","",IFERROR(INDEX('작업 Jobs'!$D$3:$D$1002,MATCH($B140,'작업 Jobs'!$A$3:$A$1002,0)),"작업 ID 없음"))</f>
      </c>
      <c r="H140" s="41">
        <f>IF($C140="","",IF($D140="CARD",ROUND($C140*'설정 Settings'!$C$34+'설정 Settings'!$C$35,2),0))</f>
      </c>
      <c r="I140" s="42">
        <f>IF($C140="","",IF($C140&gt;'설정 Settings'!$C$36,"$2,000 초과: 은행 한도 확인, 나눠 받기 (F36)",""))</f>
      </c>
      <c r="J140" s="41">
        <f>IF($B140="","",IFERROR(INDEX('작업 Jobs'!$P$3:$P$1002,MATCH($B140,'작업 Jobs'!$A$3:$A$1002,0)),""))</f>
      </c>
    </row>
    <row r="141" spans="7:10" x14ac:dyDescent="0.25">
      <c r="G141" s="42">
        <f>IF($B141="","",IFERROR(INDEX('작업 Jobs'!$D$3:$D$1002,MATCH($B141,'작업 Jobs'!$A$3:$A$1002,0)),"작업 ID 없음"))</f>
      </c>
      <c r="H141" s="41">
        <f>IF($C141="","",IF($D141="CARD",ROUND($C141*'설정 Settings'!$C$34+'설정 Settings'!$C$35,2),0))</f>
      </c>
      <c r="I141" s="42">
        <f>IF($C141="","",IF($C141&gt;'설정 Settings'!$C$36,"$2,000 초과: 은행 한도 확인, 나눠 받기 (F36)",""))</f>
      </c>
      <c r="J141" s="41">
        <f>IF($B141="","",IFERROR(INDEX('작업 Jobs'!$P$3:$P$1002,MATCH($B141,'작업 Jobs'!$A$3:$A$1002,0)),""))</f>
      </c>
    </row>
    <row r="142" spans="7:10" x14ac:dyDescent="0.25">
      <c r="G142" s="42">
        <f>IF($B142="","",IFERROR(INDEX('작업 Jobs'!$D$3:$D$1002,MATCH($B142,'작업 Jobs'!$A$3:$A$1002,0)),"작업 ID 없음"))</f>
      </c>
      <c r="H142" s="41">
        <f>IF($C142="","",IF($D142="CARD",ROUND($C142*'설정 Settings'!$C$34+'설정 Settings'!$C$35,2),0))</f>
      </c>
      <c r="I142" s="42">
        <f>IF($C142="","",IF($C142&gt;'설정 Settings'!$C$36,"$2,000 초과: 은행 한도 확인, 나눠 받기 (F36)",""))</f>
      </c>
      <c r="J142" s="41">
        <f>IF($B142="","",IFERROR(INDEX('작업 Jobs'!$P$3:$P$1002,MATCH($B142,'작업 Jobs'!$A$3:$A$1002,0)),""))</f>
      </c>
    </row>
    <row r="143" spans="7:10" x14ac:dyDescent="0.25">
      <c r="G143" s="42">
        <f>IF($B143="","",IFERROR(INDEX('작업 Jobs'!$D$3:$D$1002,MATCH($B143,'작업 Jobs'!$A$3:$A$1002,0)),"작업 ID 없음"))</f>
      </c>
      <c r="H143" s="41">
        <f>IF($C143="","",IF($D143="CARD",ROUND($C143*'설정 Settings'!$C$34+'설정 Settings'!$C$35,2),0))</f>
      </c>
      <c r="I143" s="42">
        <f>IF($C143="","",IF($C143&gt;'설정 Settings'!$C$36,"$2,000 초과: 은행 한도 확인, 나눠 받기 (F36)",""))</f>
      </c>
      <c r="J143" s="41">
        <f>IF($B143="","",IFERROR(INDEX('작업 Jobs'!$P$3:$P$1002,MATCH($B143,'작업 Jobs'!$A$3:$A$1002,0)),""))</f>
      </c>
    </row>
    <row r="144" spans="7:10" x14ac:dyDescent="0.25">
      <c r="G144" s="42">
        <f>IF($B144="","",IFERROR(INDEX('작업 Jobs'!$D$3:$D$1002,MATCH($B144,'작업 Jobs'!$A$3:$A$1002,0)),"작업 ID 없음"))</f>
      </c>
      <c r="H144" s="41">
        <f>IF($C144="","",IF($D144="CARD",ROUND($C144*'설정 Settings'!$C$34+'설정 Settings'!$C$35,2),0))</f>
      </c>
      <c r="I144" s="42">
        <f>IF($C144="","",IF($C144&gt;'설정 Settings'!$C$36,"$2,000 초과: 은행 한도 확인, 나눠 받기 (F36)",""))</f>
      </c>
      <c r="J144" s="41">
        <f>IF($B144="","",IFERROR(INDEX('작업 Jobs'!$P$3:$P$1002,MATCH($B144,'작업 Jobs'!$A$3:$A$1002,0)),""))</f>
      </c>
    </row>
    <row r="145" spans="7:10" x14ac:dyDescent="0.25">
      <c r="G145" s="42">
        <f>IF($B145="","",IFERROR(INDEX('작업 Jobs'!$D$3:$D$1002,MATCH($B145,'작업 Jobs'!$A$3:$A$1002,0)),"작업 ID 없음"))</f>
      </c>
      <c r="H145" s="41">
        <f>IF($C145="","",IF($D145="CARD",ROUND($C145*'설정 Settings'!$C$34+'설정 Settings'!$C$35,2),0))</f>
      </c>
      <c r="I145" s="42">
        <f>IF($C145="","",IF($C145&gt;'설정 Settings'!$C$36,"$2,000 초과: 은행 한도 확인, 나눠 받기 (F36)",""))</f>
      </c>
      <c r="J145" s="41">
        <f>IF($B145="","",IFERROR(INDEX('작업 Jobs'!$P$3:$P$1002,MATCH($B145,'작업 Jobs'!$A$3:$A$1002,0)),""))</f>
      </c>
    </row>
    <row r="146" spans="7:10" x14ac:dyDescent="0.25">
      <c r="G146" s="42">
        <f>IF($B146="","",IFERROR(INDEX('작업 Jobs'!$D$3:$D$1002,MATCH($B146,'작업 Jobs'!$A$3:$A$1002,0)),"작업 ID 없음"))</f>
      </c>
      <c r="H146" s="41">
        <f>IF($C146="","",IF($D146="CARD",ROUND($C146*'설정 Settings'!$C$34+'설정 Settings'!$C$35,2),0))</f>
      </c>
      <c r="I146" s="42">
        <f>IF($C146="","",IF($C146&gt;'설정 Settings'!$C$36,"$2,000 초과: 은행 한도 확인, 나눠 받기 (F36)",""))</f>
      </c>
      <c r="J146" s="41">
        <f>IF($B146="","",IFERROR(INDEX('작업 Jobs'!$P$3:$P$1002,MATCH($B146,'작업 Jobs'!$A$3:$A$1002,0)),""))</f>
      </c>
    </row>
    <row r="147" spans="7:10" x14ac:dyDescent="0.25">
      <c r="G147" s="42">
        <f>IF($B147="","",IFERROR(INDEX('작업 Jobs'!$D$3:$D$1002,MATCH($B147,'작업 Jobs'!$A$3:$A$1002,0)),"작업 ID 없음"))</f>
      </c>
      <c r="H147" s="41">
        <f>IF($C147="","",IF($D147="CARD",ROUND($C147*'설정 Settings'!$C$34+'설정 Settings'!$C$35,2),0))</f>
      </c>
      <c r="I147" s="42">
        <f>IF($C147="","",IF($C147&gt;'설정 Settings'!$C$36,"$2,000 초과: 은행 한도 확인, 나눠 받기 (F36)",""))</f>
      </c>
      <c r="J147" s="41">
        <f>IF($B147="","",IFERROR(INDEX('작업 Jobs'!$P$3:$P$1002,MATCH($B147,'작업 Jobs'!$A$3:$A$1002,0)),""))</f>
      </c>
    </row>
    <row r="148" spans="7:10" x14ac:dyDescent="0.25">
      <c r="G148" s="42">
        <f>IF($B148="","",IFERROR(INDEX('작업 Jobs'!$D$3:$D$1002,MATCH($B148,'작업 Jobs'!$A$3:$A$1002,0)),"작업 ID 없음"))</f>
      </c>
      <c r="H148" s="41">
        <f>IF($C148="","",IF($D148="CARD",ROUND($C148*'설정 Settings'!$C$34+'설정 Settings'!$C$35,2),0))</f>
      </c>
      <c r="I148" s="42">
        <f>IF($C148="","",IF($C148&gt;'설정 Settings'!$C$36,"$2,000 초과: 은행 한도 확인, 나눠 받기 (F36)",""))</f>
      </c>
      <c r="J148" s="41">
        <f>IF($B148="","",IFERROR(INDEX('작업 Jobs'!$P$3:$P$1002,MATCH($B148,'작업 Jobs'!$A$3:$A$1002,0)),""))</f>
      </c>
    </row>
    <row r="149" spans="7:10" x14ac:dyDescent="0.25">
      <c r="G149" s="42">
        <f>IF($B149="","",IFERROR(INDEX('작업 Jobs'!$D$3:$D$1002,MATCH($B149,'작업 Jobs'!$A$3:$A$1002,0)),"작업 ID 없음"))</f>
      </c>
      <c r="H149" s="41">
        <f>IF($C149="","",IF($D149="CARD",ROUND($C149*'설정 Settings'!$C$34+'설정 Settings'!$C$35,2),0))</f>
      </c>
      <c r="I149" s="42">
        <f>IF($C149="","",IF($C149&gt;'설정 Settings'!$C$36,"$2,000 초과: 은행 한도 확인, 나눠 받기 (F36)",""))</f>
      </c>
      <c r="J149" s="41">
        <f>IF($B149="","",IFERROR(INDEX('작업 Jobs'!$P$3:$P$1002,MATCH($B149,'작업 Jobs'!$A$3:$A$1002,0)),""))</f>
      </c>
    </row>
    <row r="150" spans="7:10" x14ac:dyDescent="0.25">
      <c r="G150" s="42">
        <f>IF($B150="","",IFERROR(INDEX('작업 Jobs'!$D$3:$D$1002,MATCH($B150,'작업 Jobs'!$A$3:$A$1002,0)),"작업 ID 없음"))</f>
      </c>
      <c r="H150" s="41">
        <f>IF($C150="","",IF($D150="CARD",ROUND($C150*'설정 Settings'!$C$34+'설정 Settings'!$C$35,2),0))</f>
      </c>
      <c r="I150" s="42">
        <f>IF($C150="","",IF($C150&gt;'설정 Settings'!$C$36,"$2,000 초과: 은행 한도 확인, 나눠 받기 (F36)",""))</f>
      </c>
      <c r="J150" s="41">
        <f>IF($B150="","",IFERROR(INDEX('작업 Jobs'!$P$3:$P$1002,MATCH($B150,'작업 Jobs'!$A$3:$A$1002,0)),""))</f>
      </c>
    </row>
    <row r="151" spans="7:10" x14ac:dyDescent="0.25">
      <c r="G151" s="42">
        <f>IF($B151="","",IFERROR(INDEX('작업 Jobs'!$D$3:$D$1002,MATCH($B151,'작업 Jobs'!$A$3:$A$1002,0)),"작업 ID 없음"))</f>
      </c>
      <c r="H151" s="41">
        <f>IF($C151="","",IF($D151="CARD",ROUND($C151*'설정 Settings'!$C$34+'설정 Settings'!$C$35,2),0))</f>
      </c>
      <c r="I151" s="42">
        <f>IF($C151="","",IF($C151&gt;'설정 Settings'!$C$36,"$2,000 초과: 은행 한도 확인, 나눠 받기 (F36)",""))</f>
      </c>
      <c r="J151" s="41">
        <f>IF($B151="","",IFERROR(INDEX('작업 Jobs'!$P$3:$P$1002,MATCH($B151,'작업 Jobs'!$A$3:$A$1002,0)),""))</f>
      </c>
    </row>
    <row r="152" spans="7:10" x14ac:dyDescent="0.25">
      <c r="G152" s="42">
        <f>IF($B152="","",IFERROR(INDEX('작업 Jobs'!$D$3:$D$1002,MATCH($B152,'작업 Jobs'!$A$3:$A$1002,0)),"작업 ID 없음"))</f>
      </c>
      <c r="H152" s="41">
        <f>IF($C152="","",IF($D152="CARD",ROUND($C152*'설정 Settings'!$C$34+'설정 Settings'!$C$35,2),0))</f>
      </c>
      <c r="I152" s="42">
        <f>IF($C152="","",IF($C152&gt;'설정 Settings'!$C$36,"$2,000 초과: 은행 한도 확인, 나눠 받기 (F36)",""))</f>
      </c>
      <c r="J152" s="41">
        <f>IF($B152="","",IFERROR(INDEX('작업 Jobs'!$P$3:$P$1002,MATCH($B152,'작업 Jobs'!$A$3:$A$1002,0)),""))</f>
      </c>
    </row>
    <row r="153" spans="7:10" x14ac:dyDescent="0.25">
      <c r="G153" s="42">
        <f>IF($B153="","",IFERROR(INDEX('작업 Jobs'!$D$3:$D$1002,MATCH($B153,'작업 Jobs'!$A$3:$A$1002,0)),"작업 ID 없음"))</f>
      </c>
      <c r="H153" s="41">
        <f>IF($C153="","",IF($D153="CARD",ROUND($C153*'설정 Settings'!$C$34+'설정 Settings'!$C$35,2),0))</f>
      </c>
      <c r="I153" s="42">
        <f>IF($C153="","",IF($C153&gt;'설정 Settings'!$C$36,"$2,000 초과: 은행 한도 확인, 나눠 받기 (F36)",""))</f>
      </c>
      <c r="J153" s="41">
        <f>IF($B153="","",IFERROR(INDEX('작업 Jobs'!$P$3:$P$1002,MATCH($B153,'작업 Jobs'!$A$3:$A$1002,0)),""))</f>
      </c>
    </row>
    <row r="154" spans="7:10" x14ac:dyDescent="0.25">
      <c r="G154" s="42">
        <f>IF($B154="","",IFERROR(INDEX('작업 Jobs'!$D$3:$D$1002,MATCH($B154,'작업 Jobs'!$A$3:$A$1002,0)),"작업 ID 없음"))</f>
      </c>
      <c r="H154" s="41">
        <f>IF($C154="","",IF($D154="CARD",ROUND($C154*'설정 Settings'!$C$34+'설정 Settings'!$C$35,2),0))</f>
      </c>
      <c r="I154" s="42">
        <f>IF($C154="","",IF($C154&gt;'설정 Settings'!$C$36,"$2,000 초과: 은행 한도 확인, 나눠 받기 (F36)",""))</f>
      </c>
      <c r="J154" s="41">
        <f>IF($B154="","",IFERROR(INDEX('작업 Jobs'!$P$3:$P$1002,MATCH($B154,'작업 Jobs'!$A$3:$A$1002,0)),""))</f>
      </c>
    </row>
    <row r="155" spans="7:10" x14ac:dyDescent="0.25">
      <c r="G155" s="42">
        <f>IF($B155="","",IFERROR(INDEX('작업 Jobs'!$D$3:$D$1002,MATCH($B155,'작업 Jobs'!$A$3:$A$1002,0)),"작업 ID 없음"))</f>
      </c>
      <c r="H155" s="41">
        <f>IF($C155="","",IF($D155="CARD",ROUND($C155*'설정 Settings'!$C$34+'설정 Settings'!$C$35,2),0))</f>
      </c>
      <c r="I155" s="42">
        <f>IF($C155="","",IF($C155&gt;'설정 Settings'!$C$36,"$2,000 초과: 은행 한도 확인, 나눠 받기 (F36)",""))</f>
      </c>
      <c r="J155" s="41">
        <f>IF($B155="","",IFERROR(INDEX('작업 Jobs'!$P$3:$P$1002,MATCH($B155,'작업 Jobs'!$A$3:$A$1002,0)),""))</f>
      </c>
    </row>
    <row r="156" spans="7:10" x14ac:dyDescent="0.25">
      <c r="G156" s="42">
        <f>IF($B156="","",IFERROR(INDEX('작업 Jobs'!$D$3:$D$1002,MATCH($B156,'작업 Jobs'!$A$3:$A$1002,0)),"작업 ID 없음"))</f>
      </c>
      <c r="H156" s="41">
        <f>IF($C156="","",IF($D156="CARD",ROUND($C156*'설정 Settings'!$C$34+'설정 Settings'!$C$35,2),0))</f>
      </c>
      <c r="I156" s="42">
        <f>IF($C156="","",IF($C156&gt;'설정 Settings'!$C$36,"$2,000 초과: 은행 한도 확인, 나눠 받기 (F36)",""))</f>
      </c>
      <c r="J156" s="41">
        <f>IF($B156="","",IFERROR(INDEX('작업 Jobs'!$P$3:$P$1002,MATCH($B156,'작업 Jobs'!$A$3:$A$1002,0)),""))</f>
      </c>
    </row>
    <row r="157" spans="7:10" x14ac:dyDescent="0.25">
      <c r="G157" s="42">
        <f>IF($B157="","",IFERROR(INDEX('작업 Jobs'!$D$3:$D$1002,MATCH($B157,'작업 Jobs'!$A$3:$A$1002,0)),"작업 ID 없음"))</f>
      </c>
      <c r="H157" s="41">
        <f>IF($C157="","",IF($D157="CARD",ROUND($C157*'설정 Settings'!$C$34+'설정 Settings'!$C$35,2),0))</f>
      </c>
      <c r="I157" s="42">
        <f>IF($C157="","",IF($C157&gt;'설정 Settings'!$C$36,"$2,000 초과: 은행 한도 확인, 나눠 받기 (F36)",""))</f>
      </c>
      <c r="J157" s="41">
        <f>IF($B157="","",IFERROR(INDEX('작업 Jobs'!$P$3:$P$1002,MATCH($B157,'작업 Jobs'!$A$3:$A$1002,0)),""))</f>
      </c>
    </row>
    <row r="158" spans="7:10" x14ac:dyDescent="0.25">
      <c r="G158" s="42">
        <f>IF($B158="","",IFERROR(INDEX('작업 Jobs'!$D$3:$D$1002,MATCH($B158,'작업 Jobs'!$A$3:$A$1002,0)),"작업 ID 없음"))</f>
      </c>
      <c r="H158" s="41">
        <f>IF($C158="","",IF($D158="CARD",ROUND($C158*'설정 Settings'!$C$34+'설정 Settings'!$C$35,2),0))</f>
      </c>
      <c r="I158" s="42">
        <f>IF($C158="","",IF($C158&gt;'설정 Settings'!$C$36,"$2,000 초과: 은행 한도 확인, 나눠 받기 (F36)",""))</f>
      </c>
      <c r="J158" s="41">
        <f>IF($B158="","",IFERROR(INDEX('작업 Jobs'!$P$3:$P$1002,MATCH($B158,'작업 Jobs'!$A$3:$A$1002,0)),""))</f>
      </c>
    </row>
    <row r="159" spans="7:10" x14ac:dyDescent="0.25">
      <c r="G159" s="42">
        <f>IF($B159="","",IFERROR(INDEX('작업 Jobs'!$D$3:$D$1002,MATCH($B159,'작업 Jobs'!$A$3:$A$1002,0)),"작업 ID 없음"))</f>
      </c>
      <c r="H159" s="41">
        <f>IF($C159="","",IF($D159="CARD",ROUND($C159*'설정 Settings'!$C$34+'설정 Settings'!$C$35,2),0))</f>
      </c>
      <c r="I159" s="42">
        <f>IF($C159="","",IF($C159&gt;'설정 Settings'!$C$36,"$2,000 초과: 은행 한도 확인, 나눠 받기 (F36)",""))</f>
      </c>
      <c r="J159" s="41">
        <f>IF($B159="","",IFERROR(INDEX('작업 Jobs'!$P$3:$P$1002,MATCH($B159,'작업 Jobs'!$A$3:$A$1002,0)),""))</f>
      </c>
    </row>
    <row r="160" spans="7:10" x14ac:dyDescent="0.25">
      <c r="G160" s="42">
        <f>IF($B160="","",IFERROR(INDEX('작업 Jobs'!$D$3:$D$1002,MATCH($B160,'작업 Jobs'!$A$3:$A$1002,0)),"작업 ID 없음"))</f>
      </c>
      <c r="H160" s="41">
        <f>IF($C160="","",IF($D160="CARD",ROUND($C160*'설정 Settings'!$C$34+'설정 Settings'!$C$35,2),0))</f>
      </c>
      <c r="I160" s="42">
        <f>IF($C160="","",IF($C160&gt;'설정 Settings'!$C$36,"$2,000 초과: 은행 한도 확인, 나눠 받기 (F36)",""))</f>
      </c>
      <c r="J160" s="41">
        <f>IF($B160="","",IFERROR(INDEX('작업 Jobs'!$P$3:$P$1002,MATCH($B160,'작업 Jobs'!$A$3:$A$1002,0)),""))</f>
      </c>
    </row>
    <row r="161" spans="7:10" x14ac:dyDescent="0.25">
      <c r="G161" s="42">
        <f>IF($B161="","",IFERROR(INDEX('작업 Jobs'!$D$3:$D$1002,MATCH($B161,'작업 Jobs'!$A$3:$A$1002,0)),"작업 ID 없음"))</f>
      </c>
      <c r="H161" s="41">
        <f>IF($C161="","",IF($D161="CARD",ROUND($C161*'설정 Settings'!$C$34+'설정 Settings'!$C$35,2),0))</f>
      </c>
      <c r="I161" s="42">
        <f>IF($C161="","",IF($C161&gt;'설정 Settings'!$C$36,"$2,000 초과: 은행 한도 확인, 나눠 받기 (F36)",""))</f>
      </c>
      <c r="J161" s="41">
        <f>IF($B161="","",IFERROR(INDEX('작업 Jobs'!$P$3:$P$1002,MATCH($B161,'작업 Jobs'!$A$3:$A$1002,0)),""))</f>
      </c>
    </row>
    <row r="162" spans="7:10" x14ac:dyDescent="0.25">
      <c r="G162" s="42">
        <f>IF($B162="","",IFERROR(INDEX('작업 Jobs'!$D$3:$D$1002,MATCH($B162,'작업 Jobs'!$A$3:$A$1002,0)),"작업 ID 없음"))</f>
      </c>
      <c r="H162" s="41">
        <f>IF($C162="","",IF($D162="CARD",ROUND($C162*'설정 Settings'!$C$34+'설정 Settings'!$C$35,2),0))</f>
      </c>
      <c r="I162" s="42">
        <f>IF($C162="","",IF($C162&gt;'설정 Settings'!$C$36,"$2,000 초과: 은행 한도 확인, 나눠 받기 (F36)",""))</f>
      </c>
      <c r="J162" s="41">
        <f>IF($B162="","",IFERROR(INDEX('작업 Jobs'!$P$3:$P$1002,MATCH($B162,'작업 Jobs'!$A$3:$A$1002,0)),""))</f>
      </c>
    </row>
    <row r="163" spans="7:10" x14ac:dyDescent="0.25">
      <c r="G163" s="42">
        <f>IF($B163="","",IFERROR(INDEX('작업 Jobs'!$D$3:$D$1002,MATCH($B163,'작업 Jobs'!$A$3:$A$1002,0)),"작업 ID 없음"))</f>
      </c>
      <c r="H163" s="41">
        <f>IF($C163="","",IF($D163="CARD",ROUND($C163*'설정 Settings'!$C$34+'설정 Settings'!$C$35,2),0))</f>
      </c>
      <c r="I163" s="42">
        <f>IF($C163="","",IF($C163&gt;'설정 Settings'!$C$36,"$2,000 초과: 은행 한도 확인, 나눠 받기 (F36)",""))</f>
      </c>
      <c r="J163" s="41">
        <f>IF($B163="","",IFERROR(INDEX('작업 Jobs'!$P$3:$P$1002,MATCH($B163,'작업 Jobs'!$A$3:$A$1002,0)),""))</f>
      </c>
    </row>
    <row r="164" spans="7:10" x14ac:dyDescent="0.25">
      <c r="G164" s="42">
        <f>IF($B164="","",IFERROR(INDEX('작업 Jobs'!$D$3:$D$1002,MATCH($B164,'작업 Jobs'!$A$3:$A$1002,0)),"작업 ID 없음"))</f>
      </c>
      <c r="H164" s="41">
        <f>IF($C164="","",IF($D164="CARD",ROUND($C164*'설정 Settings'!$C$34+'설정 Settings'!$C$35,2),0))</f>
      </c>
      <c r="I164" s="42">
        <f>IF($C164="","",IF($C164&gt;'설정 Settings'!$C$36,"$2,000 초과: 은행 한도 확인, 나눠 받기 (F36)",""))</f>
      </c>
      <c r="J164" s="41">
        <f>IF($B164="","",IFERROR(INDEX('작업 Jobs'!$P$3:$P$1002,MATCH($B164,'작업 Jobs'!$A$3:$A$1002,0)),""))</f>
      </c>
    </row>
    <row r="165" spans="7:10" x14ac:dyDescent="0.25">
      <c r="G165" s="42">
        <f>IF($B165="","",IFERROR(INDEX('작업 Jobs'!$D$3:$D$1002,MATCH($B165,'작업 Jobs'!$A$3:$A$1002,0)),"작업 ID 없음"))</f>
      </c>
      <c r="H165" s="41">
        <f>IF($C165="","",IF($D165="CARD",ROUND($C165*'설정 Settings'!$C$34+'설정 Settings'!$C$35,2),0))</f>
      </c>
      <c r="I165" s="42">
        <f>IF($C165="","",IF($C165&gt;'설정 Settings'!$C$36,"$2,000 초과: 은행 한도 확인, 나눠 받기 (F36)",""))</f>
      </c>
      <c r="J165" s="41">
        <f>IF($B165="","",IFERROR(INDEX('작업 Jobs'!$P$3:$P$1002,MATCH($B165,'작업 Jobs'!$A$3:$A$1002,0)),""))</f>
      </c>
    </row>
    <row r="166" spans="7:10" x14ac:dyDescent="0.25">
      <c r="G166" s="42">
        <f>IF($B166="","",IFERROR(INDEX('작업 Jobs'!$D$3:$D$1002,MATCH($B166,'작업 Jobs'!$A$3:$A$1002,0)),"작업 ID 없음"))</f>
      </c>
      <c r="H166" s="41">
        <f>IF($C166="","",IF($D166="CARD",ROUND($C166*'설정 Settings'!$C$34+'설정 Settings'!$C$35,2),0))</f>
      </c>
      <c r="I166" s="42">
        <f>IF($C166="","",IF($C166&gt;'설정 Settings'!$C$36,"$2,000 초과: 은행 한도 확인, 나눠 받기 (F36)",""))</f>
      </c>
      <c r="J166" s="41">
        <f>IF($B166="","",IFERROR(INDEX('작업 Jobs'!$P$3:$P$1002,MATCH($B166,'작업 Jobs'!$A$3:$A$1002,0)),""))</f>
      </c>
    </row>
    <row r="167" spans="7:10" x14ac:dyDescent="0.25">
      <c r="G167" s="42">
        <f>IF($B167="","",IFERROR(INDEX('작업 Jobs'!$D$3:$D$1002,MATCH($B167,'작업 Jobs'!$A$3:$A$1002,0)),"작업 ID 없음"))</f>
      </c>
      <c r="H167" s="41">
        <f>IF($C167="","",IF($D167="CARD",ROUND($C167*'설정 Settings'!$C$34+'설정 Settings'!$C$35,2),0))</f>
      </c>
      <c r="I167" s="42">
        <f>IF($C167="","",IF($C167&gt;'설정 Settings'!$C$36,"$2,000 초과: 은행 한도 확인, 나눠 받기 (F36)",""))</f>
      </c>
      <c r="J167" s="41">
        <f>IF($B167="","",IFERROR(INDEX('작업 Jobs'!$P$3:$P$1002,MATCH($B167,'작업 Jobs'!$A$3:$A$1002,0)),""))</f>
      </c>
    </row>
    <row r="168" spans="7:10" x14ac:dyDescent="0.25">
      <c r="G168" s="42">
        <f>IF($B168="","",IFERROR(INDEX('작업 Jobs'!$D$3:$D$1002,MATCH($B168,'작업 Jobs'!$A$3:$A$1002,0)),"작업 ID 없음"))</f>
      </c>
      <c r="H168" s="41">
        <f>IF($C168="","",IF($D168="CARD",ROUND($C168*'설정 Settings'!$C$34+'설정 Settings'!$C$35,2),0))</f>
      </c>
      <c r="I168" s="42">
        <f>IF($C168="","",IF($C168&gt;'설정 Settings'!$C$36,"$2,000 초과: 은행 한도 확인, 나눠 받기 (F36)",""))</f>
      </c>
      <c r="J168" s="41">
        <f>IF($B168="","",IFERROR(INDEX('작업 Jobs'!$P$3:$P$1002,MATCH($B168,'작업 Jobs'!$A$3:$A$1002,0)),""))</f>
      </c>
    </row>
    <row r="169" spans="7:10" x14ac:dyDescent="0.25">
      <c r="G169" s="42">
        <f>IF($B169="","",IFERROR(INDEX('작업 Jobs'!$D$3:$D$1002,MATCH($B169,'작업 Jobs'!$A$3:$A$1002,0)),"작업 ID 없음"))</f>
      </c>
      <c r="H169" s="41">
        <f>IF($C169="","",IF($D169="CARD",ROUND($C169*'설정 Settings'!$C$34+'설정 Settings'!$C$35,2),0))</f>
      </c>
      <c r="I169" s="42">
        <f>IF($C169="","",IF($C169&gt;'설정 Settings'!$C$36,"$2,000 초과: 은행 한도 확인, 나눠 받기 (F36)",""))</f>
      </c>
      <c r="J169" s="41">
        <f>IF($B169="","",IFERROR(INDEX('작업 Jobs'!$P$3:$P$1002,MATCH($B169,'작업 Jobs'!$A$3:$A$1002,0)),""))</f>
      </c>
    </row>
    <row r="170" spans="7:10" x14ac:dyDescent="0.25">
      <c r="G170" s="42">
        <f>IF($B170="","",IFERROR(INDEX('작업 Jobs'!$D$3:$D$1002,MATCH($B170,'작업 Jobs'!$A$3:$A$1002,0)),"작업 ID 없음"))</f>
      </c>
      <c r="H170" s="41">
        <f>IF($C170="","",IF($D170="CARD",ROUND($C170*'설정 Settings'!$C$34+'설정 Settings'!$C$35,2),0))</f>
      </c>
      <c r="I170" s="42">
        <f>IF($C170="","",IF($C170&gt;'설정 Settings'!$C$36,"$2,000 초과: 은행 한도 확인, 나눠 받기 (F36)",""))</f>
      </c>
      <c r="J170" s="41">
        <f>IF($B170="","",IFERROR(INDEX('작업 Jobs'!$P$3:$P$1002,MATCH($B170,'작업 Jobs'!$A$3:$A$1002,0)),""))</f>
      </c>
    </row>
    <row r="171" spans="7:10" x14ac:dyDescent="0.25">
      <c r="G171" s="42">
        <f>IF($B171="","",IFERROR(INDEX('작업 Jobs'!$D$3:$D$1002,MATCH($B171,'작업 Jobs'!$A$3:$A$1002,0)),"작업 ID 없음"))</f>
      </c>
      <c r="H171" s="41">
        <f>IF($C171="","",IF($D171="CARD",ROUND($C171*'설정 Settings'!$C$34+'설정 Settings'!$C$35,2),0))</f>
      </c>
      <c r="I171" s="42">
        <f>IF($C171="","",IF($C171&gt;'설정 Settings'!$C$36,"$2,000 초과: 은행 한도 확인, 나눠 받기 (F36)",""))</f>
      </c>
      <c r="J171" s="41">
        <f>IF($B171="","",IFERROR(INDEX('작업 Jobs'!$P$3:$P$1002,MATCH($B171,'작업 Jobs'!$A$3:$A$1002,0)),""))</f>
      </c>
    </row>
    <row r="172" spans="7:10" x14ac:dyDescent="0.25">
      <c r="G172" s="42">
        <f>IF($B172="","",IFERROR(INDEX('작업 Jobs'!$D$3:$D$1002,MATCH($B172,'작업 Jobs'!$A$3:$A$1002,0)),"작업 ID 없음"))</f>
      </c>
      <c r="H172" s="41">
        <f>IF($C172="","",IF($D172="CARD",ROUND($C172*'설정 Settings'!$C$34+'설정 Settings'!$C$35,2),0))</f>
      </c>
      <c r="I172" s="42">
        <f>IF($C172="","",IF($C172&gt;'설정 Settings'!$C$36,"$2,000 초과: 은행 한도 확인, 나눠 받기 (F36)",""))</f>
      </c>
      <c r="J172" s="41">
        <f>IF($B172="","",IFERROR(INDEX('작업 Jobs'!$P$3:$P$1002,MATCH($B172,'작업 Jobs'!$A$3:$A$1002,0)),""))</f>
      </c>
    </row>
    <row r="173" spans="7:10" x14ac:dyDescent="0.25">
      <c r="G173" s="42">
        <f>IF($B173="","",IFERROR(INDEX('작업 Jobs'!$D$3:$D$1002,MATCH($B173,'작업 Jobs'!$A$3:$A$1002,0)),"작업 ID 없음"))</f>
      </c>
      <c r="H173" s="41">
        <f>IF($C173="","",IF($D173="CARD",ROUND($C173*'설정 Settings'!$C$34+'설정 Settings'!$C$35,2),0))</f>
      </c>
      <c r="I173" s="42">
        <f>IF($C173="","",IF($C173&gt;'설정 Settings'!$C$36,"$2,000 초과: 은행 한도 확인, 나눠 받기 (F36)",""))</f>
      </c>
      <c r="J173" s="41">
        <f>IF($B173="","",IFERROR(INDEX('작업 Jobs'!$P$3:$P$1002,MATCH($B173,'작업 Jobs'!$A$3:$A$1002,0)),""))</f>
      </c>
    </row>
    <row r="174" spans="7:10" x14ac:dyDescent="0.25">
      <c r="G174" s="42">
        <f>IF($B174="","",IFERROR(INDEX('작업 Jobs'!$D$3:$D$1002,MATCH($B174,'작업 Jobs'!$A$3:$A$1002,0)),"작업 ID 없음"))</f>
      </c>
      <c r="H174" s="41">
        <f>IF($C174="","",IF($D174="CARD",ROUND($C174*'설정 Settings'!$C$34+'설정 Settings'!$C$35,2),0))</f>
      </c>
      <c r="I174" s="42">
        <f>IF($C174="","",IF($C174&gt;'설정 Settings'!$C$36,"$2,000 초과: 은행 한도 확인, 나눠 받기 (F36)",""))</f>
      </c>
      <c r="J174" s="41">
        <f>IF($B174="","",IFERROR(INDEX('작업 Jobs'!$P$3:$P$1002,MATCH($B174,'작업 Jobs'!$A$3:$A$1002,0)),""))</f>
      </c>
    </row>
    <row r="175" spans="7:10" x14ac:dyDescent="0.25">
      <c r="G175" s="42">
        <f>IF($B175="","",IFERROR(INDEX('작업 Jobs'!$D$3:$D$1002,MATCH($B175,'작업 Jobs'!$A$3:$A$1002,0)),"작업 ID 없음"))</f>
      </c>
      <c r="H175" s="41">
        <f>IF($C175="","",IF($D175="CARD",ROUND($C175*'설정 Settings'!$C$34+'설정 Settings'!$C$35,2),0))</f>
      </c>
      <c r="I175" s="42">
        <f>IF($C175="","",IF($C175&gt;'설정 Settings'!$C$36,"$2,000 초과: 은행 한도 확인, 나눠 받기 (F36)",""))</f>
      </c>
      <c r="J175" s="41">
        <f>IF($B175="","",IFERROR(INDEX('작업 Jobs'!$P$3:$P$1002,MATCH($B175,'작업 Jobs'!$A$3:$A$1002,0)),""))</f>
      </c>
    </row>
    <row r="176" spans="7:10" x14ac:dyDescent="0.25">
      <c r="G176" s="42">
        <f>IF($B176="","",IFERROR(INDEX('작업 Jobs'!$D$3:$D$1002,MATCH($B176,'작업 Jobs'!$A$3:$A$1002,0)),"작업 ID 없음"))</f>
      </c>
      <c r="H176" s="41">
        <f>IF($C176="","",IF($D176="CARD",ROUND($C176*'설정 Settings'!$C$34+'설정 Settings'!$C$35,2),0))</f>
      </c>
      <c r="I176" s="42">
        <f>IF($C176="","",IF($C176&gt;'설정 Settings'!$C$36,"$2,000 초과: 은행 한도 확인, 나눠 받기 (F36)",""))</f>
      </c>
      <c r="J176" s="41">
        <f>IF($B176="","",IFERROR(INDEX('작업 Jobs'!$P$3:$P$1002,MATCH($B176,'작업 Jobs'!$A$3:$A$1002,0)),""))</f>
      </c>
    </row>
    <row r="177" spans="7:10" x14ac:dyDescent="0.25">
      <c r="G177" s="42">
        <f>IF($B177="","",IFERROR(INDEX('작업 Jobs'!$D$3:$D$1002,MATCH($B177,'작업 Jobs'!$A$3:$A$1002,0)),"작업 ID 없음"))</f>
      </c>
      <c r="H177" s="41">
        <f>IF($C177="","",IF($D177="CARD",ROUND($C177*'설정 Settings'!$C$34+'설정 Settings'!$C$35,2),0))</f>
      </c>
      <c r="I177" s="42">
        <f>IF($C177="","",IF($C177&gt;'설정 Settings'!$C$36,"$2,000 초과: 은행 한도 확인, 나눠 받기 (F36)",""))</f>
      </c>
      <c r="J177" s="41">
        <f>IF($B177="","",IFERROR(INDEX('작업 Jobs'!$P$3:$P$1002,MATCH($B177,'작업 Jobs'!$A$3:$A$1002,0)),""))</f>
      </c>
    </row>
    <row r="178" spans="7:10" x14ac:dyDescent="0.25">
      <c r="G178" s="42">
        <f>IF($B178="","",IFERROR(INDEX('작업 Jobs'!$D$3:$D$1002,MATCH($B178,'작업 Jobs'!$A$3:$A$1002,0)),"작업 ID 없음"))</f>
      </c>
      <c r="H178" s="41">
        <f>IF($C178="","",IF($D178="CARD",ROUND($C178*'설정 Settings'!$C$34+'설정 Settings'!$C$35,2),0))</f>
      </c>
      <c r="I178" s="42">
        <f>IF($C178="","",IF($C178&gt;'설정 Settings'!$C$36,"$2,000 초과: 은행 한도 확인, 나눠 받기 (F36)",""))</f>
      </c>
      <c r="J178" s="41">
        <f>IF($B178="","",IFERROR(INDEX('작업 Jobs'!$P$3:$P$1002,MATCH($B178,'작업 Jobs'!$A$3:$A$1002,0)),""))</f>
      </c>
    </row>
    <row r="179" spans="7:10" x14ac:dyDescent="0.25">
      <c r="G179" s="42">
        <f>IF($B179="","",IFERROR(INDEX('작업 Jobs'!$D$3:$D$1002,MATCH($B179,'작업 Jobs'!$A$3:$A$1002,0)),"작업 ID 없음"))</f>
      </c>
      <c r="H179" s="41">
        <f>IF($C179="","",IF($D179="CARD",ROUND($C179*'설정 Settings'!$C$34+'설정 Settings'!$C$35,2),0))</f>
      </c>
      <c r="I179" s="42">
        <f>IF($C179="","",IF($C179&gt;'설정 Settings'!$C$36,"$2,000 초과: 은행 한도 확인, 나눠 받기 (F36)",""))</f>
      </c>
      <c r="J179" s="41">
        <f>IF($B179="","",IFERROR(INDEX('작업 Jobs'!$P$3:$P$1002,MATCH($B179,'작업 Jobs'!$A$3:$A$1002,0)),""))</f>
      </c>
    </row>
    <row r="180" spans="7:10" x14ac:dyDescent="0.25">
      <c r="G180" s="42">
        <f>IF($B180="","",IFERROR(INDEX('작업 Jobs'!$D$3:$D$1002,MATCH($B180,'작업 Jobs'!$A$3:$A$1002,0)),"작업 ID 없음"))</f>
      </c>
      <c r="H180" s="41">
        <f>IF($C180="","",IF($D180="CARD",ROUND($C180*'설정 Settings'!$C$34+'설정 Settings'!$C$35,2),0))</f>
      </c>
      <c r="I180" s="42">
        <f>IF($C180="","",IF($C180&gt;'설정 Settings'!$C$36,"$2,000 초과: 은행 한도 확인, 나눠 받기 (F36)",""))</f>
      </c>
      <c r="J180" s="41">
        <f>IF($B180="","",IFERROR(INDEX('작업 Jobs'!$P$3:$P$1002,MATCH($B180,'작업 Jobs'!$A$3:$A$1002,0)),""))</f>
      </c>
    </row>
    <row r="181" spans="7:10" x14ac:dyDescent="0.25">
      <c r="G181" s="42">
        <f>IF($B181="","",IFERROR(INDEX('작업 Jobs'!$D$3:$D$1002,MATCH($B181,'작업 Jobs'!$A$3:$A$1002,0)),"작업 ID 없음"))</f>
      </c>
      <c r="H181" s="41">
        <f>IF($C181="","",IF($D181="CARD",ROUND($C181*'설정 Settings'!$C$34+'설정 Settings'!$C$35,2),0))</f>
      </c>
      <c r="I181" s="42">
        <f>IF($C181="","",IF($C181&gt;'설정 Settings'!$C$36,"$2,000 초과: 은행 한도 확인, 나눠 받기 (F36)",""))</f>
      </c>
      <c r="J181" s="41">
        <f>IF($B181="","",IFERROR(INDEX('작업 Jobs'!$P$3:$P$1002,MATCH($B181,'작업 Jobs'!$A$3:$A$1002,0)),""))</f>
      </c>
    </row>
    <row r="182" spans="7:10" x14ac:dyDescent="0.25">
      <c r="G182" s="42">
        <f>IF($B182="","",IFERROR(INDEX('작업 Jobs'!$D$3:$D$1002,MATCH($B182,'작업 Jobs'!$A$3:$A$1002,0)),"작업 ID 없음"))</f>
      </c>
      <c r="H182" s="41">
        <f>IF($C182="","",IF($D182="CARD",ROUND($C182*'설정 Settings'!$C$34+'설정 Settings'!$C$35,2),0))</f>
      </c>
      <c r="I182" s="42">
        <f>IF($C182="","",IF($C182&gt;'설정 Settings'!$C$36,"$2,000 초과: 은행 한도 확인, 나눠 받기 (F36)",""))</f>
      </c>
      <c r="J182" s="41">
        <f>IF($B182="","",IFERROR(INDEX('작업 Jobs'!$P$3:$P$1002,MATCH($B182,'작업 Jobs'!$A$3:$A$1002,0)),""))</f>
      </c>
    </row>
    <row r="183" spans="7:10" x14ac:dyDescent="0.25">
      <c r="G183" s="42">
        <f>IF($B183="","",IFERROR(INDEX('작업 Jobs'!$D$3:$D$1002,MATCH($B183,'작업 Jobs'!$A$3:$A$1002,0)),"작업 ID 없음"))</f>
      </c>
      <c r="H183" s="41">
        <f>IF($C183="","",IF($D183="CARD",ROUND($C183*'설정 Settings'!$C$34+'설정 Settings'!$C$35,2),0))</f>
      </c>
      <c r="I183" s="42">
        <f>IF($C183="","",IF($C183&gt;'설정 Settings'!$C$36,"$2,000 초과: 은행 한도 확인, 나눠 받기 (F36)",""))</f>
      </c>
      <c r="J183" s="41">
        <f>IF($B183="","",IFERROR(INDEX('작업 Jobs'!$P$3:$P$1002,MATCH($B183,'작업 Jobs'!$A$3:$A$1002,0)),""))</f>
      </c>
    </row>
    <row r="184" spans="7:10" x14ac:dyDescent="0.25">
      <c r="G184" s="42">
        <f>IF($B184="","",IFERROR(INDEX('작업 Jobs'!$D$3:$D$1002,MATCH($B184,'작업 Jobs'!$A$3:$A$1002,0)),"작업 ID 없음"))</f>
      </c>
      <c r="H184" s="41">
        <f>IF($C184="","",IF($D184="CARD",ROUND($C184*'설정 Settings'!$C$34+'설정 Settings'!$C$35,2),0))</f>
      </c>
      <c r="I184" s="42">
        <f>IF($C184="","",IF($C184&gt;'설정 Settings'!$C$36,"$2,000 초과: 은행 한도 확인, 나눠 받기 (F36)",""))</f>
      </c>
      <c r="J184" s="41">
        <f>IF($B184="","",IFERROR(INDEX('작업 Jobs'!$P$3:$P$1002,MATCH($B184,'작업 Jobs'!$A$3:$A$1002,0)),""))</f>
      </c>
    </row>
    <row r="185" spans="7:10" x14ac:dyDescent="0.25">
      <c r="G185" s="42">
        <f>IF($B185="","",IFERROR(INDEX('작업 Jobs'!$D$3:$D$1002,MATCH($B185,'작업 Jobs'!$A$3:$A$1002,0)),"작업 ID 없음"))</f>
      </c>
      <c r="H185" s="41">
        <f>IF($C185="","",IF($D185="CARD",ROUND($C185*'설정 Settings'!$C$34+'설정 Settings'!$C$35,2),0))</f>
      </c>
      <c r="I185" s="42">
        <f>IF($C185="","",IF($C185&gt;'설정 Settings'!$C$36,"$2,000 초과: 은행 한도 확인, 나눠 받기 (F36)",""))</f>
      </c>
      <c r="J185" s="41">
        <f>IF($B185="","",IFERROR(INDEX('작업 Jobs'!$P$3:$P$1002,MATCH($B185,'작업 Jobs'!$A$3:$A$1002,0)),""))</f>
      </c>
    </row>
    <row r="186" spans="7:10" x14ac:dyDescent="0.25">
      <c r="G186" s="42">
        <f>IF($B186="","",IFERROR(INDEX('작업 Jobs'!$D$3:$D$1002,MATCH($B186,'작업 Jobs'!$A$3:$A$1002,0)),"작업 ID 없음"))</f>
      </c>
      <c r="H186" s="41">
        <f>IF($C186="","",IF($D186="CARD",ROUND($C186*'설정 Settings'!$C$34+'설정 Settings'!$C$35,2),0))</f>
      </c>
      <c r="I186" s="42">
        <f>IF($C186="","",IF($C186&gt;'설정 Settings'!$C$36,"$2,000 초과: 은행 한도 확인, 나눠 받기 (F36)",""))</f>
      </c>
      <c r="J186" s="41">
        <f>IF($B186="","",IFERROR(INDEX('작업 Jobs'!$P$3:$P$1002,MATCH($B186,'작업 Jobs'!$A$3:$A$1002,0)),""))</f>
      </c>
    </row>
    <row r="187" spans="7:10" x14ac:dyDescent="0.25">
      <c r="G187" s="42">
        <f>IF($B187="","",IFERROR(INDEX('작업 Jobs'!$D$3:$D$1002,MATCH($B187,'작업 Jobs'!$A$3:$A$1002,0)),"작업 ID 없음"))</f>
      </c>
      <c r="H187" s="41">
        <f>IF($C187="","",IF($D187="CARD",ROUND($C187*'설정 Settings'!$C$34+'설정 Settings'!$C$35,2),0))</f>
      </c>
      <c r="I187" s="42">
        <f>IF($C187="","",IF($C187&gt;'설정 Settings'!$C$36,"$2,000 초과: 은행 한도 확인, 나눠 받기 (F36)",""))</f>
      </c>
      <c r="J187" s="41">
        <f>IF($B187="","",IFERROR(INDEX('작업 Jobs'!$P$3:$P$1002,MATCH($B187,'작업 Jobs'!$A$3:$A$1002,0)),""))</f>
      </c>
    </row>
    <row r="188" spans="7:10" x14ac:dyDescent="0.25">
      <c r="G188" s="42">
        <f>IF($B188="","",IFERROR(INDEX('작업 Jobs'!$D$3:$D$1002,MATCH($B188,'작업 Jobs'!$A$3:$A$1002,0)),"작업 ID 없음"))</f>
      </c>
      <c r="H188" s="41">
        <f>IF($C188="","",IF($D188="CARD",ROUND($C188*'설정 Settings'!$C$34+'설정 Settings'!$C$35,2),0))</f>
      </c>
      <c r="I188" s="42">
        <f>IF($C188="","",IF($C188&gt;'설정 Settings'!$C$36,"$2,000 초과: 은행 한도 확인, 나눠 받기 (F36)",""))</f>
      </c>
      <c r="J188" s="41">
        <f>IF($B188="","",IFERROR(INDEX('작업 Jobs'!$P$3:$P$1002,MATCH($B188,'작업 Jobs'!$A$3:$A$1002,0)),""))</f>
      </c>
    </row>
    <row r="189" spans="7:10" x14ac:dyDescent="0.25">
      <c r="G189" s="42">
        <f>IF($B189="","",IFERROR(INDEX('작업 Jobs'!$D$3:$D$1002,MATCH($B189,'작업 Jobs'!$A$3:$A$1002,0)),"작업 ID 없음"))</f>
      </c>
      <c r="H189" s="41">
        <f>IF($C189="","",IF($D189="CARD",ROUND($C189*'설정 Settings'!$C$34+'설정 Settings'!$C$35,2),0))</f>
      </c>
      <c r="I189" s="42">
        <f>IF($C189="","",IF($C189&gt;'설정 Settings'!$C$36,"$2,000 초과: 은행 한도 확인, 나눠 받기 (F36)",""))</f>
      </c>
      <c r="J189" s="41">
        <f>IF($B189="","",IFERROR(INDEX('작업 Jobs'!$P$3:$P$1002,MATCH($B189,'작업 Jobs'!$A$3:$A$1002,0)),""))</f>
      </c>
    </row>
    <row r="190" spans="7:10" x14ac:dyDescent="0.25">
      <c r="G190" s="42">
        <f>IF($B190="","",IFERROR(INDEX('작업 Jobs'!$D$3:$D$1002,MATCH($B190,'작업 Jobs'!$A$3:$A$1002,0)),"작업 ID 없음"))</f>
      </c>
      <c r="H190" s="41">
        <f>IF($C190="","",IF($D190="CARD",ROUND($C190*'설정 Settings'!$C$34+'설정 Settings'!$C$35,2),0))</f>
      </c>
      <c r="I190" s="42">
        <f>IF($C190="","",IF($C190&gt;'설정 Settings'!$C$36,"$2,000 초과: 은행 한도 확인, 나눠 받기 (F36)",""))</f>
      </c>
      <c r="J190" s="41">
        <f>IF($B190="","",IFERROR(INDEX('작업 Jobs'!$P$3:$P$1002,MATCH($B190,'작업 Jobs'!$A$3:$A$1002,0)),""))</f>
      </c>
    </row>
    <row r="191" spans="7:10" x14ac:dyDescent="0.25">
      <c r="G191" s="42">
        <f>IF($B191="","",IFERROR(INDEX('작업 Jobs'!$D$3:$D$1002,MATCH($B191,'작업 Jobs'!$A$3:$A$1002,0)),"작업 ID 없음"))</f>
      </c>
      <c r="H191" s="41">
        <f>IF($C191="","",IF($D191="CARD",ROUND($C191*'설정 Settings'!$C$34+'설정 Settings'!$C$35,2),0))</f>
      </c>
      <c r="I191" s="42">
        <f>IF($C191="","",IF($C191&gt;'설정 Settings'!$C$36,"$2,000 초과: 은행 한도 확인, 나눠 받기 (F36)",""))</f>
      </c>
      <c r="J191" s="41">
        <f>IF($B191="","",IFERROR(INDEX('작업 Jobs'!$P$3:$P$1002,MATCH($B191,'작업 Jobs'!$A$3:$A$1002,0)),""))</f>
      </c>
    </row>
    <row r="192" spans="7:10" x14ac:dyDescent="0.25">
      <c r="G192" s="42">
        <f>IF($B192="","",IFERROR(INDEX('작업 Jobs'!$D$3:$D$1002,MATCH($B192,'작업 Jobs'!$A$3:$A$1002,0)),"작업 ID 없음"))</f>
      </c>
      <c r="H192" s="41">
        <f>IF($C192="","",IF($D192="CARD",ROUND($C192*'설정 Settings'!$C$34+'설정 Settings'!$C$35,2),0))</f>
      </c>
      <c r="I192" s="42">
        <f>IF($C192="","",IF($C192&gt;'설정 Settings'!$C$36,"$2,000 초과: 은행 한도 확인, 나눠 받기 (F36)",""))</f>
      </c>
      <c r="J192" s="41">
        <f>IF($B192="","",IFERROR(INDEX('작업 Jobs'!$P$3:$P$1002,MATCH($B192,'작업 Jobs'!$A$3:$A$1002,0)),""))</f>
      </c>
    </row>
    <row r="193" spans="7:10" x14ac:dyDescent="0.25">
      <c r="G193" s="42">
        <f>IF($B193="","",IFERROR(INDEX('작업 Jobs'!$D$3:$D$1002,MATCH($B193,'작업 Jobs'!$A$3:$A$1002,0)),"작업 ID 없음"))</f>
      </c>
      <c r="H193" s="41">
        <f>IF($C193="","",IF($D193="CARD",ROUND($C193*'설정 Settings'!$C$34+'설정 Settings'!$C$35,2),0))</f>
      </c>
      <c r="I193" s="42">
        <f>IF($C193="","",IF($C193&gt;'설정 Settings'!$C$36,"$2,000 초과: 은행 한도 확인, 나눠 받기 (F36)",""))</f>
      </c>
      <c r="J193" s="41">
        <f>IF($B193="","",IFERROR(INDEX('작업 Jobs'!$P$3:$P$1002,MATCH($B193,'작업 Jobs'!$A$3:$A$1002,0)),""))</f>
      </c>
    </row>
    <row r="194" spans="7:10" x14ac:dyDescent="0.25">
      <c r="G194" s="42">
        <f>IF($B194="","",IFERROR(INDEX('작업 Jobs'!$D$3:$D$1002,MATCH($B194,'작업 Jobs'!$A$3:$A$1002,0)),"작업 ID 없음"))</f>
      </c>
      <c r="H194" s="41">
        <f>IF($C194="","",IF($D194="CARD",ROUND($C194*'설정 Settings'!$C$34+'설정 Settings'!$C$35,2),0))</f>
      </c>
      <c r="I194" s="42">
        <f>IF($C194="","",IF($C194&gt;'설정 Settings'!$C$36,"$2,000 초과: 은행 한도 확인, 나눠 받기 (F36)",""))</f>
      </c>
      <c r="J194" s="41">
        <f>IF($B194="","",IFERROR(INDEX('작업 Jobs'!$P$3:$P$1002,MATCH($B194,'작업 Jobs'!$A$3:$A$1002,0)),""))</f>
      </c>
    </row>
    <row r="195" spans="7:10" x14ac:dyDescent="0.25">
      <c r="G195" s="42">
        <f>IF($B195="","",IFERROR(INDEX('작업 Jobs'!$D$3:$D$1002,MATCH($B195,'작업 Jobs'!$A$3:$A$1002,0)),"작업 ID 없음"))</f>
      </c>
      <c r="H195" s="41">
        <f>IF($C195="","",IF($D195="CARD",ROUND($C195*'설정 Settings'!$C$34+'설정 Settings'!$C$35,2),0))</f>
      </c>
      <c r="I195" s="42">
        <f>IF($C195="","",IF($C195&gt;'설정 Settings'!$C$36,"$2,000 초과: 은행 한도 확인, 나눠 받기 (F36)",""))</f>
      </c>
      <c r="J195" s="41">
        <f>IF($B195="","",IFERROR(INDEX('작업 Jobs'!$P$3:$P$1002,MATCH($B195,'작업 Jobs'!$A$3:$A$1002,0)),""))</f>
      </c>
    </row>
    <row r="196" spans="7:10" x14ac:dyDescent="0.25">
      <c r="G196" s="42">
        <f>IF($B196="","",IFERROR(INDEX('작업 Jobs'!$D$3:$D$1002,MATCH($B196,'작업 Jobs'!$A$3:$A$1002,0)),"작업 ID 없음"))</f>
      </c>
      <c r="H196" s="41">
        <f>IF($C196="","",IF($D196="CARD",ROUND($C196*'설정 Settings'!$C$34+'설정 Settings'!$C$35,2),0))</f>
      </c>
      <c r="I196" s="42">
        <f>IF($C196="","",IF($C196&gt;'설정 Settings'!$C$36,"$2,000 초과: 은행 한도 확인, 나눠 받기 (F36)",""))</f>
      </c>
      <c r="J196" s="41">
        <f>IF($B196="","",IFERROR(INDEX('작업 Jobs'!$P$3:$P$1002,MATCH($B196,'작업 Jobs'!$A$3:$A$1002,0)),""))</f>
      </c>
    </row>
    <row r="197" spans="7:10" x14ac:dyDescent="0.25">
      <c r="G197" s="42">
        <f>IF($B197="","",IFERROR(INDEX('작업 Jobs'!$D$3:$D$1002,MATCH($B197,'작업 Jobs'!$A$3:$A$1002,0)),"작업 ID 없음"))</f>
      </c>
      <c r="H197" s="41">
        <f>IF($C197="","",IF($D197="CARD",ROUND($C197*'설정 Settings'!$C$34+'설정 Settings'!$C$35,2),0))</f>
      </c>
      <c r="I197" s="42">
        <f>IF($C197="","",IF($C197&gt;'설정 Settings'!$C$36,"$2,000 초과: 은행 한도 확인, 나눠 받기 (F36)",""))</f>
      </c>
      <c r="J197" s="41">
        <f>IF($B197="","",IFERROR(INDEX('작업 Jobs'!$P$3:$P$1002,MATCH($B197,'작업 Jobs'!$A$3:$A$1002,0)),""))</f>
      </c>
    </row>
    <row r="198" spans="7:10" x14ac:dyDescent="0.25">
      <c r="G198" s="42">
        <f>IF($B198="","",IFERROR(INDEX('작업 Jobs'!$D$3:$D$1002,MATCH($B198,'작업 Jobs'!$A$3:$A$1002,0)),"작업 ID 없음"))</f>
      </c>
      <c r="H198" s="41">
        <f>IF($C198="","",IF($D198="CARD",ROUND($C198*'설정 Settings'!$C$34+'설정 Settings'!$C$35,2),0))</f>
      </c>
      <c r="I198" s="42">
        <f>IF($C198="","",IF($C198&gt;'설정 Settings'!$C$36,"$2,000 초과: 은행 한도 확인, 나눠 받기 (F36)",""))</f>
      </c>
      <c r="J198" s="41">
        <f>IF($B198="","",IFERROR(INDEX('작업 Jobs'!$P$3:$P$1002,MATCH($B198,'작업 Jobs'!$A$3:$A$1002,0)),""))</f>
      </c>
    </row>
    <row r="199" spans="7:10" x14ac:dyDescent="0.25">
      <c r="G199" s="42">
        <f>IF($B199="","",IFERROR(INDEX('작업 Jobs'!$D$3:$D$1002,MATCH($B199,'작업 Jobs'!$A$3:$A$1002,0)),"작업 ID 없음"))</f>
      </c>
      <c r="H199" s="41">
        <f>IF($C199="","",IF($D199="CARD",ROUND($C199*'설정 Settings'!$C$34+'설정 Settings'!$C$35,2),0))</f>
      </c>
      <c r="I199" s="42">
        <f>IF($C199="","",IF($C199&gt;'설정 Settings'!$C$36,"$2,000 초과: 은행 한도 확인, 나눠 받기 (F36)",""))</f>
      </c>
      <c r="J199" s="41">
        <f>IF($B199="","",IFERROR(INDEX('작업 Jobs'!$P$3:$P$1002,MATCH($B199,'작업 Jobs'!$A$3:$A$1002,0)),""))</f>
      </c>
    </row>
    <row r="200" spans="7:10" x14ac:dyDescent="0.25">
      <c r="G200" s="42">
        <f>IF($B200="","",IFERROR(INDEX('작업 Jobs'!$D$3:$D$1002,MATCH($B200,'작업 Jobs'!$A$3:$A$1002,0)),"작업 ID 없음"))</f>
      </c>
      <c r="H200" s="41">
        <f>IF($C200="","",IF($D200="CARD",ROUND($C200*'설정 Settings'!$C$34+'설정 Settings'!$C$35,2),0))</f>
      </c>
      <c r="I200" s="42">
        <f>IF($C200="","",IF($C200&gt;'설정 Settings'!$C$36,"$2,000 초과: 은행 한도 확인, 나눠 받기 (F36)",""))</f>
      </c>
      <c r="J200" s="41">
        <f>IF($B200="","",IFERROR(INDEX('작업 Jobs'!$P$3:$P$1002,MATCH($B200,'작업 Jobs'!$A$3:$A$1002,0)),""))</f>
      </c>
    </row>
    <row r="201" spans="7:10" x14ac:dyDescent="0.25">
      <c r="G201" s="42">
        <f>IF($B201="","",IFERROR(INDEX('작업 Jobs'!$D$3:$D$1002,MATCH($B201,'작업 Jobs'!$A$3:$A$1002,0)),"작업 ID 없음"))</f>
      </c>
      <c r="H201" s="41">
        <f>IF($C201="","",IF($D201="CARD",ROUND($C201*'설정 Settings'!$C$34+'설정 Settings'!$C$35,2),0))</f>
      </c>
      <c r="I201" s="42">
        <f>IF($C201="","",IF($C201&gt;'설정 Settings'!$C$36,"$2,000 초과: 은행 한도 확인, 나눠 받기 (F36)",""))</f>
      </c>
      <c r="J201" s="41">
        <f>IF($B201="","",IFERROR(INDEX('작업 Jobs'!$P$3:$P$1002,MATCH($B201,'작업 Jobs'!$A$3:$A$1002,0)),""))</f>
      </c>
    </row>
    <row r="202" spans="7:10" x14ac:dyDescent="0.25">
      <c r="G202" s="42">
        <f>IF($B202="","",IFERROR(INDEX('작업 Jobs'!$D$3:$D$1002,MATCH($B202,'작업 Jobs'!$A$3:$A$1002,0)),"작업 ID 없음"))</f>
      </c>
      <c r="H202" s="41">
        <f>IF($C202="","",IF($D202="CARD",ROUND($C202*'설정 Settings'!$C$34+'설정 Settings'!$C$35,2),0))</f>
      </c>
      <c r="I202" s="42">
        <f>IF($C202="","",IF($C202&gt;'설정 Settings'!$C$36,"$2,000 초과: 은행 한도 확인, 나눠 받기 (F36)",""))</f>
      </c>
      <c r="J202" s="41">
        <f>IF($B202="","",IFERROR(INDEX('작업 Jobs'!$P$3:$P$1002,MATCH($B202,'작업 Jobs'!$A$3:$A$1002,0)),""))</f>
      </c>
    </row>
    <row r="203" spans="7:10" x14ac:dyDescent="0.25">
      <c r="G203" s="42">
        <f>IF($B203="","",IFERROR(INDEX('작업 Jobs'!$D$3:$D$1002,MATCH($B203,'작업 Jobs'!$A$3:$A$1002,0)),"작업 ID 없음"))</f>
      </c>
      <c r="H203" s="41">
        <f>IF($C203="","",IF($D203="CARD",ROUND($C203*'설정 Settings'!$C$34+'설정 Settings'!$C$35,2),0))</f>
      </c>
      <c r="I203" s="42">
        <f>IF($C203="","",IF($C203&gt;'설정 Settings'!$C$36,"$2,000 초과: 은행 한도 확인, 나눠 받기 (F36)",""))</f>
      </c>
      <c r="J203" s="41">
        <f>IF($B203="","",IFERROR(INDEX('작업 Jobs'!$P$3:$P$1002,MATCH($B203,'작업 Jobs'!$A$3:$A$1002,0)),""))</f>
      </c>
    </row>
    <row r="204" spans="7:10" x14ac:dyDescent="0.25">
      <c r="G204" s="42">
        <f>IF($B204="","",IFERROR(INDEX('작업 Jobs'!$D$3:$D$1002,MATCH($B204,'작업 Jobs'!$A$3:$A$1002,0)),"작업 ID 없음"))</f>
      </c>
      <c r="H204" s="41">
        <f>IF($C204="","",IF($D204="CARD",ROUND($C204*'설정 Settings'!$C$34+'설정 Settings'!$C$35,2),0))</f>
      </c>
      <c r="I204" s="42">
        <f>IF($C204="","",IF($C204&gt;'설정 Settings'!$C$36,"$2,000 초과: 은행 한도 확인, 나눠 받기 (F36)",""))</f>
      </c>
      <c r="J204" s="41">
        <f>IF($B204="","",IFERROR(INDEX('작업 Jobs'!$P$3:$P$1002,MATCH($B204,'작업 Jobs'!$A$3:$A$1002,0)),""))</f>
      </c>
    </row>
    <row r="205" spans="7:10" x14ac:dyDescent="0.25">
      <c r="G205" s="42">
        <f>IF($B205="","",IFERROR(INDEX('작업 Jobs'!$D$3:$D$1002,MATCH($B205,'작업 Jobs'!$A$3:$A$1002,0)),"작업 ID 없음"))</f>
      </c>
      <c r="H205" s="41">
        <f>IF($C205="","",IF($D205="CARD",ROUND($C205*'설정 Settings'!$C$34+'설정 Settings'!$C$35,2),0))</f>
      </c>
      <c r="I205" s="42">
        <f>IF($C205="","",IF($C205&gt;'설정 Settings'!$C$36,"$2,000 초과: 은행 한도 확인, 나눠 받기 (F36)",""))</f>
      </c>
      <c r="J205" s="41">
        <f>IF($B205="","",IFERROR(INDEX('작업 Jobs'!$P$3:$P$1002,MATCH($B205,'작업 Jobs'!$A$3:$A$1002,0)),""))</f>
      </c>
    </row>
    <row r="206" spans="7:10" x14ac:dyDescent="0.25">
      <c r="G206" s="42">
        <f>IF($B206="","",IFERROR(INDEX('작업 Jobs'!$D$3:$D$1002,MATCH($B206,'작업 Jobs'!$A$3:$A$1002,0)),"작업 ID 없음"))</f>
      </c>
      <c r="H206" s="41">
        <f>IF($C206="","",IF($D206="CARD",ROUND($C206*'설정 Settings'!$C$34+'설정 Settings'!$C$35,2),0))</f>
      </c>
      <c r="I206" s="42">
        <f>IF($C206="","",IF($C206&gt;'설정 Settings'!$C$36,"$2,000 초과: 은행 한도 확인, 나눠 받기 (F36)",""))</f>
      </c>
      <c r="J206" s="41">
        <f>IF($B206="","",IFERROR(INDEX('작업 Jobs'!$P$3:$P$1002,MATCH($B206,'작업 Jobs'!$A$3:$A$1002,0)),""))</f>
      </c>
    </row>
    <row r="207" spans="7:10" x14ac:dyDescent="0.25">
      <c r="G207" s="42">
        <f>IF($B207="","",IFERROR(INDEX('작업 Jobs'!$D$3:$D$1002,MATCH($B207,'작업 Jobs'!$A$3:$A$1002,0)),"작업 ID 없음"))</f>
      </c>
      <c r="H207" s="41">
        <f>IF($C207="","",IF($D207="CARD",ROUND($C207*'설정 Settings'!$C$34+'설정 Settings'!$C$35,2),0))</f>
      </c>
      <c r="I207" s="42">
        <f>IF($C207="","",IF($C207&gt;'설정 Settings'!$C$36,"$2,000 초과: 은행 한도 확인, 나눠 받기 (F36)",""))</f>
      </c>
      <c r="J207" s="41">
        <f>IF($B207="","",IFERROR(INDEX('작업 Jobs'!$P$3:$P$1002,MATCH($B207,'작업 Jobs'!$A$3:$A$1002,0)),""))</f>
      </c>
    </row>
    <row r="208" spans="7:10" x14ac:dyDescent="0.25">
      <c r="G208" s="42">
        <f>IF($B208="","",IFERROR(INDEX('작업 Jobs'!$D$3:$D$1002,MATCH($B208,'작업 Jobs'!$A$3:$A$1002,0)),"작업 ID 없음"))</f>
      </c>
      <c r="H208" s="41">
        <f>IF($C208="","",IF($D208="CARD",ROUND($C208*'설정 Settings'!$C$34+'설정 Settings'!$C$35,2),0))</f>
      </c>
      <c r="I208" s="42">
        <f>IF($C208="","",IF($C208&gt;'설정 Settings'!$C$36,"$2,000 초과: 은행 한도 확인, 나눠 받기 (F36)",""))</f>
      </c>
      <c r="J208" s="41">
        <f>IF($B208="","",IFERROR(INDEX('작업 Jobs'!$P$3:$P$1002,MATCH($B208,'작업 Jobs'!$A$3:$A$1002,0)),""))</f>
      </c>
    </row>
    <row r="209" spans="7:10" x14ac:dyDescent="0.25">
      <c r="G209" s="42">
        <f>IF($B209="","",IFERROR(INDEX('작업 Jobs'!$D$3:$D$1002,MATCH($B209,'작업 Jobs'!$A$3:$A$1002,0)),"작업 ID 없음"))</f>
      </c>
      <c r="H209" s="41">
        <f>IF($C209="","",IF($D209="CARD",ROUND($C209*'설정 Settings'!$C$34+'설정 Settings'!$C$35,2),0))</f>
      </c>
      <c r="I209" s="42">
        <f>IF($C209="","",IF($C209&gt;'설정 Settings'!$C$36,"$2,000 초과: 은행 한도 확인, 나눠 받기 (F36)",""))</f>
      </c>
      <c r="J209" s="41">
        <f>IF($B209="","",IFERROR(INDEX('작업 Jobs'!$P$3:$P$1002,MATCH($B209,'작업 Jobs'!$A$3:$A$1002,0)),""))</f>
      </c>
    </row>
    <row r="210" spans="7:10" x14ac:dyDescent="0.25">
      <c r="G210" s="42">
        <f>IF($B210="","",IFERROR(INDEX('작업 Jobs'!$D$3:$D$1002,MATCH($B210,'작업 Jobs'!$A$3:$A$1002,0)),"작업 ID 없음"))</f>
      </c>
      <c r="H210" s="41">
        <f>IF($C210="","",IF($D210="CARD",ROUND($C210*'설정 Settings'!$C$34+'설정 Settings'!$C$35,2),0))</f>
      </c>
      <c r="I210" s="42">
        <f>IF($C210="","",IF($C210&gt;'설정 Settings'!$C$36,"$2,000 초과: 은행 한도 확인, 나눠 받기 (F36)",""))</f>
      </c>
      <c r="J210" s="41">
        <f>IF($B210="","",IFERROR(INDEX('작업 Jobs'!$P$3:$P$1002,MATCH($B210,'작업 Jobs'!$A$3:$A$1002,0)),""))</f>
      </c>
    </row>
    <row r="211" spans="7:10" x14ac:dyDescent="0.25">
      <c r="G211" s="42">
        <f>IF($B211="","",IFERROR(INDEX('작업 Jobs'!$D$3:$D$1002,MATCH($B211,'작업 Jobs'!$A$3:$A$1002,0)),"작업 ID 없음"))</f>
      </c>
      <c r="H211" s="41">
        <f>IF($C211="","",IF($D211="CARD",ROUND($C211*'설정 Settings'!$C$34+'설정 Settings'!$C$35,2),0))</f>
      </c>
      <c r="I211" s="42">
        <f>IF($C211="","",IF($C211&gt;'설정 Settings'!$C$36,"$2,000 초과: 은행 한도 확인, 나눠 받기 (F36)",""))</f>
      </c>
      <c r="J211" s="41">
        <f>IF($B211="","",IFERROR(INDEX('작업 Jobs'!$P$3:$P$1002,MATCH($B211,'작업 Jobs'!$A$3:$A$1002,0)),""))</f>
      </c>
    </row>
    <row r="212" spans="7:10" x14ac:dyDescent="0.25">
      <c r="G212" s="42">
        <f>IF($B212="","",IFERROR(INDEX('작업 Jobs'!$D$3:$D$1002,MATCH($B212,'작업 Jobs'!$A$3:$A$1002,0)),"작업 ID 없음"))</f>
      </c>
      <c r="H212" s="41">
        <f>IF($C212="","",IF($D212="CARD",ROUND($C212*'설정 Settings'!$C$34+'설정 Settings'!$C$35,2),0))</f>
      </c>
      <c r="I212" s="42">
        <f>IF($C212="","",IF($C212&gt;'설정 Settings'!$C$36,"$2,000 초과: 은행 한도 확인, 나눠 받기 (F36)",""))</f>
      </c>
      <c r="J212" s="41">
        <f>IF($B212="","",IFERROR(INDEX('작업 Jobs'!$P$3:$P$1002,MATCH($B212,'작업 Jobs'!$A$3:$A$1002,0)),""))</f>
      </c>
    </row>
    <row r="213" spans="7:10" x14ac:dyDescent="0.25">
      <c r="G213" s="42">
        <f>IF($B213="","",IFERROR(INDEX('작업 Jobs'!$D$3:$D$1002,MATCH($B213,'작업 Jobs'!$A$3:$A$1002,0)),"작업 ID 없음"))</f>
      </c>
      <c r="H213" s="41">
        <f>IF($C213="","",IF($D213="CARD",ROUND($C213*'설정 Settings'!$C$34+'설정 Settings'!$C$35,2),0))</f>
      </c>
      <c r="I213" s="42">
        <f>IF($C213="","",IF($C213&gt;'설정 Settings'!$C$36,"$2,000 초과: 은행 한도 확인, 나눠 받기 (F36)",""))</f>
      </c>
      <c r="J213" s="41">
        <f>IF($B213="","",IFERROR(INDEX('작업 Jobs'!$P$3:$P$1002,MATCH($B213,'작업 Jobs'!$A$3:$A$1002,0)),""))</f>
      </c>
    </row>
    <row r="214" spans="7:10" x14ac:dyDescent="0.25">
      <c r="G214" s="42">
        <f>IF($B214="","",IFERROR(INDEX('작업 Jobs'!$D$3:$D$1002,MATCH($B214,'작업 Jobs'!$A$3:$A$1002,0)),"작업 ID 없음"))</f>
      </c>
      <c r="H214" s="41">
        <f>IF($C214="","",IF($D214="CARD",ROUND($C214*'설정 Settings'!$C$34+'설정 Settings'!$C$35,2),0))</f>
      </c>
      <c r="I214" s="42">
        <f>IF($C214="","",IF($C214&gt;'설정 Settings'!$C$36,"$2,000 초과: 은행 한도 확인, 나눠 받기 (F36)",""))</f>
      </c>
      <c r="J214" s="41">
        <f>IF($B214="","",IFERROR(INDEX('작업 Jobs'!$P$3:$P$1002,MATCH($B214,'작업 Jobs'!$A$3:$A$1002,0)),""))</f>
      </c>
    </row>
    <row r="215" spans="7:10" x14ac:dyDescent="0.25">
      <c r="G215" s="42">
        <f>IF($B215="","",IFERROR(INDEX('작업 Jobs'!$D$3:$D$1002,MATCH($B215,'작업 Jobs'!$A$3:$A$1002,0)),"작업 ID 없음"))</f>
      </c>
      <c r="H215" s="41">
        <f>IF($C215="","",IF($D215="CARD",ROUND($C215*'설정 Settings'!$C$34+'설정 Settings'!$C$35,2),0))</f>
      </c>
      <c r="I215" s="42">
        <f>IF($C215="","",IF($C215&gt;'설정 Settings'!$C$36,"$2,000 초과: 은행 한도 확인, 나눠 받기 (F36)",""))</f>
      </c>
      <c r="J215" s="41">
        <f>IF($B215="","",IFERROR(INDEX('작업 Jobs'!$P$3:$P$1002,MATCH($B215,'작업 Jobs'!$A$3:$A$1002,0)),""))</f>
      </c>
    </row>
    <row r="216" spans="7:10" x14ac:dyDescent="0.25">
      <c r="G216" s="42">
        <f>IF($B216="","",IFERROR(INDEX('작업 Jobs'!$D$3:$D$1002,MATCH($B216,'작업 Jobs'!$A$3:$A$1002,0)),"작업 ID 없음"))</f>
      </c>
      <c r="H216" s="41">
        <f>IF($C216="","",IF($D216="CARD",ROUND($C216*'설정 Settings'!$C$34+'설정 Settings'!$C$35,2),0))</f>
      </c>
      <c r="I216" s="42">
        <f>IF($C216="","",IF($C216&gt;'설정 Settings'!$C$36,"$2,000 초과: 은행 한도 확인, 나눠 받기 (F36)",""))</f>
      </c>
      <c r="J216" s="41">
        <f>IF($B216="","",IFERROR(INDEX('작업 Jobs'!$P$3:$P$1002,MATCH($B216,'작업 Jobs'!$A$3:$A$1002,0)),""))</f>
      </c>
    </row>
    <row r="217" spans="7:10" x14ac:dyDescent="0.25">
      <c r="G217" s="42">
        <f>IF($B217="","",IFERROR(INDEX('작업 Jobs'!$D$3:$D$1002,MATCH($B217,'작업 Jobs'!$A$3:$A$1002,0)),"작업 ID 없음"))</f>
      </c>
      <c r="H217" s="41">
        <f>IF($C217="","",IF($D217="CARD",ROUND($C217*'설정 Settings'!$C$34+'설정 Settings'!$C$35,2),0))</f>
      </c>
      <c r="I217" s="42">
        <f>IF($C217="","",IF($C217&gt;'설정 Settings'!$C$36,"$2,000 초과: 은행 한도 확인, 나눠 받기 (F36)",""))</f>
      </c>
      <c r="J217" s="41">
        <f>IF($B217="","",IFERROR(INDEX('작업 Jobs'!$P$3:$P$1002,MATCH($B217,'작업 Jobs'!$A$3:$A$1002,0)),""))</f>
      </c>
    </row>
    <row r="218" spans="7:10" x14ac:dyDescent="0.25">
      <c r="G218" s="42">
        <f>IF($B218="","",IFERROR(INDEX('작업 Jobs'!$D$3:$D$1002,MATCH($B218,'작업 Jobs'!$A$3:$A$1002,0)),"작업 ID 없음"))</f>
      </c>
      <c r="H218" s="41">
        <f>IF($C218="","",IF($D218="CARD",ROUND($C218*'설정 Settings'!$C$34+'설정 Settings'!$C$35,2),0))</f>
      </c>
      <c r="I218" s="42">
        <f>IF($C218="","",IF($C218&gt;'설정 Settings'!$C$36,"$2,000 초과: 은행 한도 확인, 나눠 받기 (F36)",""))</f>
      </c>
      <c r="J218" s="41">
        <f>IF($B218="","",IFERROR(INDEX('작업 Jobs'!$P$3:$P$1002,MATCH($B218,'작업 Jobs'!$A$3:$A$1002,0)),""))</f>
      </c>
    </row>
    <row r="219" spans="7:10" x14ac:dyDescent="0.25">
      <c r="G219" s="42">
        <f>IF($B219="","",IFERROR(INDEX('작업 Jobs'!$D$3:$D$1002,MATCH($B219,'작업 Jobs'!$A$3:$A$1002,0)),"작업 ID 없음"))</f>
      </c>
      <c r="H219" s="41">
        <f>IF($C219="","",IF($D219="CARD",ROUND($C219*'설정 Settings'!$C$34+'설정 Settings'!$C$35,2),0))</f>
      </c>
      <c r="I219" s="42">
        <f>IF($C219="","",IF($C219&gt;'설정 Settings'!$C$36,"$2,000 초과: 은행 한도 확인, 나눠 받기 (F36)",""))</f>
      </c>
      <c r="J219" s="41">
        <f>IF($B219="","",IFERROR(INDEX('작업 Jobs'!$P$3:$P$1002,MATCH($B219,'작업 Jobs'!$A$3:$A$1002,0)),""))</f>
      </c>
    </row>
    <row r="220" spans="7:10" x14ac:dyDescent="0.25">
      <c r="G220" s="42">
        <f>IF($B220="","",IFERROR(INDEX('작업 Jobs'!$D$3:$D$1002,MATCH($B220,'작업 Jobs'!$A$3:$A$1002,0)),"작업 ID 없음"))</f>
      </c>
      <c r="H220" s="41">
        <f>IF($C220="","",IF($D220="CARD",ROUND($C220*'설정 Settings'!$C$34+'설정 Settings'!$C$35,2),0))</f>
      </c>
      <c r="I220" s="42">
        <f>IF($C220="","",IF($C220&gt;'설정 Settings'!$C$36,"$2,000 초과: 은행 한도 확인, 나눠 받기 (F36)",""))</f>
      </c>
      <c r="J220" s="41">
        <f>IF($B220="","",IFERROR(INDEX('작업 Jobs'!$P$3:$P$1002,MATCH($B220,'작업 Jobs'!$A$3:$A$1002,0)),""))</f>
      </c>
    </row>
    <row r="221" spans="7:10" x14ac:dyDescent="0.25">
      <c r="G221" s="42">
        <f>IF($B221="","",IFERROR(INDEX('작업 Jobs'!$D$3:$D$1002,MATCH($B221,'작업 Jobs'!$A$3:$A$1002,0)),"작업 ID 없음"))</f>
      </c>
      <c r="H221" s="41">
        <f>IF($C221="","",IF($D221="CARD",ROUND($C221*'설정 Settings'!$C$34+'설정 Settings'!$C$35,2),0))</f>
      </c>
      <c r="I221" s="42">
        <f>IF($C221="","",IF($C221&gt;'설정 Settings'!$C$36,"$2,000 초과: 은행 한도 확인, 나눠 받기 (F36)",""))</f>
      </c>
      <c r="J221" s="41">
        <f>IF($B221="","",IFERROR(INDEX('작업 Jobs'!$P$3:$P$1002,MATCH($B221,'작업 Jobs'!$A$3:$A$1002,0)),""))</f>
      </c>
    </row>
    <row r="222" spans="7:10" x14ac:dyDescent="0.25">
      <c r="G222" s="42">
        <f>IF($B222="","",IFERROR(INDEX('작업 Jobs'!$D$3:$D$1002,MATCH($B222,'작업 Jobs'!$A$3:$A$1002,0)),"작업 ID 없음"))</f>
      </c>
      <c r="H222" s="41">
        <f>IF($C222="","",IF($D222="CARD",ROUND($C222*'설정 Settings'!$C$34+'설정 Settings'!$C$35,2),0))</f>
      </c>
      <c r="I222" s="42">
        <f>IF($C222="","",IF($C222&gt;'설정 Settings'!$C$36,"$2,000 초과: 은행 한도 확인, 나눠 받기 (F36)",""))</f>
      </c>
      <c r="J222" s="41">
        <f>IF($B222="","",IFERROR(INDEX('작업 Jobs'!$P$3:$P$1002,MATCH($B222,'작업 Jobs'!$A$3:$A$1002,0)),""))</f>
      </c>
    </row>
    <row r="223" spans="7:10" x14ac:dyDescent="0.25">
      <c r="G223" s="42">
        <f>IF($B223="","",IFERROR(INDEX('작업 Jobs'!$D$3:$D$1002,MATCH($B223,'작업 Jobs'!$A$3:$A$1002,0)),"작업 ID 없음"))</f>
      </c>
      <c r="H223" s="41">
        <f>IF($C223="","",IF($D223="CARD",ROUND($C223*'설정 Settings'!$C$34+'설정 Settings'!$C$35,2),0))</f>
      </c>
      <c r="I223" s="42">
        <f>IF($C223="","",IF($C223&gt;'설정 Settings'!$C$36,"$2,000 초과: 은행 한도 확인, 나눠 받기 (F36)",""))</f>
      </c>
      <c r="J223" s="41">
        <f>IF($B223="","",IFERROR(INDEX('작업 Jobs'!$P$3:$P$1002,MATCH($B223,'작업 Jobs'!$A$3:$A$1002,0)),""))</f>
      </c>
    </row>
    <row r="224" spans="7:10" x14ac:dyDescent="0.25">
      <c r="G224" s="42">
        <f>IF($B224="","",IFERROR(INDEX('작업 Jobs'!$D$3:$D$1002,MATCH($B224,'작업 Jobs'!$A$3:$A$1002,0)),"작업 ID 없음"))</f>
      </c>
      <c r="H224" s="41">
        <f>IF($C224="","",IF($D224="CARD",ROUND($C224*'설정 Settings'!$C$34+'설정 Settings'!$C$35,2),0))</f>
      </c>
      <c r="I224" s="42">
        <f>IF($C224="","",IF($C224&gt;'설정 Settings'!$C$36,"$2,000 초과: 은행 한도 확인, 나눠 받기 (F36)",""))</f>
      </c>
      <c r="J224" s="41">
        <f>IF($B224="","",IFERROR(INDEX('작업 Jobs'!$P$3:$P$1002,MATCH($B224,'작업 Jobs'!$A$3:$A$1002,0)),""))</f>
      </c>
    </row>
    <row r="225" spans="7:10" x14ac:dyDescent="0.25">
      <c r="G225" s="42">
        <f>IF($B225="","",IFERROR(INDEX('작업 Jobs'!$D$3:$D$1002,MATCH($B225,'작업 Jobs'!$A$3:$A$1002,0)),"작업 ID 없음"))</f>
      </c>
      <c r="H225" s="41">
        <f>IF($C225="","",IF($D225="CARD",ROUND($C225*'설정 Settings'!$C$34+'설정 Settings'!$C$35,2),0))</f>
      </c>
      <c r="I225" s="42">
        <f>IF($C225="","",IF($C225&gt;'설정 Settings'!$C$36,"$2,000 초과: 은행 한도 확인, 나눠 받기 (F36)",""))</f>
      </c>
      <c r="J225" s="41">
        <f>IF($B225="","",IFERROR(INDEX('작업 Jobs'!$P$3:$P$1002,MATCH($B225,'작업 Jobs'!$A$3:$A$1002,0)),""))</f>
      </c>
    </row>
    <row r="226" spans="7:10" x14ac:dyDescent="0.25">
      <c r="G226" s="42">
        <f>IF($B226="","",IFERROR(INDEX('작업 Jobs'!$D$3:$D$1002,MATCH($B226,'작업 Jobs'!$A$3:$A$1002,0)),"작업 ID 없음"))</f>
      </c>
      <c r="H226" s="41">
        <f>IF($C226="","",IF($D226="CARD",ROUND($C226*'설정 Settings'!$C$34+'설정 Settings'!$C$35,2),0))</f>
      </c>
      <c r="I226" s="42">
        <f>IF($C226="","",IF($C226&gt;'설정 Settings'!$C$36,"$2,000 초과: 은행 한도 확인, 나눠 받기 (F36)",""))</f>
      </c>
      <c r="J226" s="41">
        <f>IF($B226="","",IFERROR(INDEX('작업 Jobs'!$P$3:$P$1002,MATCH($B226,'작업 Jobs'!$A$3:$A$1002,0)),""))</f>
      </c>
    </row>
    <row r="227" spans="7:10" x14ac:dyDescent="0.25">
      <c r="G227" s="42">
        <f>IF($B227="","",IFERROR(INDEX('작업 Jobs'!$D$3:$D$1002,MATCH($B227,'작업 Jobs'!$A$3:$A$1002,0)),"작업 ID 없음"))</f>
      </c>
      <c r="H227" s="41">
        <f>IF($C227="","",IF($D227="CARD",ROUND($C227*'설정 Settings'!$C$34+'설정 Settings'!$C$35,2),0))</f>
      </c>
      <c r="I227" s="42">
        <f>IF($C227="","",IF($C227&gt;'설정 Settings'!$C$36,"$2,000 초과: 은행 한도 확인, 나눠 받기 (F36)",""))</f>
      </c>
      <c r="J227" s="41">
        <f>IF($B227="","",IFERROR(INDEX('작업 Jobs'!$P$3:$P$1002,MATCH($B227,'작업 Jobs'!$A$3:$A$1002,0)),""))</f>
      </c>
    </row>
    <row r="228" spans="7:10" x14ac:dyDescent="0.25">
      <c r="G228" s="42">
        <f>IF($B228="","",IFERROR(INDEX('작업 Jobs'!$D$3:$D$1002,MATCH($B228,'작업 Jobs'!$A$3:$A$1002,0)),"작업 ID 없음"))</f>
      </c>
      <c r="H228" s="41">
        <f>IF($C228="","",IF($D228="CARD",ROUND($C228*'설정 Settings'!$C$34+'설정 Settings'!$C$35,2),0))</f>
      </c>
      <c r="I228" s="42">
        <f>IF($C228="","",IF($C228&gt;'설정 Settings'!$C$36,"$2,000 초과: 은행 한도 확인, 나눠 받기 (F36)",""))</f>
      </c>
      <c r="J228" s="41">
        <f>IF($B228="","",IFERROR(INDEX('작업 Jobs'!$P$3:$P$1002,MATCH($B228,'작업 Jobs'!$A$3:$A$1002,0)),""))</f>
      </c>
    </row>
    <row r="229" spans="7:10" x14ac:dyDescent="0.25">
      <c r="G229" s="42">
        <f>IF($B229="","",IFERROR(INDEX('작업 Jobs'!$D$3:$D$1002,MATCH($B229,'작업 Jobs'!$A$3:$A$1002,0)),"작업 ID 없음"))</f>
      </c>
      <c r="H229" s="41">
        <f>IF($C229="","",IF($D229="CARD",ROUND($C229*'설정 Settings'!$C$34+'설정 Settings'!$C$35,2),0))</f>
      </c>
      <c r="I229" s="42">
        <f>IF($C229="","",IF($C229&gt;'설정 Settings'!$C$36,"$2,000 초과: 은행 한도 확인, 나눠 받기 (F36)",""))</f>
      </c>
      <c r="J229" s="41">
        <f>IF($B229="","",IFERROR(INDEX('작업 Jobs'!$P$3:$P$1002,MATCH($B229,'작업 Jobs'!$A$3:$A$1002,0)),""))</f>
      </c>
    </row>
    <row r="230" spans="7:10" x14ac:dyDescent="0.25">
      <c r="G230" s="42">
        <f>IF($B230="","",IFERROR(INDEX('작업 Jobs'!$D$3:$D$1002,MATCH($B230,'작업 Jobs'!$A$3:$A$1002,0)),"작업 ID 없음"))</f>
      </c>
      <c r="H230" s="41">
        <f>IF($C230="","",IF($D230="CARD",ROUND($C230*'설정 Settings'!$C$34+'설정 Settings'!$C$35,2),0))</f>
      </c>
      <c r="I230" s="42">
        <f>IF($C230="","",IF($C230&gt;'설정 Settings'!$C$36,"$2,000 초과: 은행 한도 확인, 나눠 받기 (F36)",""))</f>
      </c>
      <c r="J230" s="41">
        <f>IF($B230="","",IFERROR(INDEX('작업 Jobs'!$P$3:$P$1002,MATCH($B230,'작업 Jobs'!$A$3:$A$1002,0)),""))</f>
      </c>
    </row>
    <row r="231" spans="7:10" x14ac:dyDescent="0.25">
      <c r="G231" s="42">
        <f>IF($B231="","",IFERROR(INDEX('작업 Jobs'!$D$3:$D$1002,MATCH($B231,'작업 Jobs'!$A$3:$A$1002,0)),"작업 ID 없음"))</f>
      </c>
      <c r="H231" s="41">
        <f>IF($C231="","",IF($D231="CARD",ROUND($C231*'설정 Settings'!$C$34+'설정 Settings'!$C$35,2),0))</f>
      </c>
      <c r="I231" s="42">
        <f>IF($C231="","",IF($C231&gt;'설정 Settings'!$C$36,"$2,000 초과: 은행 한도 확인, 나눠 받기 (F36)",""))</f>
      </c>
      <c r="J231" s="41">
        <f>IF($B231="","",IFERROR(INDEX('작업 Jobs'!$P$3:$P$1002,MATCH($B231,'작업 Jobs'!$A$3:$A$1002,0)),""))</f>
      </c>
    </row>
    <row r="232" spans="7:10" x14ac:dyDescent="0.25">
      <c r="G232" s="42">
        <f>IF($B232="","",IFERROR(INDEX('작업 Jobs'!$D$3:$D$1002,MATCH($B232,'작업 Jobs'!$A$3:$A$1002,0)),"작업 ID 없음"))</f>
      </c>
      <c r="H232" s="41">
        <f>IF($C232="","",IF($D232="CARD",ROUND($C232*'설정 Settings'!$C$34+'설정 Settings'!$C$35,2),0))</f>
      </c>
      <c r="I232" s="42">
        <f>IF($C232="","",IF($C232&gt;'설정 Settings'!$C$36,"$2,000 초과: 은행 한도 확인, 나눠 받기 (F36)",""))</f>
      </c>
      <c r="J232" s="41">
        <f>IF($B232="","",IFERROR(INDEX('작업 Jobs'!$P$3:$P$1002,MATCH($B232,'작업 Jobs'!$A$3:$A$1002,0)),""))</f>
      </c>
    </row>
    <row r="233" spans="7:10" x14ac:dyDescent="0.25">
      <c r="G233" s="42">
        <f>IF($B233="","",IFERROR(INDEX('작업 Jobs'!$D$3:$D$1002,MATCH($B233,'작업 Jobs'!$A$3:$A$1002,0)),"작업 ID 없음"))</f>
      </c>
      <c r="H233" s="41">
        <f>IF($C233="","",IF($D233="CARD",ROUND($C233*'설정 Settings'!$C$34+'설정 Settings'!$C$35,2),0))</f>
      </c>
      <c r="I233" s="42">
        <f>IF($C233="","",IF($C233&gt;'설정 Settings'!$C$36,"$2,000 초과: 은행 한도 확인, 나눠 받기 (F36)",""))</f>
      </c>
      <c r="J233" s="41">
        <f>IF($B233="","",IFERROR(INDEX('작업 Jobs'!$P$3:$P$1002,MATCH($B233,'작업 Jobs'!$A$3:$A$1002,0)),""))</f>
      </c>
    </row>
    <row r="234" spans="7:10" x14ac:dyDescent="0.25">
      <c r="G234" s="42">
        <f>IF($B234="","",IFERROR(INDEX('작업 Jobs'!$D$3:$D$1002,MATCH($B234,'작업 Jobs'!$A$3:$A$1002,0)),"작업 ID 없음"))</f>
      </c>
      <c r="H234" s="41">
        <f>IF($C234="","",IF($D234="CARD",ROUND($C234*'설정 Settings'!$C$34+'설정 Settings'!$C$35,2),0))</f>
      </c>
      <c r="I234" s="42">
        <f>IF($C234="","",IF($C234&gt;'설정 Settings'!$C$36,"$2,000 초과: 은행 한도 확인, 나눠 받기 (F36)",""))</f>
      </c>
      <c r="J234" s="41">
        <f>IF($B234="","",IFERROR(INDEX('작업 Jobs'!$P$3:$P$1002,MATCH($B234,'작업 Jobs'!$A$3:$A$1002,0)),""))</f>
      </c>
    </row>
    <row r="235" spans="7:10" x14ac:dyDescent="0.25">
      <c r="G235" s="42">
        <f>IF($B235="","",IFERROR(INDEX('작업 Jobs'!$D$3:$D$1002,MATCH($B235,'작업 Jobs'!$A$3:$A$1002,0)),"작업 ID 없음"))</f>
      </c>
      <c r="H235" s="41">
        <f>IF($C235="","",IF($D235="CARD",ROUND($C235*'설정 Settings'!$C$34+'설정 Settings'!$C$35,2),0))</f>
      </c>
      <c r="I235" s="42">
        <f>IF($C235="","",IF($C235&gt;'설정 Settings'!$C$36,"$2,000 초과: 은행 한도 확인, 나눠 받기 (F36)",""))</f>
      </c>
      <c r="J235" s="41">
        <f>IF($B235="","",IFERROR(INDEX('작업 Jobs'!$P$3:$P$1002,MATCH($B235,'작업 Jobs'!$A$3:$A$1002,0)),""))</f>
      </c>
    </row>
    <row r="236" spans="7:10" x14ac:dyDescent="0.25">
      <c r="G236" s="42">
        <f>IF($B236="","",IFERROR(INDEX('작업 Jobs'!$D$3:$D$1002,MATCH($B236,'작업 Jobs'!$A$3:$A$1002,0)),"작업 ID 없음"))</f>
      </c>
      <c r="H236" s="41">
        <f>IF($C236="","",IF($D236="CARD",ROUND($C236*'설정 Settings'!$C$34+'설정 Settings'!$C$35,2),0))</f>
      </c>
      <c r="I236" s="42">
        <f>IF($C236="","",IF($C236&gt;'설정 Settings'!$C$36,"$2,000 초과: 은행 한도 확인, 나눠 받기 (F36)",""))</f>
      </c>
      <c r="J236" s="41">
        <f>IF($B236="","",IFERROR(INDEX('작업 Jobs'!$P$3:$P$1002,MATCH($B236,'작업 Jobs'!$A$3:$A$1002,0)),""))</f>
      </c>
    </row>
    <row r="237" spans="7:10" x14ac:dyDescent="0.25">
      <c r="G237" s="42">
        <f>IF($B237="","",IFERROR(INDEX('작업 Jobs'!$D$3:$D$1002,MATCH($B237,'작업 Jobs'!$A$3:$A$1002,0)),"작업 ID 없음"))</f>
      </c>
      <c r="H237" s="41">
        <f>IF($C237="","",IF($D237="CARD",ROUND($C237*'설정 Settings'!$C$34+'설정 Settings'!$C$35,2),0))</f>
      </c>
      <c r="I237" s="42">
        <f>IF($C237="","",IF($C237&gt;'설정 Settings'!$C$36,"$2,000 초과: 은행 한도 확인, 나눠 받기 (F36)",""))</f>
      </c>
      <c r="J237" s="41">
        <f>IF($B237="","",IFERROR(INDEX('작업 Jobs'!$P$3:$P$1002,MATCH($B237,'작업 Jobs'!$A$3:$A$1002,0)),""))</f>
      </c>
    </row>
    <row r="238" spans="7:10" x14ac:dyDescent="0.25">
      <c r="G238" s="42">
        <f>IF($B238="","",IFERROR(INDEX('작업 Jobs'!$D$3:$D$1002,MATCH($B238,'작업 Jobs'!$A$3:$A$1002,0)),"작업 ID 없음"))</f>
      </c>
      <c r="H238" s="41">
        <f>IF($C238="","",IF($D238="CARD",ROUND($C238*'설정 Settings'!$C$34+'설정 Settings'!$C$35,2),0))</f>
      </c>
      <c r="I238" s="42">
        <f>IF($C238="","",IF($C238&gt;'설정 Settings'!$C$36,"$2,000 초과: 은행 한도 확인, 나눠 받기 (F36)",""))</f>
      </c>
      <c r="J238" s="41">
        <f>IF($B238="","",IFERROR(INDEX('작업 Jobs'!$P$3:$P$1002,MATCH($B238,'작업 Jobs'!$A$3:$A$1002,0)),""))</f>
      </c>
    </row>
    <row r="239" spans="7:10" x14ac:dyDescent="0.25">
      <c r="G239" s="42">
        <f>IF($B239="","",IFERROR(INDEX('작업 Jobs'!$D$3:$D$1002,MATCH($B239,'작업 Jobs'!$A$3:$A$1002,0)),"작업 ID 없음"))</f>
      </c>
      <c r="H239" s="41">
        <f>IF($C239="","",IF($D239="CARD",ROUND($C239*'설정 Settings'!$C$34+'설정 Settings'!$C$35,2),0))</f>
      </c>
      <c r="I239" s="42">
        <f>IF($C239="","",IF($C239&gt;'설정 Settings'!$C$36,"$2,000 초과: 은행 한도 확인, 나눠 받기 (F36)",""))</f>
      </c>
      <c r="J239" s="41">
        <f>IF($B239="","",IFERROR(INDEX('작업 Jobs'!$P$3:$P$1002,MATCH($B239,'작업 Jobs'!$A$3:$A$1002,0)),""))</f>
      </c>
    </row>
    <row r="240" spans="7:10" x14ac:dyDescent="0.25">
      <c r="G240" s="42">
        <f>IF($B240="","",IFERROR(INDEX('작업 Jobs'!$D$3:$D$1002,MATCH($B240,'작업 Jobs'!$A$3:$A$1002,0)),"작업 ID 없음"))</f>
      </c>
      <c r="H240" s="41">
        <f>IF($C240="","",IF($D240="CARD",ROUND($C240*'설정 Settings'!$C$34+'설정 Settings'!$C$35,2),0))</f>
      </c>
      <c r="I240" s="42">
        <f>IF($C240="","",IF($C240&gt;'설정 Settings'!$C$36,"$2,000 초과: 은행 한도 확인, 나눠 받기 (F36)",""))</f>
      </c>
      <c r="J240" s="41">
        <f>IF($B240="","",IFERROR(INDEX('작업 Jobs'!$P$3:$P$1002,MATCH($B240,'작업 Jobs'!$A$3:$A$1002,0)),""))</f>
      </c>
    </row>
    <row r="241" spans="7:10" x14ac:dyDescent="0.25">
      <c r="G241" s="42">
        <f>IF($B241="","",IFERROR(INDEX('작업 Jobs'!$D$3:$D$1002,MATCH($B241,'작업 Jobs'!$A$3:$A$1002,0)),"작업 ID 없음"))</f>
      </c>
      <c r="H241" s="41">
        <f>IF($C241="","",IF($D241="CARD",ROUND($C241*'설정 Settings'!$C$34+'설정 Settings'!$C$35,2),0))</f>
      </c>
      <c r="I241" s="42">
        <f>IF($C241="","",IF($C241&gt;'설정 Settings'!$C$36,"$2,000 초과: 은행 한도 확인, 나눠 받기 (F36)",""))</f>
      </c>
      <c r="J241" s="41">
        <f>IF($B241="","",IFERROR(INDEX('작업 Jobs'!$P$3:$P$1002,MATCH($B241,'작업 Jobs'!$A$3:$A$1002,0)),""))</f>
      </c>
    </row>
    <row r="242" spans="7:10" x14ac:dyDescent="0.25">
      <c r="G242" s="42">
        <f>IF($B242="","",IFERROR(INDEX('작업 Jobs'!$D$3:$D$1002,MATCH($B242,'작업 Jobs'!$A$3:$A$1002,0)),"작업 ID 없음"))</f>
      </c>
      <c r="H242" s="41">
        <f>IF($C242="","",IF($D242="CARD",ROUND($C242*'설정 Settings'!$C$34+'설정 Settings'!$C$35,2),0))</f>
      </c>
      <c r="I242" s="42">
        <f>IF($C242="","",IF($C242&gt;'설정 Settings'!$C$36,"$2,000 초과: 은행 한도 확인, 나눠 받기 (F36)",""))</f>
      </c>
      <c r="J242" s="41">
        <f>IF($B242="","",IFERROR(INDEX('작업 Jobs'!$P$3:$P$1002,MATCH($B242,'작업 Jobs'!$A$3:$A$1002,0)),""))</f>
      </c>
    </row>
    <row r="243" spans="7:10" x14ac:dyDescent="0.25">
      <c r="G243" s="42">
        <f>IF($B243="","",IFERROR(INDEX('작업 Jobs'!$D$3:$D$1002,MATCH($B243,'작업 Jobs'!$A$3:$A$1002,0)),"작업 ID 없음"))</f>
      </c>
      <c r="H243" s="41">
        <f>IF($C243="","",IF($D243="CARD",ROUND($C243*'설정 Settings'!$C$34+'설정 Settings'!$C$35,2),0))</f>
      </c>
      <c r="I243" s="42">
        <f>IF($C243="","",IF($C243&gt;'설정 Settings'!$C$36,"$2,000 초과: 은행 한도 확인, 나눠 받기 (F36)",""))</f>
      </c>
      <c r="J243" s="41">
        <f>IF($B243="","",IFERROR(INDEX('작업 Jobs'!$P$3:$P$1002,MATCH($B243,'작업 Jobs'!$A$3:$A$1002,0)),""))</f>
      </c>
    </row>
    <row r="244" spans="7:10" x14ac:dyDescent="0.25">
      <c r="G244" s="42">
        <f>IF($B244="","",IFERROR(INDEX('작업 Jobs'!$D$3:$D$1002,MATCH($B244,'작업 Jobs'!$A$3:$A$1002,0)),"작업 ID 없음"))</f>
      </c>
      <c r="H244" s="41">
        <f>IF($C244="","",IF($D244="CARD",ROUND($C244*'설정 Settings'!$C$34+'설정 Settings'!$C$35,2),0))</f>
      </c>
      <c r="I244" s="42">
        <f>IF($C244="","",IF($C244&gt;'설정 Settings'!$C$36,"$2,000 초과: 은행 한도 확인, 나눠 받기 (F36)",""))</f>
      </c>
      <c r="J244" s="41">
        <f>IF($B244="","",IFERROR(INDEX('작업 Jobs'!$P$3:$P$1002,MATCH($B244,'작업 Jobs'!$A$3:$A$1002,0)),""))</f>
      </c>
    </row>
    <row r="245" spans="7:10" x14ac:dyDescent="0.25">
      <c r="G245" s="42">
        <f>IF($B245="","",IFERROR(INDEX('작업 Jobs'!$D$3:$D$1002,MATCH($B245,'작업 Jobs'!$A$3:$A$1002,0)),"작업 ID 없음"))</f>
      </c>
      <c r="H245" s="41">
        <f>IF($C245="","",IF($D245="CARD",ROUND($C245*'설정 Settings'!$C$34+'설정 Settings'!$C$35,2),0))</f>
      </c>
      <c r="I245" s="42">
        <f>IF($C245="","",IF($C245&gt;'설정 Settings'!$C$36,"$2,000 초과: 은행 한도 확인, 나눠 받기 (F36)",""))</f>
      </c>
      <c r="J245" s="41">
        <f>IF($B245="","",IFERROR(INDEX('작업 Jobs'!$P$3:$P$1002,MATCH($B245,'작업 Jobs'!$A$3:$A$1002,0)),""))</f>
      </c>
    </row>
    <row r="246" spans="7:10" x14ac:dyDescent="0.25">
      <c r="G246" s="42">
        <f>IF($B246="","",IFERROR(INDEX('작업 Jobs'!$D$3:$D$1002,MATCH($B246,'작업 Jobs'!$A$3:$A$1002,0)),"작업 ID 없음"))</f>
      </c>
      <c r="H246" s="41">
        <f>IF($C246="","",IF($D246="CARD",ROUND($C246*'설정 Settings'!$C$34+'설정 Settings'!$C$35,2),0))</f>
      </c>
      <c r="I246" s="42">
        <f>IF($C246="","",IF($C246&gt;'설정 Settings'!$C$36,"$2,000 초과: 은행 한도 확인, 나눠 받기 (F36)",""))</f>
      </c>
      <c r="J246" s="41">
        <f>IF($B246="","",IFERROR(INDEX('작업 Jobs'!$P$3:$P$1002,MATCH($B246,'작업 Jobs'!$A$3:$A$1002,0)),""))</f>
      </c>
    </row>
    <row r="247" spans="7:10" x14ac:dyDescent="0.25">
      <c r="G247" s="42">
        <f>IF($B247="","",IFERROR(INDEX('작업 Jobs'!$D$3:$D$1002,MATCH($B247,'작업 Jobs'!$A$3:$A$1002,0)),"작업 ID 없음"))</f>
      </c>
      <c r="H247" s="41">
        <f>IF($C247="","",IF($D247="CARD",ROUND($C247*'설정 Settings'!$C$34+'설정 Settings'!$C$35,2),0))</f>
      </c>
      <c r="I247" s="42">
        <f>IF($C247="","",IF($C247&gt;'설정 Settings'!$C$36,"$2,000 초과: 은행 한도 확인, 나눠 받기 (F36)",""))</f>
      </c>
      <c r="J247" s="41">
        <f>IF($B247="","",IFERROR(INDEX('작업 Jobs'!$P$3:$P$1002,MATCH($B247,'작업 Jobs'!$A$3:$A$1002,0)),""))</f>
      </c>
    </row>
    <row r="248" spans="7:10" x14ac:dyDescent="0.25">
      <c r="G248" s="42">
        <f>IF($B248="","",IFERROR(INDEX('작업 Jobs'!$D$3:$D$1002,MATCH($B248,'작업 Jobs'!$A$3:$A$1002,0)),"작업 ID 없음"))</f>
      </c>
      <c r="H248" s="41">
        <f>IF($C248="","",IF($D248="CARD",ROUND($C248*'설정 Settings'!$C$34+'설정 Settings'!$C$35,2),0))</f>
      </c>
      <c r="I248" s="42">
        <f>IF($C248="","",IF($C248&gt;'설정 Settings'!$C$36,"$2,000 초과: 은행 한도 확인, 나눠 받기 (F36)",""))</f>
      </c>
      <c r="J248" s="41">
        <f>IF($B248="","",IFERROR(INDEX('작업 Jobs'!$P$3:$P$1002,MATCH($B248,'작업 Jobs'!$A$3:$A$1002,0)),""))</f>
      </c>
    </row>
    <row r="249" spans="7:10" x14ac:dyDescent="0.25">
      <c r="G249" s="42">
        <f>IF($B249="","",IFERROR(INDEX('작업 Jobs'!$D$3:$D$1002,MATCH($B249,'작업 Jobs'!$A$3:$A$1002,0)),"작업 ID 없음"))</f>
      </c>
      <c r="H249" s="41">
        <f>IF($C249="","",IF($D249="CARD",ROUND($C249*'설정 Settings'!$C$34+'설정 Settings'!$C$35,2),0))</f>
      </c>
      <c r="I249" s="42">
        <f>IF($C249="","",IF($C249&gt;'설정 Settings'!$C$36,"$2,000 초과: 은행 한도 확인, 나눠 받기 (F36)",""))</f>
      </c>
      <c r="J249" s="41">
        <f>IF($B249="","",IFERROR(INDEX('작업 Jobs'!$P$3:$P$1002,MATCH($B249,'작업 Jobs'!$A$3:$A$1002,0)),""))</f>
      </c>
    </row>
    <row r="250" spans="7:10" x14ac:dyDescent="0.25">
      <c r="G250" s="42">
        <f>IF($B250="","",IFERROR(INDEX('작업 Jobs'!$D$3:$D$1002,MATCH($B250,'작업 Jobs'!$A$3:$A$1002,0)),"작업 ID 없음"))</f>
      </c>
      <c r="H250" s="41">
        <f>IF($C250="","",IF($D250="CARD",ROUND($C250*'설정 Settings'!$C$34+'설정 Settings'!$C$35,2),0))</f>
      </c>
      <c r="I250" s="42">
        <f>IF($C250="","",IF($C250&gt;'설정 Settings'!$C$36,"$2,000 초과: 은행 한도 확인, 나눠 받기 (F36)",""))</f>
      </c>
      <c r="J250" s="41">
        <f>IF($B250="","",IFERROR(INDEX('작업 Jobs'!$P$3:$P$1002,MATCH($B250,'작업 Jobs'!$A$3:$A$1002,0)),""))</f>
      </c>
    </row>
    <row r="251" spans="7:10" x14ac:dyDescent="0.25">
      <c r="G251" s="42">
        <f>IF($B251="","",IFERROR(INDEX('작업 Jobs'!$D$3:$D$1002,MATCH($B251,'작업 Jobs'!$A$3:$A$1002,0)),"작업 ID 없음"))</f>
      </c>
      <c r="H251" s="41">
        <f>IF($C251="","",IF($D251="CARD",ROUND($C251*'설정 Settings'!$C$34+'설정 Settings'!$C$35,2),0))</f>
      </c>
      <c r="I251" s="42">
        <f>IF($C251="","",IF($C251&gt;'설정 Settings'!$C$36,"$2,000 초과: 은행 한도 확인, 나눠 받기 (F36)",""))</f>
      </c>
      <c r="J251" s="41">
        <f>IF($B251="","",IFERROR(INDEX('작업 Jobs'!$P$3:$P$1002,MATCH($B251,'작업 Jobs'!$A$3:$A$1002,0)),""))</f>
      </c>
    </row>
    <row r="252" spans="7:10" x14ac:dyDescent="0.25">
      <c r="G252" s="42">
        <f>IF($B252="","",IFERROR(INDEX('작업 Jobs'!$D$3:$D$1002,MATCH($B252,'작업 Jobs'!$A$3:$A$1002,0)),"작업 ID 없음"))</f>
      </c>
      <c r="H252" s="41">
        <f>IF($C252="","",IF($D252="CARD",ROUND($C252*'설정 Settings'!$C$34+'설정 Settings'!$C$35,2),0))</f>
      </c>
      <c r="I252" s="42">
        <f>IF($C252="","",IF($C252&gt;'설정 Settings'!$C$36,"$2,000 초과: 은행 한도 확인, 나눠 받기 (F36)",""))</f>
      </c>
      <c r="J252" s="41">
        <f>IF($B252="","",IFERROR(INDEX('작업 Jobs'!$P$3:$P$1002,MATCH($B252,'작업 Jobs'!$A$3:$A$1002,0)),""))</f>
      </c>
    </row>
    <row r="253" spans="7:10" x14ac:dyDescent="0.25">
      <c r="G253" s="42">
        <f>IF($B253="","",IFERROR(INDEX('작업 Jobs'!$D$3:$D$1002,MATCH($B253,'작업 Jobs'!$A$3:$A$1002,0)),"작업 ID 없음"))</f>
      </c>
      <c r="H253" s="41">
        <f>IF($C253="","",IF($D253="CARD",ROUND($C253*'설정 Settings'!$C$34+'설정 Settings'!$C$35,2),0))</f>
      </c>
      <c r="I253" s="42">
        <f>IF($C253="","",IF($C253&gt;'설정 Settings'!$C$36,"$2,000 초과: 은행 한도 확인, 나눠 받기 (F36)",""))</f>
      </c>
      <c r="J253" s="41">
        <f>IF($B253="","",IFERROR(INDEX('작업 Jobs'!$P$3:$P$1002,MATCH($B253,'작업 Jobs'!$A$3:$A$1002,0)),""))</f>
      </c>
    </row>
    <row r="254" spans="7:10" x14ac:dyDescent="0.25">
      <c r="G254" s="42">
        <f>IF($B254="","",IFERROR(INDEX('작업 Jobs'!$D$3:$D$1002,MATCH($B254,'작업 Jobs'!$A$3:$A$1002,0)),"작업 ID 없음"))</f>
      </c>
      <c r="H254" s="41">
        <f>IF($C254="","",IF($D254="CARD",ROUND($C254*'설정 Settings'!$C$34+'설정 Settings'!$C$35,2),0))</f>
      </c>
      <c r="I254" s="42">
        <f>IF($C254="","",IF($C254&gt;'설정 Settings'!$C$36,"$2,000 초과: 은행 한도 확인, 나눠 받기 (F36)",""))</f>
      </c>
      <c r="J254" s="41">
        <f>IF($B254="","",IFERROR(INDEX('작업 Jobs'!$P$3:$P$1002,MATCH($B254,'작업 Jobs'!$A$3:$A$1002,0)),""))</f>
      </c>
    </row>
    <row r="255" spans="7:10" x14ac:dyDescent="0.25">
      <c r="G255" s="42">
        <f>IF($B255="","",IFERROR(INDEX('작업 Jobs'!$D$3:$D$1002,MATCH($B255,'작업 Jobs'!$A$3:$A$1002,0)),"작업 ID 없음"))</f>
      </c>
      <c r="H255" s="41">
        <f>IF($C255="","",IF($D255="CARD",ROUND($C255*'설정 Settings'!$C$34+'설정 Settings'!$C$35,2),0))</f>
      </c>
      <c r="I255" s="42">
        <f>IF($C255="","",IF($C255&gt;'설정 Settings'!$C$36,"$2,000 초과: 은행 한도 확인, 나눠 받기 (F36)",""))</f>
      </c>
      <c r="J255" s="41">
        <f>IF($B255="","",IFERROR(INDEX('작업 Jobs'!$P$3:$P$1002,MATCH($B255,'작업 Jobs'!$A$3:$A$1002,0)),""))</f>
      </c>
    </row>
    <row r="256" spans="7:10" x14ac:dyDescent="0.25">
      <c r="G256" s="42">
        <f>IF($B256="","",IFERROR(INDEX('작업 Jobs'!$D$3:$D$1002,MATCH($B256,'작업 Jobs'!$A$3:$A$1002,0)),"작업 ID 없음"))</f>
      </c>
      <c r="H256" s="41">
        <f>IF($C256="","",IF($D256="CARD",ROUND($C256*'설정 Settings'!$C$34+'설정 Settings'!$C$35,2),0))</f>
      </c>
      <c r="I256" s="42">
        <f>IF($C256="","",IF($C256&gt;'설정 Settings'!$C$36,"$2,000 초과: 은행 한도 확인, 나눠 받기 (F36)",""))</f>
      </c>
      <c r="J256" s="41">
        <f>IF($B256="","",IFERROR(INDEX('작업 Jobs'!$P$3:$P$1002,MATCH($B256,'작업 Jobs'!$A$3:$A$1002,0)),""))</f>
      </c>
    </row>
    <row r="257" spans="7:10" x14ac:dyDescent="0.25">
      <c r="G257" s="42">
        <f>IF($B257="","",IFERROR(INDEX('작업 Jobs'!$D$3:$D$1002,MATCH($B257,'작업 Jobs'!$A$3:$A$1002,0)),"작업 ID 없음"))</f>
      </c>
      <c r="H257" s="41">
        <f>IF($C257="","",IF($D257="CARD",ROUND($C257*'설정 Settings'!$C$34+'설정 Settings'!$C$35,2),0))</f>
      </c>
      <c r="I257" s="42">
        <f>IF($C257="","",IF($C257&gt;'설정 Settings'!$C$36,"$2,000 초과: 은행 한도 확인, 나눠 받기 (F36)",""))</f>
      </c>
      <c r="J257" s="41">
        <f>IF($B257="","",IFERROR(INDEX('작업 Jobs'!$P$3:$P$1002,MATCH($B257,'작업 Jobs'!$A$3:$A$1002,0)),""))</f>
      </c>
    </row>
    <row r="258" spans="7:10" x14ac:dyDescent="0.25">
      <c r="G258" s="42">
        <f>IF($B258="","",IFERROR(INDEX('작업 Jobs'!$D$3:$D$1002,MATCH($B258,'작업 Jobs'!$A$3:$A$1002,0)),"작업 ID 없음"))</f>
      </c>
      <c r="H258" s="41">
        <f>IF($C258="","",IF($D258="CARD",ROUND($C258*'설정 Settings'!$C$34+'설정 Settings'!$C$35,2),0))</f>
      </c>
      <c r="I258" s="42">
        <f>IF($C258="","",IF($C258&gt;'설정 Settings'!$C$36,"$2,000 초과: 은행 한도 확인, 나눠 받기 (F36)",""))</f>
      </c>
      <c r="J258" s="41">
        <f>IF($B258="","",IFERROR(INDEX('작업 Jobs'!$P$3:$P$1002,MATCH($B258,'작업 Jobs'!$A$3:$A$1002,0)),""))</f>
      </c>
    </row>
    <row r="259" spans="7:10" x14ac:dyDescent="0.25">
      <c r="G259" s="42">
        <f>IF($B259="","",IFERROR(INDEX('작업 Jobs'!$D$3:$D$1002,MATCH($B259,'작업 Jobs'!$A$3:$A$1002,0)),"작업 ID 없음"))</f>
      </c>
      <c r="H259" s="41">
        <f>IF($C259="","",IF($D259="CARD",ROUND($C259*'설정 Settings'!$C$34+'설정 Settings'!$C$35,2),0))</f>
      </c>
      <c r="I259" s="42">
        <f>IF($C259="","",IF($C259&gt;'설정 Settings'!$C$36,"$2,000 초과: 은행 한도 확인, 나눠 받기 (F36)",""))</f>
      </c>
      <c r="J259" s="41">
        <f>IF($B259="","",IFERROR(INDEX('작업 Jobs'!$P$3:$P$1002,MATCH($B259,'작업 Jobs'!$A$3:$A$1002,0)),""))</f>
      </c>
    </row>
    <row r="260" spans="7:10" x14ac:dyDescent="0.25">
      <c r="G260" s="42">
        <f>IF($B260="","",IFERROR(INDEX('작업 Jobs'!$D$3:$D$1002,MATCH($B260,'작업 Jobs'!$A$3:$A$1002,0)),"작업 ID 없음"))</f>
      </c>
      <c r="H260" s="41">
        <f>IF($C260="","",IF($D260="CARD",ROUND($C260*'설정 Settings'!$C$34+'설정 Settings'!$C$35,2),0))</f>
      </c>
      <c r="I260" s="42">
        <f>IF($C260="","",IF($C260&gt;'설정 Settings'!$C$36,"$2,000 초과: 은행 한도 확인, 나눠 받기 (F36)",""))</f>
      </c>
      <c r="J260" s="41">
        <f>IF($B260="","",IFERROR(INDEX('작업 Jobs'!$P$3:$P$1002,MATCH($B260,'작업 Jobs'!$A$3:$A$1002,0)),""))</f>
      </c>
    </row>
    <row r="261" spans="7:10" x14ac:dyDescent="0.25">
      <c r="G261" s="42">
        <f>IF($B261="","",IFERROR(INDEX('작업 Jobs'!$D$3:$D$1002,MATCH($B261,'작업 Jobs'!$A$3:$A$1002,0)),"작업 ID 없음"))</f>
      </c>
      <c r="H261" s="41">
        <f>IF($C261="","",IF($D261="CARD",ROUND($C261*'설정 Settings'!$C$34+'설정 Settings'!$C$35,2),0))</f>
      </c>
      <c r="I261" s="42">
        <f>IF($C261="","",IF($C261&gt;'설정 Settings'!$C$36,"$2,000 초과: 은행 한도 확인, 나눠 받기 (F36)",""))</f>
      </c>
      <c r="J261" s="41">
        <f>IF($B261="","",IFERROR(INDEX('작업 Jobs'!$P$3:$P$1002,MATCH($B261,'작업 Jobs'!$A$3:$A$1002,0)),""))</f>
      </c>
    </row>
    <row r="262" spans="7:10" x14ac:dyDescent="0.25">
      <c r="G262" s="42">
        <f>IF($B262="","",IFERROR(INDEX('작업 Jobs'!$D$3:$D$1002,MATCH($B262,'작업 Jobs'!$A$3:$A$1002,0)),"작업 ID 없음"))</f>
      </c>
      <c r="H262" s="41">
        <f>IF($C262="","",IF($D262="CARD",ROUND($C262*'설정 Settings'!$C$34+'설정 Settings'!$C$35,2),0))</f>
      </c>
      <c r="I262" s="42">
        <f>IF($C262="","",IF($C262&gt;'설정 Settings'!$C$36,"$2,000 초과: 은행 한도 확인, 나눠 받기 (F36)",""))</f>
      </c>
      <c r="J262" s="41">
        <f>IF($B262="","",IFERROR(INDEX('작업 Jobs'!$P$3:$P$1002,MATCH($B262,'작업 Jobs'!$A$3:$A$1002,0)),""))</f>
      </c>
    </row>
    <row r="263" spans="7:10" x14ac:dyDescent="0.25">
      <c r="G263" s="42">
        <f>IF($B263="","",IFERROR(INDEX('작업 Jobs'!$D$3:$D$1002,MATCH($B263,'작업 Jobs'!$A$3:$A$1002,0)),"작업 ID 없음"))</f>
      </c>
      <c r="H263" s="41">
        <f>IF($C263="","",IF($D263="CARD",ROUND($C263*'설정 Settings'!$C$34+'설정 Settings'!$C$35,2),0))</f>
      </c>
      <c r="I263" s="42">
        <f>IF($C263="","",IF($C263&gt;'설정 Settings'!$C$36,"$2,000 초과: 은행 한도 확인, 나눠 받기 (F36)",""))</f>
      </c>
      <c r="J263" s="41">
        <f>IF($B263="","",IFERROR(INDEX('작업 Jobs'!$P$3:$P$1002,MATCH($B263,'작업 Jobs'!$A$3:$A$1002,0)),""))</f>
      </c>
    </row>
    <row r="264" spans="7:10" x14ac:dyDescent="0.25">
      <c r="G264" s="42">
        <f>IF($B264="","",IFERROR(INDEX('작업 Jobs'!$D$3:$D$1002,MATCH($B264,'작업 Jobs'!$A$3:$A$1002,0)),"작업 ID 없음"))</f>
      </c>
      <c r="H264" s="41">
        <f>IF($C264="","",IF($D264="CARD",ROUND($C264*'설정 Settings'!$C$34+'설정 Settings'!$C$35,2),0))</f>
      </c>
      <c r="I264" s="42">
        <f>IF($C264="","",IF($C264&gt;'설정 Settings'!$C$36,"$2,000 초과: 은행 한도 확인, 나눠 받기 (F36)",""))</f>
      </c>
      <c r="J264" s="41">
        <f>IF($B264="","",IFERROR(INDEX('작업 Jobs'!$P$3:$P$1002,MATCH($B264,'작업 Jobs'!$A$3:$A$1002,0)),""))</f>
      </c>
    </row>
    <row r="265" spans="7:10" x14ac:dyDescent="0.25">
      <c r="G265" s="42">
        <f>IF($B265="","",IFERROR(INDEX('작업 Jobs'!$D$3:$D$1002,MATCH($B265,'작업 Jobs'!$A$3:$A$1002,0)),"작업 ID 없음"))</f>
      </c>
      <c r="H265" s="41">
        <f>IF($C265="","",IF($D265="CARD",ROUND($C265*'설정 Settings'!$C$34+'설정 Settings'!$C$35,2),0))</f>
      </c>
      <c r="I265" s="42">
        <f>IF($C265="","",IF($C265&gt;'설정 Settings'!$C$36,"$2,000 초과: 은행 한도 확인, 나눠 받기 (F36)",""))</f>
      </c>
      <c r="J265" s="41">
        <f>IF($B265="","",IFERROR(INDEX('작업 Jobs'!$P$3:$P$1002,MATCH($B265,'작업 Jobs'!$A$3:$A$1002,0)),""))</f>
      </c>
    </row>
    <row r="266" spans="7:10" x14ac:dyDescent="0.25">
      <c r="G266" s="42">
        <f>IF($B266="","",IFERROR(INDEX('작업 Jobs'!$D$3:$D$1002,MATCH($B266,'작업 Jobs'!$A$3:$A$1002,0)),"작업 ID 없음"))</f>
      </c>
      <c r="H266" s="41">
        <f>IF($C266="","",IF($D266="CARD",ROUND($C266*'설정 Settings'!$C$34+'설정 Settings'!$C$35,2),0))</f>
      </c>
      <c r="I266" s="42">
        <f>IF($C266="","",IF($C266&gt;'설정 Settings'!$C$36,"$2,000 초과: 은행 한도 확인, 나눠 받기 (F36)",""))</f>
      </c>
      <c r="J266" s="41">
        <f>IF($B266="","",IFERROR(INDEX('작업 Jobs'!$P$3:$P$1002,MATCH($B266,'작업 Jobs'!$A$3:$A$1002,0)),""))</f>
      </c>
    </row>
    <row r="267" spans="7:10" x14ac:dyDescent="0.25">
      <c r="G267" s="42">
        <f>IF($B267="","",IFERROR(INDEX('작업 Jobs'!$D$3:$D$1002,MATCH($B267,'작업 Jobs'!$A$3:$A$1002,0)),"작업 ID 없음"))</f>
      </c>
      <c r="H267" s="41">
        <f>IF($C267="","",IF($D267="CARD",ROUND($C267*'설정 Settings'!$C$34+'설정 Settings'!$C$35,2),0))</f>
      </c>
      <c r="I267" s="42">
        <f>IF($C267="","",IF($C267&gt;'설정 Settings'!$C$36,"$2,000 초과: 은행 한도 확인, 나눠 받기 (F36)",""))</f>
      </c>
      <c r="J267" s="41">
        <f>IF($B267="","",IFERROR(INDEX('작업 Jobs'!$P$3:$P$1002,MATCH($B267,'작업 Jobs'!$A$3:$A$1002,0)),""))</f>
      </c>
    </row>
    <row r="268" spans="7:10" x14ac:dyDescent="0.25">
      <c r="G268" s="42">
        <f>IF($B268="","",IFERROR(INDEX('작업 Jobs'!$D$3:$D$1002,MATCH($B268,'작업 Jobs'!$A$3:$A$1002,0)),"작업 ID 없음"))</f>
      </c>
      <c r="H268" s="41">
        <f>IF($C268="","",IF($D268="CARD",ROUND($C268*'설정 Settings'!$C$34+'설정 Settings'!$C$35,2),0))</f>
      </c>
      <c r="I268" s="42">
        <f>IF($C268="","",IF($C268&gt;'설정 Settings'!$C$36,"$2,000 초과: 은행 한도 확인, 나눠 받기 (F36)",""))</f>
      </c>
      <c r="J268" s="41">
        <f>IF($B268="","",IFERROR(INDEX('작업 Jobs'!$P$3:$P$1002,MATCH($B268,'작업 Jobs'!$A$3:$A$1002,0)),""))</f>
      </c>
    </row>
    <row r="269" spans="7:10" x14ac:dyDescent="0.25">
      <c r="G269" s="42">
        <f>IF($B269="","",IFERROR(INDEX('작업 Jobs'!$D$3:$D$1002,MATCH($B269,'작업 Jobs'!$A$3:$A$1002,0)),"작업 ID 없음"))</f>
      </c>
      <c r="H269" s="41">
        <f>IF($C269="","",IF($D269="CARD",ROUND($C269*'설정 Settings'!$C$34+'설정 Settings'!$C$35,2),0))</f>
      </c>
      <c r="I269" s="42">
        <f>IF($C269="","",IF($C269&gt;'설정 Settings'!$C$36,"$2,000 초과: 은행 한도 확인, 나눠 받기 (F36)",""))</f>
      </c>
      <c r="J269" s="41">
        <f>IF($B269="","",IFERROR(INDEX('작업 Jobs'!$P$3:$P$1002,MATCH($B269,'작업 Jobs'!$A$3:$A$1002,0)),""))</f>
      </c>
    </row>
    <row r="270" spans="7:10" x14ac:dyDescent="0.25">
      <c r="G270" s="42">
        <f>IF($B270="","",IFERROR(INDEX('작업 Jobs'!$D$3:$D$1002,MATCH($B270,'작업 Jobs'!$A$3:$A$1002,0)),"작업 ID 없음"))</f>
      </c>
      <c r="H270" s="41">
        <f>IF($C270="","",IF($D270="CARD",ROUND($C270*'설정 Settings'!$C$34+'설정 Settings'!$C$35,2),0))</f>
      </c>
      <c r="I270" s="42">
        <f>IF($C270="","",IF($C270&gt;'설정 Settings'!$C$36,"$2,000 초과: 은행 한도 확인, 나눠 받기 (F36)",""))</f>
      </c>
      <c r="J270" s="41">
        <f>IF($B270="","",IFERROR(INDEX('작업 Jobs'!$P$3:$P$1002,MATCH($B270,'작업 Jobs'!$A$3:$A$1002,0)),""))</f>
      </c>
    </row>
    <row r="271" spans="7:10" x14ac:dyDescent="0.25">
      <c r="G271" s="42">
        <f>IF($B271="","",IFERROR(INDEX('작업 Jobs'!$D$3:$D$1002,MATCH($B271,'작업 Jobs'!$A$3:$A$1002,0)),"작업 ID 없음"))</f>
      </c>
      <c r="H271" s="41">
        <f>IF($C271="","",IF($D271="CARD",ROUND($C271*'설정 Settings'!$C$34+'설정 Settings'!$C$35,2),0))</f>
      </c>
      <c r="I271" s="42">
        <f>IF($C271="","",IF($C271&gt;'설정 Settings'!$C$36,"$2,000 초과: 은행 한도 확인, 나눠 받기 (F36)",""))</f>
      </c>
      <c r="J271" s="41">
        <f>IF($B271="","",IFERROR(INDEX('작업 Jobs'!$P$3:$P$1002,MATCH($B271,'작업 Jobs'!$A$3:$A$1002,0)),""))</f>
      </c>
    </row>
    <row r="272" spans="7:10" x14ac:dyDescent="0.25">
      <c r="G272" s="42">
        <f>IF($B272="","",IFERROR(INDEX('작업 Jobs'!$D$3:$D$1002,MATCH($B272,'작업 Jobs'!$A$3:$A$1002,0)),"작업 ID 없음"))</f>
      </c>
      <c r="H272" s="41">
        <f>IF($C272="","",IF($D272="CARD",ROUND($C272*'설정 Settings'!$C$34+'설정 Settings'!$C$35,2),0))</f>
      </c>
      <c r="I272" s="42">
        <f>IF($C272="","",IF($C272&gt;'설정 Settings'!$C$36,"$2,000 초과: 은행 한도 확인, 나눠 받기 (F36)",""))</f>
      </c>
      <c r="J272" s="41">
        <f>IF($B272="","",IFERROR(INDEX('작업 Jobs'!$P$3:$P$1002,MATCH($B272,'작업 Jobs'!$A$3:$A$1002,0)),""))</f>
      </c>
    </row>
    <row r="273" spans="7:10" x14ac:dyDescent="0.25">
      <c r="G273" s="42">
        <f>IF($B273="","",IFERROR(INDEX('작업 Jobs'!$D$3:$D$1002,MATCH($B273,'작업 Jobs'!$A$3:$A$1002,0)),"작업 ID 없음"))</f>
      </c>
      <c r="H273" s="41">
        <f>IF($C273="","",IF($D273="CARD",ROUND($C273*'설정 Settings'!$C$34+'설정 Settings'!$C$35,2),0))</f>
      </c>
      <c r="I273" s="42">
        <f>IF($C273="","",IF($C273&gt;'설정 Settings'!$C$36,"$2,000 초과: 은행 한도 확인, 나눠 받기 (F36)",""))</f>
      </c>
      <c r="J273" s="41">
        <f>IF($B273="","",IFERROR(INDEX('작업 Jobs'!$P$3:$P$1002,MATCH($B273,'작업 Jobs'!$A$3:$A$1002,0)),""))</f>
      </c>
    </row>
    <row r="274" spans="7:10" x14ac:dyDescent="0.25">
      <c r="G274" s="42">
        <f>IF($B274="","",IFERROR(INDEX('작업 Jobs'!$D$3:$D$1002,MATCH($B274,'작업 Jobs'!$A$3:$A$1002,0)),"작업 ID 없음"))</f>
      </c>
      <c r="H274" s="41">
        <f>IF($C274="","",IF($D274="CARD",ROUND($C274*'설정 Settings'!$C$34+'설정 Settings'!$C$35,2),0))</f>
      </c>
      <c r="I274" s="42">
        <f>IF($C274="","",IF($C274&gt;'설정 Settings'!$C$36,"$2,000 초과: 은행 한도 확인, 나눠 받기 (F36)",""))</f>
      </c>
      <c r="J274" s="41">
        <f>IF($B274="","",IFERROR(INDEX('작업 Jobs'!$P$3:$P$1002,MATCH($B274,'작업 Jobs'!$A$3:$A$1002,0)),""))</f>
      </c>
    </row>
    <row r="275" spans="7:10" x14ac:dyDescent="0.25">
      <c r="G275" s="42">
        <f>IF($B275="","",IFERROR(INDEX('작업 Jobs'!$D$3:$D$1002,MATCH($B275,'작업 Jobs'!$A$3:$A$1002,0)),"작업 ID 없음"))</f>
      </c>
      <c r="H275" s="41">
        <f>IF($C275="","",IF($D275="CARD",ROUND($C275*'설정 Settings'!$C$34+'설정 Settings'!$C$35,2),0))</f>
      </c>
      <c r="I275" s="42">
        <f>IF($C275="","",IF($C275&gt;'설정 Settings'!$C$36,"$2,000 초과: 은행 한도 확인, 나눠 받기 (F36)",""))</f>
      </c>
      <c r="J275" s="41">
        <f>IF($B275="","",IFERROR(INDEX('작업 Jobs'!$P$3:$P$1002,MATCH($B275,'작업 Jobs'!$A$3:$A$1002,0)),""))</f>
      </c>
    </row>
    <row r="276" spans="7:10" x14ac:dyDescent="0.25">
      <c r="G276" s="42">
        <f>IF($B276="","",IFERROR(INDEX('작업 Jobs'!$D$3:$D$1002,MATCH($B276,'작업 Jobs'!$A$3:$A$1002,0)),"작업 ID 없음"))</f>
      </c>
      <c r="H276" s="41">
        <f>IF($C276="","",IF($D276="CARD",ROUND($C276*'설정 Settings'!$C$34+'설정 Settings'!$C$35,2),0))</f>
      </c>
      <c r="I276" s="42">
        <f>IF($C276="","",IF($C276&gt;'설정 Settings'!$C$36,"$2,000 초과: 은행 한도 확인, 나눠 받기 (F36)",""))</f>
      </c>
      <c r="J276" s="41">
        <f>IF($B276="","",IFERROR(INDEX('작업 Jobs'!$P$3:$P$1002,MATCH($B276,'작업 Jobs'!$A$3:$A$1002,0)),""))</f>
      </c>
    </row>
    <row r="277" spans="7:10" x14ac:dyDescent="0.25">
      <c r="G277" s="42">
        <f>IF($B277="","",IFERROR(INDEX('작업 Jobs'!$D$3:$D$1002,MATCH($B277,'작업 Jobs'!$A$3:$A$1002,0)),"작업 ID 없음"))</f>
      </c>
      <c r="H277" s="41">
        <f>IF($C277="","",IF($D277="CARD",ROUND($C277*'설정 Settings'!$C$34+'설정 Settings'!$C$35,2),0))</f>
      </c>
      <c r="I277" s="42">
        <f>IF($C277="","",IF($C277&gt;'설정 Settings'!$C$36,"$2,000 초과: 은행 한도 확인, 나눠 받기 (F36)",""))</f>
      </c>
      <c r="J277" s="41">
        <f>IF($B277="","",IFERROR(INDEX('작업 Jobs'!$P$3:$P$1002,MATCH($B277,'작업 Jobs'!$A$3:$A$1002,0)),""))</f>
      </c>
    </row>
    <row r="278" spans="7:10" x14ac:dyDescent="0.25">
      <c r="G278" s="42">
        <f>IF($B278="","",IFERROR(INDEX('작업 Jobs'!$D$3:$D$1002,MATCH($B278,'작업 Jobs'!$A$3:$A$1002,0)),"작업 ID 없음"))</f>
      </c>
      <c r="H278" s="41">
        <f>IF($C278="","",IF($D278="CARD",ROUND($C278*'설정 Settings'!$C$34+'설정 Settings'!$C$35,2),0))</f>
      </c>
      <c r="I278" s="42">
        <f>IF($C278="","",IF($C278&gt;'설정 Settings'!$C$36,"$2,000 초과: 은행 한도 확인, 나눠 받기 (F36)",""))</f>
      </c>
      <c r="J278" s="41">
        <f>IF($B278="","",IFERROR(INDEX('작업 Jobs'!$P$3:$P$1002,MATCH($B278,'작업 Jobs'!$A$3:$A$1002,0)),""))</f>
      </c>
    </row>
    <row r="279" spans="7:10" x14ac:dyDescent="0.25">
      <c r="G279" s="42">
        <f>IF($B279="","",IFERROR(INDEX('작업 Jobs'!$D$3:$D$1002,MATCH($B279,'작업 Jobs'!$A$3:$A$1002,0)),"작업 ID 없음"))</f>
      </c>
      <c r="H279" s="41">
        <f>IF($C279="","",IF($D279="CARD",ROUND($C279*'설정 Settings'!$C$34+'설정 Settings'!$C$35,2),0))</f>
      </c>
      <c r="I279" s="42">
        <f>IF($C279="","",IF($C279&gt;'설정 Settings'!$C$36,"$2,000 초과: 은행 한도 확인, 나눠 받기 (F36)",""))</f>
      </c>
      <c r="J279" s="41">
        <f>IF($B279="","",IFERROR(INDEX('작업 Jobs'!$P$3:$P$1002,MATCH($B279,'작업 Jobs'!$A$3:$A$1002,0)),""))</f>
      </c>
    </row>
    <row r="280" spans="7:10" x14ac:dyDescent="0.25">
      <c r="G280" s="42">
        <f>IF($B280="","",IFERROR(INDEX('작업 Jobs'!$D$3:$D$1002,MATCH($B280,'작업 Jobs'!$A$3:$A$1002,0)),"작업 ID 없음"))</f>
      </c>
      <c r="H280" s="41">
        <f>IF($C280="","",IF($D280="CARD",ROUND($C280*'설정 Settings'!$C$34+'설정 Settings'!$C$35,2),0))</f>
      </c>
      <c r="I280" s="42">
        <f>IF($C280="","",IF($C280&gt;'설정 Settings'!$C$36,"$2,000 초과: 은행 한도 확인, 나눠 받기 (F36)",""))</f>
      </c>
      <c r="J280" s="41">
        <f>IF($B280="","",IFERROR(INDEX('작업 Jobs'!$P$3:$P$1002,MATCH($B280,'작업 Jobs'!$A$3:$A$1002,0)),""))</f>
      </c>
    </row>
    <row r="281" spans="7:10" x14ac:dyDescent="0.25">
      <c r="G281" s="42">
        <f>IF($B281="","",IFERROR(INDEX('작업 Jobs'!$D$3:$D$1002,MATCH($B281,'작업 Jobs'!$A$3:$A$1002,0)),"작업 ID 없음"))</f>
      </c>
      <c r="H281" s="41">
        <f>IF($C281="","",IF($D281="CARD",ROUND($C281*'설정 Settings'!$C$34+'설정 Settings'!$C$35,2),0))</f>
      </c>
      <c r="I281" s="42">
        <f>IF($C281="","",IF($C281&gt;'설정 Settings'!$C$36,"$2,000 초과: 은행 한도 확인, 나눠 받기 (F36)",""))</f>
      </c>
      <c r="J281" s="41">
        <f>IF($B281="","",IFERROR(INDEX('작업 Jobs'!$P$3:$P$1002,MATCH($B281,'작업 Jobs'!$A$3:$A$1002,0)),""))</f>
      </c>
    </row>
    <row r="282" spans="7:10" x14ac:dyDescent="0.25">
      <c r="G282" s="42">
        <f>IF($B282="","",IFERROR(INDEX('작업 Jobs'!$D$3:$D$1002,MATCH($B282,'작업 Jobs'!$A$3:$A$1002,0)),"작업 ID 없음"))</f>
      </c>
      <c r="H282" s="41">
        <f>IF($C282="","",IF($D282="CARD",ROUND($C282*'설정 Settings'!$C$34+'설정 Settings'!$C$35,2),0))</f>
      </c>
      <c r="I282" s="42">
        <f>IF($C282="","",IF($C282&gt;'설정 Settings'!$C$36,"$2,000 초과: 은행 한도 확인, 나눠 받기 (F36)",""))</f>
      </c>
      <c r="J282" s="41">
        <f>IF($B282="","",IFERROR(INDEX('작업 Jobs'!$P$3:$P$1002,MATCH($B282,'작업 Jobs'!$A$3:$A$1002,0)),""))</f>
      </c>
    </row>
    <row r="283" spans="7:10" x14ac:dyDescent="0.25">
      <c r="G283" s="42">
        <f>IF($B283="","",IFERROR(INDEX('작업 Jobs'!$D$3:$D$1002,MATCH($B283,'작업 Jobs'!$A$3:$A$1002,0)),"작업 ID 없음"))</f>
      </c>
      <c r="H283" s="41">
        <f>IF($C283="","",IF($D283="CARD",ROUND($C283*'설정 Settings'!$C$34+'설정 Settings'!$C$35,2),0))</f>
      </c>
      <c r="I283" s="42">
        <f>IF($C283="","",IF($C283&gt;'설정 Settings'!$C$36,"$2,000 초과: 은행 한도 확인, 나눠 받기 (F36)",""))</f>
      </c>
      <c r="J283" s="41">
        <f>IF($B283="","",IFERROR(INDEX('작업 Jobs'!$P$3:$P$1002,MATCH($B283,'작업 Jobs'!$A$3:$A$1002,0)),""))</f>
      </c>
    </row>
    <row r="284" spans="7:10" x14ac:dyDescent="0.25">
      <c r="G284" s="42">
        <f>IF($B284="","",IFERROR(INDEX('작업 Jobs'!$D$3:$D$1002,MATCH($B284,'작업 Jobs'!$A$3:$A$1002,0)),"작업 ID 없음"))</f>
      </c>
      <c r="H284" s="41">
        <f>IF($C284="","",IF($D284="CARD",ROUND($C284*'설정 Settings'!$C$34+'설정 Settings'!$C$35,2),0))</f>
      </c>
      <c r="I284" s="42">
        <f>IF($C284="","",IF($C284&gt;'설정 Settings'!$C$36,"$2,000 초과: 은행 한도 확인, 나눠 받기 (F36)",""))</f>
      </c>
      <c r="J284" s="41">
        <f>IF($B284="","",IFERROR(INDEX('작업 Jobs'!$P$3:$P$1002,MATCH($B284,'작업 Jobs'!$A$3:$A$1002,0)),""))</f>
      </c>
    </row>
    <row r="285" spans="7:10" x14ac:dyDescent="0.25">
      <c r="G285" s="42">
        <f>IF($B285="","",IFERROR(INDEX('작업 Jobs'!$D$3:$D$1002,MATCH($B285,'작업 Jobs'!$A$3:$A$1002,0)),"작업 ID 없음"))</f>
      </c>
      <c r="H285" s="41">
        <f>IF($C285="","",IF($D285="CARD",ROUND($C285*'설정 Settings'!$C$34+'설정 Settings'!$C$35,2),0))</f>
      </c>
      <c r="I285" s="42">
        <f>IF($C285="","",IF($C285&gt;'설정 Settings'!$C$36,"$2,000 초과: 은행 한도 확인, 나눠 받기 (F36)",""))</f>
      </c>
      <c r="J285" s="41">
        <f>IF($B285="","",IFERROR(INDEX('작업 Jobs'!$P$3:$P$1002,MATCH($B285,'작업 Jobs'!$A$3:$A$1002,0)),""))</f>
      </c>
    </row>
    <row r="286" spans="7:10" x14ac:dyDescent="0.25">
      <c r="G286" s="42">
        <f>IF($B286="","",IFERROR(INDEX('작업 Jobs'!$D$3:$D$1002,MATCH($B286,'작업 Jobs'!$A$3:$A$1002,0)),"작업 ID 없음"))</f>
      </c>
      <c r="H286" s="41">
        <f>IF($C286="","",IF($D286="CARD",ROUND($C286*'설정 Settings'!$C$34+'설정 Settings'!$C$35,2),0))</f>
      </c>
      <c r="I286" s="42">
        <f>IF($C286="","",IF($C286&gt;'설정 Settings'!$C$36,"$2,000 초과: 은행 한도 확인, 나눠 받기 (F36)",""))</f>
      </c>
      <c r="J286" s="41">
        <f>IF($B286="","",IFERROR(INDEX('작업 Jobs'!$P$3:$P$1002,MATCH($B286,'작업 Jobs'!$A$3:$A$1002,0)),""))</f>
      </c>
    </row>
    <row r="287" spans="7:10" x14ac:dyDescent="0.25">
      <c r="G287" s="42">
        <f>IF($B287="","",IFERROR(INDEX('작업 Jobs'!$D$3:$D$1002,MATCH($B287,'작업 Jobs'!$A$3:$A$1002,0)),"작업 ID 없음"))</f>
      </c>
      <c r="H287" s="41">
        <f>IF($C287="","",IF($D287="CARD",ROUND($C287*'설정 Settings'!$C$34+'설정 Settings'!$C$35,2),0))</f>
      </c>
      <c r="I287" s="42">
        <f>IF($C287="","",IF($C287&gt;'설정 Settings'!$C$36,"$2,000 초과: 은행 한도 확인, 나눠 받기 (F36)",""))</f>
      </c>
      <c r="J287" s="41">
        <f>IF($B287="","",IFERROR(INDEX('작업 Jobs'!$P$3:$P$1002,MATCH($B287,'작업 Jobs'!$A$3:$A$1002,0)),""))</f>
      </c>
    </row>
    <row r="288" spans="7:10" x14ac:dyDescent="0.25">
      <c r="G288" s="42">
        <f>IF($B288="","",IFERROR(INDEX('작업 Jobs'!$D$3:$D$1002,MATCH($B288,'작업 Jobs'!$A$3:$A$1002,0)),"작업 ID 없음"))</f>
      </c>
      <c r="H288" s="41">
        <f>IF($C288="","",IF($D288="CARD",ROUND($C288*'설정 Settings'!$C$34+'설정 Settings'!$C$35,2),0))</f>
      </c>
      <c r="I288" s="42">
        <f>IF($C288="","",IF($C288&gt;'설정 Settings'!$C$36,"$2,000 초과: 은행 한도 확인, 나눠 받기 (F36)",""))</f>
      </c>
      <c r="J288" s="41">
        <f>IF($B288="","",IFERROR(INDEX('작업 Jobs'!$P$3:$P$1002,MATCH($B288,'작업 Jobs'!$A$3:$A$1002,0)),""))</f>
      </c>
    </row>
    <row r="289" spans="7:10" x14ac:dyDescent="0.25">
      <c r="G289" s="42">
        <f>IF($B289="","",IFERROR(INDEX('작업 Jobs'!$D$3:$D$1002,MATCH($B289,'작업 Jobs'!$A$3:$A$1002,0)),"작업 ID 없음"))</f>
      </c>
      <c r="H289" s="41">
        <f>IF($C289="","",IF($D289="CARD",ROUND($C289*'설정 Settings'!$C$34+'설정 Settings'!$C$35,2),0))</f>
      </c>
      <c r="I289" s="42">
        <f>IF($C289="","",IF($C289&gt;'설정 Settings'!$C$36,"$2,000 초과: 은행 한도 확인, 나눠 받기 (F36)",""))</f>
      </c>
      <c r="J289" s="41">
        <f>IF($B289="","",IFERROR(INDEX('작업 Jobs'!$P$3:$P$1002,MATCH($B289,'작업 Jobs'!$A$3:$A$1002,0)),""))</f>
      </c>
    </row>
    <row r="290" spans="7:10" x14ac:dyDescent="0.25">
      <c r="G290" s="42">
        <f>IF($B290="","",IFERROR(INDEX('작업 Jobs'!$D$3:$D$1002,MATCH($B290,'작업 Jobs'!$A$3:$A$1002,0)),"작업 ID 없음"))</f>
      </c>
      <c r="H290" s="41">
        <f>IF($C290="","",IF($D290="CARD",ROUND($C290*'설정 Settings'!$C$34+'설정 Settings'!$C$35,2),0))</f>
      </c>
      <c r="I290" s="42">
        <f>IF($C290="","",IF($C290&gt;'설정 Settings'!$C$36,"$2,000 초과: 은행 한도 확인, 나눠 받기 (F36)",""))</f>
      </c>
      <c r="J290" s="41">
        <f>IF($B290="","",IFERROR(INDEX('작업 Jobs'!$P$3:$P$1002,MATCH($B290,'작업 Jobs'!$A$3:$A$1002,0)),""))</f>
      </c>
    </row>
    <row r="291" spans="7:10" x14ac:dyDescent="0.25">
      <c r="G291" s="42">
        <f>IF($B291="","",IFERROR(INDEX('작업 Jobs'!$D$3:$D$1002,MATCH($B291,'작업 Jobs'!$A$3:$A$1002,0)),"작업 ID 없음"))</f>
      </c>
      <c r="H291" s="41">
        <f>IF($C291="","",IF($D291="CARD",ROUND($C291*'설정 Settings'!$C$34+'설정 Settings'!$C$35,2),0))</f>
      </c>
      <c r="I291" s="42">
        <f>IF($C291="","",IF($C291&gt;'설정 Settings'!$C$36,"$2,000 초과: 은행 한도 확인, 나눠 받기 (F36)",""))</f>
      </c>
      <c r="J291" s="41">
        <f>IF($B291="","",IFERROR(INDEX('작업 Jobs'!$P$3:$P$1002,MATCH($B291,'작업 Jobs'!$A$3:$A$1002,0)),""))</f>
      </c>
    </row>
    <row r="292" spans="7:10" x14ac:dyDescent="0.25">
      <c r="G292" s="42">
        <f>IF($B292="","",IFERROR(INDEX('작업 Jobs'!$D$3:$D$1002,MATCH($B292,'작업 Jobs'!$A$3:$A$1002,0)),"작업 ID 없음"))</f>
      </c>
      <c r="H292" s="41">
        <f>IF($C292="","",IF($D292="CARD",ROUND($C292*'설정 Settings'!$C$34+'설정 Settings'!$C$35,2),0))</f>
      </c>
      <c r="I292" s="42">
        <f>IF($C292="","",IF($C292&gt;'설정 Settings'!$C$36,"$2,000 초과: 은행 한도 확인, 나눠 받기 (F36)",""))</f>
      </c>
      <c r="J292" s="41">
        <f>IF($B292="","",IFERROR(INDEX('작업 Jobs'!$P$3:$P$1002,MATCH($B292,'작업 Jobs'!$A$3:$A$1002,0)),""))</f>
      </c>
    </row>
    <row r="293" spans="7:10" x14ac:dyDescent="0.25">
      <c r="G293" s="42">
        <f>IF($B293="","",IFERROR(INDEX('작업 Jobs'!$D$3:$D$1002,MATCH($B293,'작업 Jobs'!$A$3:$A$1002,0)),"작업 ID 없음"))</f>
      </c>
      <c r="H293" s="41">
        <f>IF($C293="","",IF($D293="CARD",ROUND($C293*'설정 Settings'!$C$34+'설정 Settings'!$C$35,2),0))</f>
      </c>
      <c r="I293" s="42">
        <f>IF($C293="","",IF($C293&gt;'설정 Settings'!$C$36,"$2,000 초과: 은행 한도 확인, 나눠 받기 (F36)",""))</f>
      </c>
      <c r="J293" s="41">
        <f>IF($B293="","",IFERROR(INDEX('작업 Jobs'!$P$3:$P$1002,MATCH($B293,'작업 Jobs'!$A$3:$A$1002,0)),""))</f>
      </c>
    </row>
    <row r="294" spans="7:10" x14ac:dyDescent="0.25">
      <c r="G294" s="42">
        <f>IF($B294="","",IFERROR(INDEX('작업 Jobs'!$D$3:$D$1002,MATCH($B294,'작업 Jobs'!$A$3:$A$1002,0)),"작업 ID 없음"))</f>
      </c>
      <c r="H294" s="41">
        <f>IF($C294="","",IF($D294="CARD",ROUND($C294*'설정 Settings'!$C$34+'설정 Settings'!$C$35,2),0))</f>
      </c>
      <c r="I294" s="42">
        <f>IF($C294="","",IF($C294&gt;'설정 Settings'!$C$36,"$2,000 초과: 은행 한도 확인, 나눠 받기 (F36)",""))</f>
      </c>
      <c r="J294" s="41">
        <f>IF($B294="","",IFERROR(INDEX('작업 Jobs'!$P$3:$P$1002,MATCH($B294,'작업 Jobs'!$A$3:$A$1002,0)),""))</f>
      </c>
    </row>
    <row r="295" spans="7:10" x14ac:dyDescent="0.25">
      <c r="G295" s="42">
        <f>IF($B295="","",IFERROR(INDEX('작업 Jobs'!$D$3:$D$1002,MATCH($B295,'작업 Jobs'!$A$3:$A$1002,0)),"작업 ID 없음"))</f>
      </c>
      <c r="H295" s="41">
        <f>IF($C295="","",IF($D295="CARD",ROUND($C295*'설정 Settings'!$C$34+'설정 Settings'!$C$35,2),0))</f>
      </c>
      <c r="I295" s="42">
        <f>IF($C295="","",IF($C295&gt;'설정 Settings'!$C$36,"$2,000 초과: 은행 한도 확인, 나눠 받기 (F36)",""))</f>
      </c>
      <c r="J295" s="41">
        <f>IF($B295="","",IFERROR(INDEX('작업 Jobs'!$P$3:$P$1002,MATCH($B295,'작업 Jobs'!$A$3:$A$1002,0)),""))</f>
      </c>
    </row>
    <row r="296" spans="7:10" x14ac:dyDescent="0.25">
      <c r="G296" s="42">
        <f>IF($B296="","",IFERROR(INDEX('작업 Jobs'!$D$3:$D$1002,MATCH($B296,'작업 Jobs'!$A$3:$A$1002,0)),"작업 ID 없음"))</f>
      </c>
      <c r="H296" s="41">
        <f>IF($C296="","",IF($D296="CARD",ROUND($C296*'설정 Settings'!$C$34+'설정 Settings'!$C$35,2),0))</f>
      </c>
      <c r="I296" s="42">
        <f>IF($C296="","",IF($C296&gt;'설정 Settings'!$C$36,"$2,000 초과: 은행 한도 확인, 나눠 받기 (F36)",""))</f>
      </c>
      <c r="J296" s="41">
        <f>IF($B296="","",IFERROR(INDEX('작업 Jobs'!$P$3:$P$1002,MATCH($B296,'작업 Jobs'!$A$3:$A$1002,0)),""))</f>
      </c>
    </row>
    <row r="297" spans="7:10" x14ac:dyDescent="0.25">
      <c r="G297" s="42">
        <f>IF($B297="","",IFERROR(INDEX('작업 Jobs'!$D$3:$D$1002,MATCH($B297,'작업 Jobs'!$A$3:$A$1002,0)),"작업 ID 없음"))</f>
      </c>
      <c r="H297" s="41">
        <f>IF($C297="","",IF($D297="CARD",ROUND($C297*'설정 Settings'!$C$34+'설정 Settings'!$C$35,2),0))</f>
      </c>
      <c r="I297" s="42">
        <f>IF($C297="","",IF($C297&gt;'설정 Settings'!$C$36,"$2,000 초과: 은행 한도 확인, 나눠 받기 (F36)",""))</f>
      </c>
      <c r="J297" s="41">
        <f>IF($B297="","",IFERROR(INDEX('작업 Jobs'!$P$3:$P$1002,MATCH($B297,'작업 Jobs'!$A$3:$A$1002,0)),""))</f>
      </c>
    </row>
    <row r="298" spans="7:10" x14ac:dyDescent="0.25">
      <c r="G298" s="42">
        <f>IF($B298="","",IFERROR(INDEX('작업 Jobs'!$D$3:$D$1002,MATCH($B298,'작업 Jobs'!$A$3:$A$1002,0)),"작업 ID 없음"))</f>
      </c>
      <c r="H298" s="41">
        <f>IF($C298="","",IF($D298="CARD",ROUND($C298*'설정 Settings'!$C$34+'설정 Settings'!$C$35,2),0))</f>
      </c>
      <c r="I298" s="42">
        <f>IF($C298="","",IF($C298&gt;'설정 Settings'!$C$36,"$2,000 초과: 은행 한도 확인, 나눠 받기 (F36)",""))</f>
      </c>
      <c r="J298" s="41">
        <f>IF($B298="","",IFERROR(INDEX('작업 Jobs'!$P$3:$P$1002,MATCH($B298,'작업 Jobs'!$A$3:$A$1002,0)),""))</f>
      </c>
    </row>
    <row r="299" spans="7:10" x14ac:dyDescent="0.25">
      <c r="G299" s="42">
        <f>IF($B299="","",IFERROR(INDEX('작업 Jobs'!$D$3:$D$1002,MATCH($B299,'작업 Jobs'!$A$3:$A$1002,0)),"작업 ID 없음"))</f>
      </c>
      <c r="H299" s="41">
        <f>IF($C299="","",IF($D299="CARD",ROUND($C299*'설정 Settings'!$C$34+'설정 Settings'!$C$35,2),0))</f>
      </c>
      <c r="I299" s="42">
        <f>IF($C299="","",IF($C299&gt;'설정 Settings'!$C$36,"$2,000 초과: 은행 한도 확인, 나눠 받기 (F36)",""))</f>
      </c>
      <c r="J299" s="41">
        <f>IF($B299="","",IFERROR(INDEX('작업 Jobs'!$P$3:$P$1002,MATCH($B299,'작업 Jobs'!$A$3:$A$1002,0)),""))</f>
      </c>
    </row>
    <row r="300" spans="7:10" x14ac:dyDescent="0.25">
      <c r="G300" s="42">
        <f>IF($B300="","",IFERROR(INDEX('작업 Jobs'!$D$3:$D$1002,MATCH($B300,'작업 Jobs'!$A$3:$A$1002,0)),"작업 ID 없음"))</f>
      </c>
      <c r="H300" s="41">
        <f>IF($C300="","",IF($D300="CARD",ROUND($C300*'설정 Settings'!$C$34+'설정 Settings'!$C$35,2),0))</f>
      </c>
      <c r="I300" s="42">
        <f>IF($C300="","",IF($C300&gt;'설정 Settings'!$C$36,"$2,000 초과: 은행 한도 확인, 나눠 받기 (F36)",""))</f>
      </c>
      <c r="J300" s="41">
        <f>IF($B300="","",IFERROR(INDEX('작업 Jobs'!$P$3:$P$1002,MATCH($B300,'작업 Jobs'!$A$3:$A$1002,0)),""))</f>
      </c>
    </row>
    <row r="301" spans="7:10" x14ac:dyDescent="0.25">
      <c r="G301" s="42">
        <f>IF($B301="","",IFERROR(INDEX('작업 Jobs'!$D$3:$D$1002,MATCH($B301,'작업 Jobs'!$A$3:$A$1002,0)),"작업 ID 없음"))</f>
      </c>
      <c r="H301" s="41">
        <f>IF($C301="","",IF($D301="CARD",ROUND($C301*'설정 Settings'!$C$34+'설정 Settings'!$C$35,2),0))</f>
      </c>
      <c r="I301" s="42">
        <f>IF($C301="","",IF($C301&gt;'설정 Settings'!$C$36,"$2,000 초과: 은행 한도 확인, 나눠 받기 (F36)",""))</f>
      </c>
      <c r="J301" s="41">
        <f>IF($B301="","",IFERROR(INDEX('작업 Jobs'!$P$3:$P$1002,MATCH($B301,'작업 Jobs'!$A$3:$A$1002,0)),""))</f>
      </c>
    </row>
    <row r="302" spans="7:10" x14ac:dyDescent="0.25">
      <c r="G302" s="42">
        <f>IF($B302="","",IFERROR(INDEX('작업 Jobs'!$D$3:$D$1002,MATCH($B302,'작업 Jobs'!$A$3:$A$1002,0)),"작업 ID 없음"))</f>
      </c>
      <c r="H302" s="41">
        <f>IF($C302="","",IF($D302="CARD",ROUND($C302*'설정 Settings'!$C$34+'설정 Settings'!$C$35,2),0))</f>
      </c>
      <c r="I302" s="42">
        <f>IF($C302="","",IF($C302&gt;'설정 Settings'!$C$36,"$2,000 초과: 은행 한도 확인, 나눠 받기 (F36)",""))</f>
      </c>
      <c r="J302" s="41">
        <f>IF($B302="","",IFERROR(INDEX('작업 Jobs'!$P$3:$P$1002,MATCH($B302,'작업 Jobs'!$A$3:$A$1002,0)),""))</f>
      </c>
    </row>
    <row r="303" spans="7:10" x14ac:dyDescent="0.25">
      <c r="G303" s="42">
        <f>IF($B303="","",IFERROR(INDEX('작업 Jobs'!$D$3:$D$1002,MATCH($B303,'작업 Jobs'!$A$3:$A$1002,0)),"작업 ID 없음"))</f>
      </c>
      <c r="H303" s="41">
        <f>IF($C303="","",IF($D303="CARD",ROUND($C303*'설정 Settings'!$C$34+'설정 Settings'!$C$35,2),0))</f>
      </c>
      <c r="I303" s="42">
        <f>IF($C303="","",IF($C303&gt;'설정 Settings'!$C$36,"$2,000 초과: 은행 한도 확인, 나눠 받기 (F36)",""))</f>
      </c>
      <c r="J303" s="41">
        <f>IF($B303="","",IFERROR(INDEX('작업 Jobs'!$P$3:$P$1002,MATCH($B303,'작업 Jobs'!$A$3:$A$1002,0)),""))</f>
      </c>
    </row>
    <row r="304" spans="7:10" x14ac:dyDescent="0.25">
      <c r="G304" s="42">
        <f>IF($B304="","",IFERROR(INDEX('작업 Jobs'!$D$3:$D$1002,MATCH($B304,'작업 Jobs'!$A$3:$A$1002,0)),"작업 ID 없음"))</f>
      </c>
      <c r="H304" s="41">
        <f>IF($C304="","",IF($D304="CARD",ROUND($C304*'설정 Settings'!$C$34+'설정 Settings'!$C$35,2),0))</f>
      </c>
      <c r="I304" s="42">
        <f>IF($C304="","",IF($C304&gt;'설정 Settings'!$C$36,"$2,000 초과: 은행 한도 확인, 나눠 받기 (F36)",""))</f>
      </c>
      <c r="J304" s="41">
        <f>IF($B304="","",IFERROR(INDEX('작업 Jobs'!$P$3:$P$1002,MATCH($B304,'작업 Jobs'!$A$3:$A$1002,0)),""))</f>
      </c>
    </row>
    <row r="305" spans="7:10" x14ac:dyDescent="0.25">
      <c r="G305" s="42">
        <f>IF($B305="","",IFERROR(INDEX('작업 Jobs'!$D$3:$D$1002,MATCH($B305,'작업 Jobs'!$A$3:$A$1002,0)),"작업 ID 없음"))</f>
      </c>
      <c r="H305" s="41">
        <f>IF($C305="","",IF($D305="CARD",ROUND($C305*'설정 Settings'!$C$34+'설정 Settings'!$C$35,2),0))</f>
      </c>
      <c r="I305" s="42">
        <f>IF($C305="","",IF($C305&gt;'설정 Settings'!$C$36,"$2,000 초과: 은행 한도 확인, 나눠 받기 (F36)",""))</f>
      </c>
      <c r="J305" s="41">
        <f>IF($B305="","",IFERROR(INDEX('작업 Jobs'!$P$3:$P$1002,MATCH($B305,'작업 Jobs'!$A$3:$A$1002,0)),""))</f>
      </c>
    </row>
    <row r="306" spans="7:10" x14ac:dyDescent="0.25">
      <c r="G306" s="42">
        <f>IF($B306="","",IFERROR(INDEX('작업 Jobs'!$D$3:$D$1002,MATCH($B306,'작업 Jobs'!$A$3:$A$1002,0)),"작업 ID 없음"))</f>
      </c>
      <c r="H306" s="41">
        <f>IF($C306="","",IF($D306="CARD",ROUND($C306*'설정 Settings'!$C$34+'설정 Settings'!$C$35,2),0))</f>
      </c>
      <c r="I306" s="42">
        <f>IF($C306="","",IF($C306&gt;'설정 Settings'!$C$36,"$2,000 초과: 은행 한도 확인, 나눠 받기 (F36)",""))</f>
      </c>
      <c r="J306" s="41">
        <f>IF($B306="","",IFERROR(INDEX('작업 Jobs'!$P$3:$P$1002,MATCH($B306,'작업 Jobs'!$A$3:$A$1002,0)),""))</f>
      </c>
    </row>
    <row r="307" spans="7:10" x14ac:dyDescent="0.25">
      <c r="G307" s="42">
        <f>IF($B307="","",IFERROR(INDEX('작업 Jobs'!$D$3:$D$1002,MATCH($B307,'작업 Jobs'!$A$3:$A$1002,0)),"작업 ID 없음"))</f>
      </c>
      <c r="H307" s="41">
        <f>IF($C307="","",IF($D307="CARD",ROUND($C307*'설정 Settings'!$C$34+'설정 Settings'!$C$35,2),0))</f>
      </c>
      <c r="I307" s="42">
        <f>IF($C307="","",IF($C307&gt;'설정 Settings'!$C$36,"$2,000 초과: 은행 한도 확인, 나눠 받기 (F36)",""))</f>
      </c>
      <c r="J307" s="41">
        <f>IF($B307="","",IFERROR(INDEX('작업 Jobs'!$P$3:$P$1002,MATCH($B307,'작업 Jobs'!$A$3:$A$1002,0)),""))</f>
      </c>
    </row>
    <row r="308" spans="7:10" x14ac:dyDescent="0.25">
      <c r="G308" s="42">
        <f>IF($B308="","",IFERROR(INDEX('작업 Jobs'!$D$3:$D$1002,MATCH($B308,'작업 Jobs'!$A$3:$A$1002,0)),"작업 ID 없음"))</f>
      </c>
      <c r="H308" s="41">
        <f>IF($C308="","",IF($D308="CARD",ROUND($C308*'설정 Settings'!$C$34+'설정 Settings'!$C$35,2),0))</f>
      </c>
      <c r="I308" s="42">
        <f>IF($C308="","",IF($C308&gt;'설정 Settings'!$C$36,"$2,000 초과: 은행 한도 확인, 나눠 받기 (F36)",""))</f>
      </c>
      <c r="J308" s="41">
        <f>IF($B308="","",IFERROR(INDEX('작업 Jobs'!$P$3:$P$1002,MATCH($B308,'작업 Jobs'!$A$3:$A$1002,0)),""))</f>
      </c>
    </row>
    <row r="309" spans="7:10" x14ac:dyDescent="0.25">
      <c r="G309" s="42">
        <f>IF($B309="","",IFERROR(INDEX('작업 Jobs'!$D$3:$D$1002,MATCH($B309,'작업 Jobs'!$A$3:$A$1002,0)),"작업 ID 없음"))</f>
      </c>
      <c r="H309" s="41">
        <f>IF($C309="","",IF($D309="CARD",ROUND($C309*'설정 Settings'!$C$34+'설정 Settings'!$C$35,2),0))</f>
      </c>
      <c r="I309" s="42">
        <f>IF($C309="","",IF($C309&gt;'설정 Settings'!$C$36,"$2,000 초과: 은행 한도 확인, 나눠 받기 (F36)",""))</f>
      </c>
      <c r="J309" s="41">
        <f>IF($B309="","",IFERROR(INDEX('작업 Jobs'!$P$3:$P$1002,MATCH($B309,'작업 Jobs'!$A$3:$A$1002,0)),""))</f>
      </c>
    </row>
    <row r="310" spans="7:10" x14ac:dyDescent="0.25">
      <c r="G310" s="42">
        <f>IF($B310="","",IFERROR(INDEX('작업 Jobs'!$D$3:$D$1002,MATCH($B310,'작업 Jobs'!$A$3:$A$1002,0)),"작업 ID 없음"))</f>
      </c>
      <c r="H310" s="41">
        <f>IF($C310="","",IF($D310="CARD",ROUND($C310*'설정 Settings'!$C$34+'설정 Settings'!$C$35,2),0))</f>
      </c>
      <c r="I310" s="42">
        <f>IF($C310="","",IF($C310&gt;'설정 Settings'!$C$36,"$2,000 초과: 은행 한도 확인, 나눠 받기 (F36)",""))</f>
      </c>
      <c r="J310" s="41">
        <f>IF($B310="","",IFERROR(INDEX('작업 Jobs'!$P$3:$P$1002,MATCH($B310,'작업 Jobs'!$A$3:$A$1002,0)),""))</f>
      </c>
    </row>
    <row r="311" spans="7:10" x14ac:dyDescent="0.25">
      <c r="G311" s="42">
        <f>IF($B311="","",IFERROR(INDEX('작업 Jobs'!$D$3:$D$1002,MATCH($B311,'작업 Jobs'!$A$3:$A$1002,0)),"작업 ID 없음"))</f>
      </c>
      <c r="H311" s="41">
        <f>IF($C311="","",IF($D311="CARD",ROUND($C311*'설정 Settings'!$C$34+'설정 Settings'!$C$35,2),0))</f>
      </c>
      <c r="I311" s="42">
        <f>IF($C311="","",IF($C311&gt;'설정 Settings'!$C$36,"$2,000 초과: 은행 한도 확인, 나눠 받기 (F36)",""))</f>
      </c>
      <c r="J311" s="41">
        <f>IF($B311="","",IFERROR(INDEX('작업 Jobs'!$P$3:$P$1002,MATCH($B311,'작업 Jobs'!$A$3:$A$1002,0)),""))</f>
      </c>
    </row>
    <row r="312" spans="7:10" x14ac:dyDescent="0.25">
      <c r="G312" s="42">
        <f>IF($B312="","",IFERROR(INDEX('작업 Jobs'!$D$3:$D$1002,MATCH($B312,'작업 Jobs'!$A$3:$A$1002,0)),"작업 ID 없음"))</f>
      </c>
      <c r="H312" s="41">
        <f>IF($C312="","",IF($D312="CARD",ROUND($C312*'설정 Settings'!$C$34+'설정 Settings'!$C$35,2),0))</f>
      </c>
      <c r="I312" s="42">
        <f>IF($C312="","",IF($C312&gt;'설정 Settings'!$C$36,"$2,000 초과: 은행 한도 확인, 나눠 받기 (F36)",""))</f>
      </c>
      <c r="J312" s="41">
        <f>IF($B312="","",IFERROR(INDEX('작업 Jobs'!$P$3:$P$1002,MATCH($B312,'작업 Jobs'!$A$3:$A$1002,0)),""))</f>
      </c>
    </row>
    <row r="313" spans="7:10" x14ac:dyDescent="0.25">
      <c r="G313" s="42">
        <f>IF($B313="","",IFERROR(INDEX('작업 Jobs'!$D$3:$D$1002,MATCH($B313,'작업 Jobs'!$A$3:$A$1002,0)),"작업 ID 없음"))</f>
      </c>
      <c r="H313" s="41">
        <f>IF($C313="","",IF($D313="CARD",ROUND($C313*'설정 Settings'!$C$34+'설정 Settings'!$C$35,2),0))</f>
      </c>
      <c r="I313" s="42">
        <f>IF($C313="","",IF($C313&gt;'설정 Settings'!$C$36,"$2,000 초과: 은행 한도 확인, 나눠 받기 (F36)",""))</f>
      </c>
      <c r="J313" s="41">
        <f>IF($B313="","",IFERROR(INDEX('작업 Jobs'!$P$3:$P$1002,MATCH($B313,'작업 Jobs'!$A$3:$A$1002,0)),""))</f>
      </c>
    </row>
    <row r="314" spans="7:10" x14ac:dyDescent="0.25">
      <c r="G314" s="42">
        <f>IF($B314="","",IFERROR(INDEX('작업 Jobs'!$D$3:$D$1002,MATCH($B314,'작업 Jobs'!$A$3:$A$1002,0)),"작업 ID 없음"))</f>
      </c>
      <c r="H314" s="41">
        <f>IF($C314="","",IF($D314="CARD",ROUND($C314*'설정 Settings'!$C$34+'설정 Settings'!$C$35,2),0))</f>
      </c>
      <c r="I314" s="42">
        <f>IF($C314="","",IF($C314&gt;'설정 Settings'!$C$36,"$2,000 초과: 은행 한도 확인, 나눠 받기 (F36)",""))</f>
      </c>
      <c r="J314" s="41">
        <f>IF($B314="","",IFERROR(INDEX('작업 Jobs'!$P$3:$P$1002,MATCH($B314,'작업 Jobs'!$A$3:$A$1002,0)),""))</f>
      </c>
    </row>
    <row r="315" spans="7:10" x14ac:dyDescent="0.25">
      <c r="G315" s="42">
        <f>IF($B315="","",IFERROR(INDEX('작업 Jobs'!$D$3:$D$1002,MATCH($B315,'작업 Jobs'!$A$3:$A$1002,0)),"작업 ID 없음"))</f>
      </c>
      <c r="H315" s="41">
        <f>IF($C315="","",IF($D315="CARD",ROUND($C315*'설정 Settings'!$C$34+'설정 Settings'!$C$35,2),0))</f>
      </c>
      <c r="I315" s="42">
        <f>IF($C315="","",IF($C315&gt;'설정 Settings'!$C$36,"$2,000 초과: 은행 한도 확인, 나눠 받기 (F36)",""))</f>
      </c>
      <c r="J315" s="41">
        <f>IF($B315="","",IFERROR(INDEX('작업 Jobs'!$P$3:$P$1002,MATCH($B315,'작업 Jobs'!$A$3:$A$1002,0)),""))</f>
      </c>
    </row>
    <row r="316" spans="7:10" x14ac:dyDescent="0.25">
      <c r="G316" s="42">
        <f>IF($B316="","",IFERROR(INDEX('작업 Jobs'!$D$3:$D$1002,MATCH($B316,'작업 Jobs'!$A$3:$A$1002,0)),"작업 ID 없음"))</f>
      </c>
      <c r="H316" s="41">
        <f>IF($C316="","",IF($D316="CARD",ROUND($C316*'설정 Settings'!$C$34+'설정 Settings'!$C$35,2),0))</f>
      </c>
      <c r="I316" s="42">
        <f>IF($C316="","",IF($C316&gt;'설정 Settings'!$C$36,"$2,000 초과: 은행 한도 확인, 나눠 받기 (F36)",""))</f>
      </c>
      <c r="J316" s="41">
        <f>IF($B316="","",IFERROR(INDEX('작업 Jobs'!$P$3:$P$1002,MATCH($B316,'작업 Jobs'!$A$3:$A$1002,0)),""))</f>
      </c>
    </row>
    <row r="317" spans="7:10" x14ac:dyDescent="0.25">
      <c r="G317" s="42">
        <f>IF($B317="","",IFERROR(INDEX('작업 Jobs'!$D$3:$D$1002,MATCH($B317,'작업 Jobs'!$A$3:$A$1002,0)),"작업 ID 없음"))</f>
      </c>
      <c r="H317" s="41">
        <f>IF($C317="","",IF($D317="CARD",ROUND($C317*'설정 Settings'!$C$34+'설정 Settings'!$C$35,2),0))</f>
      </c>
      <c r="I317" s="42">
        <f>IF($C317="","",IF($C317&gt;'설정 Settings'!$C$36,"$2,000 초과: 은행 한도 확인, 나눠 받기 (F36)",""))</f>
      </c>
      <c r="J317" s="41">
        <f>IF($B317="","",IFERROR(INDEX('작업 Jobs'!$P$3:$P$1002,MATCH($B317,'작업 Jobs'!$A$3:$A$1002,0)),""))</f>
      </c>
    </row>
    <row r="318" spans="7:10" x14ac:dyDescent="0.25">
      <c r="G318" s="42">
        <f>IF($B318="","",IFERROR(INDEX('작업 Jobs'!$D$3:$D$1002,MATCH($B318,'작업 Jobs'!$A$3:$A$1002,0)),"작업 ID 없음"))</f>
      </c>
      <c r="H318" s="41">
        <f>IF($C318="","",IF($D318="CARD",ROUND($C318*'설정 Settings'!$C$34+'설정 Settings'!$C$35,2),0))</f>
      </c>
      <c r="I318" s="42">
        <f>IF($C318="","",IF($C318&gt;'설정 Settings'!$C$36,"$2,000 초과: 은행 한도 확인, 나눠 받기 (F36)",""))</f>
      </c>
      <c r="J318" s="41">
        <f>IF($B318="","",IFERROR(INDEX('작업 Jobs'!$P$3:$P$1002,MATCH($B318,'작업 Jobs'!$A$3:$A$1002,0)),""))</f>
      </c>
    </row>
    <row r="319" spans="7:10" x14ac:dyDescent="0.25">
      <c r="G319" s="42">
        <f>IF($B319="","",IFERROR(INDEX('작업 Jobs'!$D$3:$D$1002,MATCH($B319,'작업 Jobs'!$A$3:$A$1002,0)),"작업 ID 없음"))</f>
      </c>
      <c r="H319" s="41">
        <f>IF($C319="","",IF($D319="CARD",ROUND($C319*'설정 Settings'!$C$34+'설정 Settings'!$C$35,2),0))</f>
      </c>
      <c r="I319" s="42">
        <f>IF($C319="","",IF($C319&gt;'설정 Settings'!$C$36,"$2,000 초과: 은행 한도 확인, 나눠 받기 (F36)",""))</f>
      </c>
      <c r="J319" s="41">
        <f>IF($B319="","",IFERROR(INDEX('작업 Jobs'!$P$3:$P$1002,MATCH($B319,'작업 Jobs'!$A$3:$A$1002,0)),""))</f>
      </c>
    </row>
    <row r="320" spans="7:10" x14ac:dyDescent="0.25">
      <c r="G320" s="42">
        <f>IF($B320="","",IFERROR(INDEX('작업 Jobs'!$D$3:$D$1002,MATCH($B320,'작업 Jobs'!$A$3:$A$1002,0)),"작업 ID 없음"))</f>
      </c>
      <c r="H320" s="41">
        <f>IF($C320="","",IF($D320="CARD",ROUND($C320*'설정 Settings'!$C$34+'설정 Settings'!$C$35,2),0))</f>
      </c>
      <c r="I320" s="42">
        <f>IF($C320="","",IF($C320&gt;'설정 Settings'!$C$36,"$2,000 초과: 은행 한도 확인, 나눠 받기 (F36)",""))</f>
      </c>
      <c r="J320" s="41">
        <f>IF($B320="","",IFERROR(INDEX('작업 Jobs'!$P$3:$P$1002,MATCH($B320,'작업 Jobs'!$A$3:$A$1002,0)),""))</f>
      </c>
    </row>
    <row r="321" spans="7:10" x14ac:dyDescent="0.25">
      <c r="G321" s="42">
        <f>IF($B321="","",IFERROR(INDEX('작업 Jobs'!$D$3:$D$1002,MATCH($B321,'작업 Jobs'!$A$3:$A$1002,0)),"작업 ID 없음"))</f>
      </c>
      <c r="H321" s="41">
        <f>IF($C321="","",IF($D321="CARD",ROUND($C321*'설정 Settings'!$C$34+'설정 Settings'!$C$35,2),0))</f>
      </c>
      <c r="I321" s="42">
        <f>IF($C321="","",IF($C321&gt;'설정 Settings'!$C$36,"$2,000 초과: 은행 한도 확인, 나눠 받기 (F36)",""))</f>
      </c>
      <c r="J321" s="41">
        <f>IF($B321="","",IFERROR(INDEX('작업 Jobs'!$P$3:$P$1002,MATCH($B321,'작업 Jobs'!$A$3:$A$1002,0)),""))</f>
      </c>
    </row>
    <row r="322" spans="7:10" x14ac:dyDescent="0.25">
      <c r="G322" s="42">
        <f>IF($B322="","",IFERROR(INDEX('작업 Jobs'!$D$3:$D$1002,MATCH($B322,'작업 Jobs'!$A$3:$A$1002,0)),"작업 ID 없음"))</f>
      </c>
      <c r="H322" s="41">
        <f>IF($C322="","",IF($D322="CARD",ROUND($C322*'설정 Settings'!$C$34+'설정 Settings'!$C$35,2),0))</f>
      </c>
      <c r="I322" s="42">
        <f>IF($C322="","",IF($C322&gt;'설정 Settings'!$C$36,"$2,000 초과: 은행 한도 확인, 나눠 받기 (F36)",""))</f>
      </c>
      <c r="J322" s="41">
        <f>IF($B322="","",IFERROR(INDEX('작업 Jobs'!$P$3:$P$1002,MATCH($B322,'작업 Jobs'!$A$3:$A$1002,0)),""))</f>
      </c>
    </row>
    <row r="323" spans="7:10" x14ac:dyDescent="0.25">
      <c r="G323" s="42">
        <f>IF($B323="","",IFERROR(INDEX('작업 Jobs'!$D$3:$D$1002,MATCH($B323,'작업 Jobs'!$A$3:$A$1002,0)),"작업 ID 없음"))</f>
      </c>
      <c r="H323" s="41">
        <f>IF($C323="","",IF($D323="CARD",ROUND($C323*'설정 Settings'!$C$34+'설정 Settings'!$C$35,2),0))</f>
      </c>
      <c r="I323" s="42">
        <f>IF($C323="","",IF($C323&gt;'설정 Settings'!$C$36,"$2,000 초과: 은행 한도 확인, 나눠 받기 (F36)",""))</f>
      </c>
      <c r="J323" s="41">
        <f>IF($B323="","",IFERROR(INDEX('작업 Jobs'!$P$3:$P$1002,MATCH($B323,'작업 Jobs'!$A$3:$A$1002,0)),""))</f>
      </c>
    </row>
    <row r="324" spans="7:10" x14ac:dyDescent="0.25">
      <c r="G324" s="42">
        <f>IF($B324="","",IFERROR(INDEX('작업 Jobs'!$D$3:$D$1002,MATCH($B324,'작업 Jobs'!$A$3:$A$1002,0)),"작업 ID 없음"))</f>
      </c>
      <c r="H324" s="41">
        <f>IF($C324="","",IF($D324="CARD",ROUND($C324*'설정 Settings'!$C$34+'설정 Settings'!$C$35,2),0))</f>
      </c>
      <c r="I324" s="42">
        <f>IF($C324="","",IF($C324&gt;'설정 Settings'!$C$36,"$2,000 초과: 은행 한도 확인, 나눠 받기 (F36)",""))</f>
      </c>
      <c r="J324" s="41">
        <f>IF($B324="","",IFERROR(INDEX('작업 Jobs'!$P$3:$P$1002,MATCH($B324,'작업 Jobs'!$A$3:$A$1002,0)),""))</f>
      </c>
    </row>
    <row r="325" spans="7:10" x14ac:dyDescent="0.25">
      <c r="G325" s="42">
        <f>IF($B325="","",IFERROR(INDEX('작업 Jobs'!$D$3:$D$1002,MATCH($B325,'작업 Jobs'!$A$3:$A$1002,0)),"작업 ID 없음"))</f>
      </c>
      <c r="H325" s="41">
        <f>IF($C325="","",IF($D325="CARD",ROUND($C325*'설정 Settings'!$C$34+'설정 Settings'!$C$35,2),0))</f>
      </c>
      <c r="I325" s="42">
        <f>IF($C325="","",IF($C325&gt;'설정 Settings'!$C$36,"$2,000 초과: 은행 한도 확인, 나눠 받기 (F36)",""))</f>
      </c>
      <c r="J325" s="41">
        <f>IF($B325="","",IFERROR(INDEX('작업 Jobs'!$P$3:$P$1002,MATCH($B325,'작업 Jobs'!$A$3:$A$1002,0)),""))</f>
      </c>
    </row>
    <row r="326" spans="7:10" x14ac:dyDescent="0.25">
      <c r="G326" s="42">
        <f>IF($B326="","",IFERROR(INDEX('작업 Jobs'!$D$3:$D$1002,MATCH($B326,'작업 Jobs'!$A$3:$A$1002,0)),"작업 ID 없음"))</f>
      </c>
      <c r="H326" s="41">
        <f>IF($C326="","",IF($D326="CARD",ROUND($C326*'설정 Settings'!$C$34+'설정 Settings'!$C$35,2),0))</f>
      </c>
      <c r="I326" s="42">
        <f>IF($C326="","",IF($C326&gt;'설정 Settings'!$C$36,"$2,000 초과: 은행 한도 확인, 나눠 받기 (F36)",""))</f>
      </c>
      <c r="J326" s="41">
        <f>IF($B326="","",IFERROR(INDEX('작업 Jobs'!$P$3:$P$1002,MATCH($B326,'작업 Jobs'!$A$3:$A$1002,0)),""))</f>
      </c>
    </row>
    <row r="327" spans="7:10" x14ac:dyDescent="0.25">
      <c r="G327" s="42">
        <f>IF($B327="","",IFERROR(INDEX('작업 Jobs'!$D$3:$D$1002,MATCH($B327,'작업 Jobs'!$A$3:$A$1002,0)),"작업 ID 없음"))</f>
      </c>
      <c r="H327" s="41">
        <f>IF($C327="","",IF($D327="CARD",ROUND($C327*'설정 Settings'!$C$34+'설정 Settings'!$C$35,2),0))</f>
      </c>
      <c r="I327" s="42">
        <f>IF($C327="","",IF($C327&gt;'설정 Settings'!$C$36,"$2,000 초과: 은행 한도 확인, 나눠 받기 (F36)",""))</f>
      </c>
      <c r="J327" s="41">
        <f>IF($B327="","",IFERROR(INDEX('작업 Jobs'!$P$3:$P$1002,MATCH($B327,'작업 Jobs'!$A$3:$A$1002,0)),""))</f>
      </c>
    </row>
    <row r="328" spans="7:10" x14ac:dyDescent="0.25">
      <c r="G328" s="42">
        <f>IF($B328="","",IFERROR(INDEX('작업 Jobs'!$D$3:$D$1002,MATCH($B328,'작업 Jobs'!$A$3:$A$1002,0)),"작업 ID 없음"))</f>
      </c>
      <c r="H328" s="41">
        <f>IF($C328="","",IF($D328="CARD",ROUND($C328*'설정 Settings'!$C$34+'설정 Settings'!$C$35,2),0))</f>
      </c>
      <c r="I328" s="42">
        <f>IF($C328="","",IF($C328&gt;'설정 Settings'!$C$36,"$2,000 초과: 은행 한도 확인, 나눠 받기 (F36)",""))</f>
      </c>
      <c r="J328" s="41">
        <f>IF($B328="","",IFERROR(INDEX('작업 Jobs'!$P$3:$P$1002,MATCH($B328,'작업 Jobs'!$A$3:$A$1002,0)),""))</f>
      </c>
    </row>
    <row r="329" spans="7:10" x14ac:dyDescent="0.25">
      <c r="G329" s="42">
        <f>IF($B329="","",IFERROR(INDEX('작업 Jobs'!$D$3:$D$1002,MATCH($B329,'작업 Jobs'!$A$3:$A$1002,0)),"작업 ID 없음"))</f>
      </c>
      <c r="H329" s="41">
        <f>IF($C329="","",IF($D329="CARD",ROUND($C329*'설정 Settings'!$C$34+'설정 Settings'!$C$35,2),0))</f>
      </c>
      <c r="I329" s="42">
        <f>IF($C329="","",IF($C329&gt;'설정 Settings'!$C$36,"$2,000 초과: 은행 한도 확인, 나눠 받기 (F36)",""))</f>
      </c>
      <c r="J329" s="41">
        <f>IF($B329="","",IFERROR(INDEX('작업 Jobs'!$P$3:$P$1002,MATCH($B329,'작업 Jobs'!$A$3:$A$1002,0)),""))</f>
      </c>
    </row>
    <row r="330" spans="7:10" x14ac:dyDescent="0.25">
      <c r="G330" s="42">
        <f>IF($B330="","",IFERROR(INDEX('작업 Jobs'!$D$3:$D$1002,MATCH($B330,'작업 Jobs'!$A$3:$A$1002,0)),"작업 ID 없음"))</f>
      </c>
      <c r="H330" s="41">
        <f>IF($C330="","",IF($D330="CARD",ROUND($C330*'설정 Settings'!$C$34+'설정 Settings'!$C$35,2),0))</f>
      </c>
      <c r="I330" s="42">
        <f>IF($C330="","",IF($C330&gt;'설정 Settings'!$C$36,"$2,000 초과: 은행 한도 확인, 나눠 받기 (F36)",""))</f>
      </c>
      <c r="J330" s="41">
        <f>IF($B330="","",IFERROR(INDEX('작업 Jobs'!$P$3:$P$1002,MATCH($B330,'작업 Jobs'!$A$3:$A$1002,0)),""))</f>
      </c>
    </row>
    <row r="331" spans="7:10" x14ac:dyDescent="0.25">
      <c r="G331" s="42">
        <f>IF($B331="","",IFERROR(INDEX('작업 Jobs'!$D$3:$D$1002,MATCH($B331,'작업 Jobs'!$A$3:$A$1002,0)),"작업 ID 없음"))</f>
      </c>
      <c r="H331" s="41">
        <f>IF($C331="","",IF($D331="CARD",ROUND($C331*'설정 Settings'!$C$34+'설정 Settings'!$C$35,2),0))</f>
      </c>
      <c r="I331" s="42">
        <f>IF($C331="","",IF($C331&gt;'설정 Settings'!$C$36,"$2,000 초과: 은행 한도 확인, 나눠 받기 (F36)",""))</f>
      </c>
      <c r="J331" s="41">
        <f>IF($B331="","",IFERROR(INDEX('작업 Jobs'!$P$3:$P$1002,MATCH($B331,'작업 Jobs'!$A$3:$A$1002,0)),""))</f>
      </c>
    </row>
    <row r="332" spans="7:10" x14ac:dyDescent="0.25">
      <c r="G332" s="42">
        <f>IF($B332="","",IFERROR(INDEX('작업 Jobs'!$D$3:$D$1002,MATCH($B332,'작업 Jobs'!$A$3:$A$1002,0)),"작업 ID 없음"))</f>
      </c>
      <c r="H332" s="41">
        <f>IF($C332="","",IF($D332="CARD",ROUND($C332*'설정 Settings'!$C$34+'설정 Settings'!$C$35,2),0))</f>
      </c>
      <c r="I332" s="42">
        <f>IF($C332="","",IF($C332&gt;'설정 Settings'!$C$36,"$2,000 초과: 은행 한도 확인, 나눠 받기 (F36)",""))</f>
      </c>
      <c r="J332" s="41">
        <f>IF($B332="","",IFERROR(INDEX('작업 Jobs'!$P$3:$P$1002,MATCH($B332,'작업 Jobs'!$A$3:$A$1002,0)),""))</f>
      </c>
    </row>
    <row r="333" spans="7:10" x14ac:dyDescent="0.25">
      <c r="G333" s="42">
        <f>IF($B333="","",IFERROR(INDEX('작업 Jobs'!$D$3:$D$1002,MATCH($B333,'작업 Jobs'!$A$3:$A$1002,0)),"작업 ID 없음"))</f>
      </c>
      <c r="H333" s="41">
        <f>IF($C333="","",IF($D333="CARD",ROUND($C333*'설정 Settings'!$C$34+'설정 Settings'!$C$35,2),0))</f>
      </c>
      <c r="I333" s="42">
        <f>IF($C333="","",IF($C333&gt;'설정 Settings'!$C$36,"$2,000 초과: 은행 한도 확인, 나눠 받기 (F36)",""))</f>
      </c>
      <c r="J333" s="41">
        <f>IF($B333="","",IFERROR(INDEX('작업 Jobs'!$P$3:$P$1002,MATCH($B333,'작업 Jobs'!$A$3:$A$1002,0)),""))</f>
      </c>
    </row>
    <row r="334" spans="7:10" x14ac:dyDescent="0.25">
      <c r="G334" s="42">
        <f>IF($B334="","",IFERROR(INDEX('작업 Jobs'!$D$3:$D$1002,MATCH($B334,'작업 Jobs'!$A$3:$A$1002,0)),"작업 ID 없음"))</f>
      </c>
      <c r="H334" s="41">
        <f>IF($C334="","",IF($D334="CARD",ROUND($C334*'설정 Settings'!$C$34+'설정 Settings'!$C$35,2),0))</f>
      </c>
      <c r="I334" s="42">
        <f>IF($C334="","",IF($C334&gt;'설정 Settings'!$C$36,"$2,000 초과: 은행 한도 확인, 나눠 받기 (F36)",""))</f>
      </c>
      <c r="J334" s="41">
        <f>IF($B334="","",IFERROR(INDEX('작업 Jobs'!$P$3:$P$1002,MATCH($B334,'작업 Jobs'!$A$3:$A$1002,0)),""))</f>
      </c>
    </row>
    <row r="335" spans="7:10" x14ac:dyDescent="0.25">
      <c r="G335" s="42">
        <f>IF($B335="","",IFERROR(INDEX('작업 Jobs'!$D$3:$D$1002,MATCH($B335,'작업 Jobs'!$A$3:$A$1002,0)),"작업 ID 없음"))</f>
      </c>
      <c r="H335" s="41">
        <f>IF($C335="","",IF($D335="CARD",ROUND($C335*'설정 Settings'!$C$34+'설정 Settings'!$C$35,2),0))</f>
      </c>
      <c r="I335" s="42">
        <f>IF($C335="","",IF($C335&gt;'설정 Settings'!$C$36,"$2,000 초과: 은행 한도 확인, 나눠 받기 (F36)",""))</f>
      </c>
      <c r="J335" s="41">
        <f>IF($B335="","",IFERROR(INDEX('작업 Jobs'!$P$3:$P$1002,MATCH($B335,'작업 Jobs'!$A$3:$A$1002,0)),""))</f>
      </c>
    </row>
    <row r="336" spans="7:10" x14ac:dyDescent="0.25">
      <c r="G336" s="42">
        <f>IF($B336="","",IFERROR(INDEX('작업 Jobs'!$D$3:$D$1002,MATCH($B336,'작업 Jobs'!$A$3:$A$1002,0)),"작업 ID 없음"))</f>
      </c>
      <c r="H336" s="41">
        <f>IF($C336="","",IF($D336="CARD",ROUND($C336*'설정 Settings'!$C$34+'설정 Settings'!$C$35,2),0))</f>
      </c>
      <c r="I336" s="42">
        <f>IF($C336="","",IF($C336&gt;'설정 Settings'!$C$36,"$2,000 초과: 은행 한도 확인, 나눠 받기 (F36)",""))</f>
      </c>
      <c r="J336" s="41">
        <f>IF($B336="","",IFERROR(INDEX('작업 Jobs'!$P$3:$P$1002,MATCH($B336,'작업 Jobs'!$A$3:$A$1002,0)),""))</f>
      </c>
    </row>
    <row r="337" spans="7:10" x14ac:dyDescent="0.25">
      <c r="G337" s="42">
        <f>IF($B337="","",IFERROR(INDEX('작업 Jobs'!$D$3:$D$1002,MATCH($B337,'작업 Jobs'!$A$3:$A$1002,0)),"작업 ID 없음"))</f>
      </c>
      <c r="H337" s="41">
        <f>IF($C337="","",IF($D337="CARD",ROUND($C337*'설정 Settings'!$C$34+'설정 Settings'!$C$35,2),0))</f>
      </c>
      <c r="I337" s="42">
        <f>IF($C337="","",IF($C337&gt;'설정 Settings'!$C$36,"$2,000 초과: 은행 한도 확인, 나눠 받기 (F36)",""))</f>
      </c>
      <c r="J337" s="41">
        <f>IF($B337="","",IFERROR(INDEX('작업 Jobs'!$P$3:$P$1002,MATCH($B337,'작업 Jobs'!$A$3:$A$1002,0)),""))</f>
      </c>
    </row>
    <row r="338" spans="7:10" x14ac:dyDescent="0.25">
      <c r="G338" s="42">
        <f>IF($B338="","",IFERROR(INDEX('작업 Jobs'!$D$3:$D$1002,MATCH($B338,'작업 Jobs'!$A$3:$A$1002,0)),"작업 ID 없음"))</f>
      </c>
      <c r="H338" s="41">
        <f>IF($C338="","",IF($D338="CARD",ROUND($C338*'설정 Settings'!$C$34+'설정 Settings'!$C$35,2),0))</f>
      </c>
      <c r="I338" s="42">
        <f>IF($C338="","",IF($C338&gt;'설정 Settings'!$C$36,"$2,000 초과: 은행 한도 확인, 나눠 받기 (F36)",""))</f>
      </c>
      <c r="J338" s="41">
        <f>IF($B338="","",IFERROR(INDEX('작업 Jobs'!$P$3:$P$1002,MATCH($B338,'작업 Jobs'!$A$3:$A$1002,0)),""))</f>
      </c>
    </row>
    <row r="339" spans="7:10" x14ac:dyDescent="0.25">
      <c r="G339" s="42">
        <f>IF($B339="","",IFERROR(INDEX('작업 Jobs'!$D$3:$D$1002,MATCH($B339,'작업 Jobs'!$A$3:$A$1002,0)),"작업 ID 없음"))</f>
      </c>
      <c r="H339" s="41">
        <f>IF($C339="","",IF($D339="CARD",ROUND($C339*'설정 Settings'!$C$34+'설정 Settings'!$C$35,2),0))</f>
      </c>
      <c r="I339" s="42">
        <f>IF($C339="","",IF($C339&gt;'설정 Settings'!$C$36,"$2,000 초과: 은행 한도 확인, 나눠 받기 (F36)",""))</f>
      </c>
      <c r="J339" s="41">
        <f>IF($B339="","",IFERROR(INDEX('작업 Jobs'!$P$3:$P$1002,MATCH($B339,'작업 Jobs'!$A$3:$A$1002,0)),""))</f>
      </c>
    </row>
    <row r="340" spans="7:10" x14ac:dyDescent="0.25">
      <c r="G340" s="42">
        <f>IF($B340="","",IFERROR(INDEX('작업 Jobs'!$D$3:$D$1002,MATCH($B340,'작업 Jobs'!$A$3:$A$1002,0)),"작업 ID 없음"))</f>
      </c>
      <c r="H340" s="41">
        <f>IF($C340="","",IF($D340="CARD",ROUND($C340*'설정 Settings'!$C$34+'설정 Settings'!$C$35,2),0))</f>
      </c>
      <c r="I340" s="42">
        <f>IF($C340="","",IF($C340&gt;'설정 Settings'!$C$36,"$2,000 초과: 은행 한도 확인, 나눠 받기 (F36)",""))</f>
      </c>
      <c r="J340" s="41">
        <f>IF($B340="","",IFERROR(INDEX('작업 Jobs'!$P$3:$P$1002,MATCH($B340,'작업 Jobs'!$A$3:$A$1002,0)),""))</f>
      </c>
    </row>
    <row r="341" spans="7:10" x14ac:dyDescent="0.25">
      <c r="G341" s="42">
        <f>IF($B341="","",IFERROR(INDEX('작업 Jobs'!$D$3:$D$1002,MATCH($B341,'작업 Jobs'!$A$3:$A$1002,0)),"작업 ID 없음"))</f>
      </c>
      <c r="H341" s="41">
        <f>IF($C341="","",IF($D341="CARD",ROUND($C341*'설정 Settings'!$C$34+'설정 Settings'!$C$35,2),0))</f>
      </c>
      <c r="I341" s="42">
        <f>IF($C341="","",IF($C341&gt;'설정 Settings'!$C$36,"$2,000 초과: 은행 한도 확인, 나눠 받기 (F36)",""))</f>
      </c>
      <c r="J341" s="41">
        <f>IF($B341="","",IFERROR(INDEX('작업 Jobs'!$P$3:$P$1002,MATCH($B341,'작업 Jobs'!$A$3:$A$1002,0)),""))</f>
      </c>
    </row>
    <row r="342" spans="7:10" x14ac:dyDescent="0.25">
      <c r="G342" s="42">
        <f>IF($B342="","",IFERROR(INDEX('작업 Jobs'!$D$3:$D$1002,MATCH($B342,'작업 Jobs'!$A$3:$A$1002,0)),"작업 ID 없음"))</f>
      </c>
      <c r="H342" s="41">
        <f>IF($C342="","",IF($D342="CARD",ROUND($C342*'설정 Settings'!$C$34+'설정 Settings'!$C$35,2),0))</f>
      </c>
      <c r="I342" s="42">
        <f>IF($C342="","",IF($C342&gt;'설정 Settings'!$C$36,"$2,000 초과: 은행 한도 확인, 나눠 받기 (F36)",""))</f>
      </c>
      <c r="J342" s="41">
        <f>IF($B342="","",IFERROR(INDEX('작업 Jobs'!$P$3:$P$1002,MATCH($B342,'작업 Jobs'!$A$3:$A$1002,0)),""))</f>
      </c>
    </row>
    <row r="343" spans="7:10" x14ac:dyDescent="0.25">
      <c r="G343" s="42">
        <f>IF($B343="","",IFERROR(INDEX('작업 Jobs'!$D$3:$D$1002,MATCH($B343,'작업 Jobs'!$A$3:$A$1002,0)),"작업 ID 없음"))</f>
      </c>
      <c r="H343" s="41">
        <f>IF($C343="","",IF($D343="CARD",ROUND($C343*'설정 Settings'!$C$34+'설정 Settings'!$C$35,2),0))</f>
      </c>
      <c r="I343" s="42">
        <f>IF($C343="","",IF($C343&gt;'설정 Settings'!$C$36,"$2,000 초과: 은행 한도 확인, 나눠 받기 (F36)",""))</f>
      </c>
      <c r="J343" s="41">
        <f>IF($B343="","",IFERROR(INDEX('작업 Jobs'!$P$3:$P$1002,MATCH($B343,'작업 Jobs'!$A$3:$A$1002,0)),""))</f>
      </c>
    </row>
    <row r="344" spans="7:10" x14ac:dyDescent="0.25">
      <c r="G344" s="42">
        <f>IF($B344="","",IFERROR(INDEX('작업 Jobs'!$D$3:$D$1002,MATCH($B344,'작업 Jobs'!$A$3:$A$1002,0)),"작업 ID 없음"))</f>
      </c>
      <c r="H344" s="41">
        <f>IF($C344="","",IF($D344="CARD",ROUND($C344*'설정 Settings'!$C$34+'설정 Settings'!$C$35,2),0))</f>
      </c>
      <c r="I344" s="42">
        <f>IF($C344="","",IF($C344&gt;'설정 Settings'!$C$36,"$2,000 초과: 은행 한도 확인, 나눠 받기 (F36)",""))</f>
      </c>
      <c r="J344" s="41">
        <f>IF($B344="","",IFERROR(INDEX('작업 Jobs'!$P$3:$P$1002,MATCH($B344,'작업 Jobs'!$A$3:$A$1002,0)),""))</f>
      </c>
    </row>
    <row r="345" spans="7:10" x14ac:dyDescent="0.25">
      <c r="G345" s="42">
        <f>IF($B345="","",IFERROR(INDEX('작업 Jobs'!$D$3:$D$1002,MATCH($B345,'작업 Jobs'!$A$3:$A$1002,0)),"작업 ID 없음"))</f>
      </c>
      <c r="H345" s="41">
        <f>IF($C345="","",IF($D345="CARD",ROUND($C345*'설정 Settings'!$C$34+'설정 Settings'!$C$35,2),0))</f>
      </c>
      <c r="I345" s="42">
        <f>IF($C345="","",IF($C345&gt;'설정 Settings'!$C$36,"$2,000 초과: 은행 한도 확인, 나눠 받기 (F36)",""))</f>
      </c>
      <c r="J345" s="41">
        <f>IF($B345="","",IFERROR(INDEX('작업 Jobs'!$P$3:$P$1002,MATCH($B345,'작업 Jobs'!$A$3:$A$1002,0)),""))</f>
      </c>
    </row>
    <row r="346" spans="7:10" x14ac:dyDescent="0.25">
      <c r="G346" s="42">
        <f>IF($B346="","",IFERROR(INDEX('작업 Jobs'!$D$3:$D$1002,MATCH($B346,'작업 Jobs'!$A$3:$A$1002,0)),"작업 ID 없음"))</f>
      </c>
      <c r="H346" s="41">
        <f>IF($C346="","",IF($D346="CARD",ROUND($C346*'설정 Settings'!$C$34+'설정 Settings'!$C$35,2),0))</f>
      </c>
      <c r="I346" s="42">
        <f>IF($C346="","",IF($C346&gt;'설정 Settings'!$C$36,"$2,000 초과: 은행 한도 확인, 나눠 받기 (F36)",""))</f>
      </c>
      <c r="J346" s="41">
        <f>IF($B346="","",IFERROR(INDEX('작업 Jobs'!$P$3:$P$1002,MATCH($B346,'작업 Jobs'!$A$3:$A$1002,0)),""))</f>
      </c>
    </row>
    <row r="347" spans="7:10" x14ac:dyDescent="0.25">
      <c r="G347" s="42">
        <f>IF($B347="","",IFERROR(INDEX('작업 Jobs'!$D$3:$D$1002,MATCH($B347,'작업 Jobs'!$A$3:$A$1002,0)),"작업 ID 없음"))</f>
      </c>
      <c r="H347" s="41">
        <f>IF($C347="","",IF($D347="CARD",ROUND($C347*'설정 Settings'!$C$34+'설정 Settings'!$C$35,2),0))</f>
      </c>
      <c r="I347" s="42">
        <f>IF($C347="","",IF($C347&gt;'설정 Settings'!$C$36,"$2,000 초과: 은행 한도 확인, 나눠 받기 (F36)",""))</f>
      </c>
      <c r="J347" s="41">
        <f>IF($B347="","",IFERROR(INDEX('작업 Jobs'!$P$3:$P$1002,MATCH($B347,'작업 Jobs'!$A$3:$A$1002,0)),""))</f>
      </c>
    </row>
    <row r="348" spans="7:10" x14ac:dyDescent="0.25">
      <c r="G348" s="42">
        <f>IF($B348="","",IFERROR(INDEX('작업 Jobs'!$D$3:$D$1002,MATCH($B348,'작업 Jobs'!$A$3:$A$1002,0)),"작업 ID 없음"))</f>
      </c>
      <c r="H348" s="41">
        <f>IF($C348="","",IF($D348="CARD",ROUND($C348*'설정 Settings'!$C$34+'설정 Settings'!$C$35,2),0))</f>
      </c>
      <c r="I348" s="42">
        <f>IF($C348="","",IF($C348&gt;'설정 Settings'!$C$36,"$2,000 초과: 은행 한도 확인, 나눠 받기 (F36)",""))</f>
      </c>
      <c r="J348" s="41">
        <f>IF($B348="","",IFERROR(INDEX('작업 Jobs'!$P$3:$P$1002,MATCH($B348,'작업 Jobs'!$A$3:$A$1002,0)),""))</f>
      </c>
    </row>
    <row r="349" spans="7:10" x14ac:dyDescent="0.25">
      <c r="G349" s="42">
        <f>IF($B349="","",IFERROR(INDEX('작업 Jobs'!$D$3:$D$1002,MATCH($B349,'작업 Jobs'!$A$3:$A$1002,0)),"작업 ID 없음"))</f>
      </c>
      <c r="H349" s="41">
        <f>IF($C349="","",IF($D349="CARD",ROUND($C349*'설정 Settings'!$C$34+'설정 Settings'!$C$35,2),0))</f>
      </c>
      <c r="I349" s="42">
        <f>IF($C349="","",IF($C349&gt;'설정 Settings'!$C$36,"$2,000 초과: 은행 한도 확인, 나눠 받기 (F36)",""))</f>
      </c>
      <c r="J349" s="41">
        <f>IF($B349="","",IFERROR(INDEX('작업 Jobs'!$P$3:$P$1002,MATCH($B349,'작업 Jobs'!$A$3:$A$1002,0)),""))</f>
      </c>
    </row>
    <row r="350" spans="7:10" x14ac:dyDescent="0.25">
      <c r="G350" s="42">
        <f>IF($B350="","",IFERROR(INDEX('작업 Jobs'!$D$3:$D$1002,MATCH($B350,'작업 Jobs'!$A$3:$A$1002,0)),"작업 ID 없음"))</f>
      </c>
      <c r="H350" s="41">
        <f>IF($C350="","",IF($D350="CARD",ROUND($C350*'설정 Settings'!$C$34+'설정 Settings'!$C$35,2),0))</f>
      </c>
      <c r="I350" s="42">
        <f>IF($C350="","",IF($C350&gt;'설정 Settings'!$C$36,"$2,000 초과: 은행 한도 확인, 나눠 받기 (F36)",""))</f>
      </c>
      <c r="J350" s="41">
        <f>IF($B350="","",IFERROR(INDEX('작업 Jobs'!$P$3:$P$1002,MATCH($B350,'작업 Jobs'!$A$3:$A$1002,0)),""))</f>
      </c>
    </row>
    <row r="351" spans="7:10" x14ac:dyDescent="0.25">
      <c r="G351" s="42">
        <f>IF($B351="","",IFERROR(INDEX('작업 Jobs'!$D$3:$D$1002,MATCH($B351,'작업 Jobs'!$A$3:$A$1002,0)),"작업 ID 없음"))</f>
      </c>
      <c r="H351" s="41">
        <f>IF($C351="","",IF($D351="CARD",ROUND($C351*'설정 Settings'!$C$34+'설정 Settings'!$C$35,2),0))</f>
      </c>
      <c r="I351" s="42">
        <f>IF($C351="","",IF($C351&gt;'설정 Settings'!$C$36,"$2,000 초과: 은행 한도 확인, 나눠 받기 (F36)",""))</f>
      </c>
      <c r="J351" s="41">
        <f>IF($B351="","",IFERROR(INDEX('작업 Jobs'!$P$3:$P$1002,MATCH($B351,'작업 Jobs'!$A$3:$A$1002,0)),""))</f>
      </c>
    </row>
    <row r="352" spans="7:10" x14ac:dyDescent="0.25">
      <c r="G352" s="42">
        <f>IF($B352="","",IFERROR(INDEX('작업 Jobs'!$D$3:$D$1002,MATCH($B352,'작업 Jobs'!$A$3:$A$1002,0)),"작업 ID 없음"))</f>
      </c>
      <c r="H352" s="41">
        <f>IF($C352="","",IF($D352="CARD",ROUND($C352*'설정 Settings'!$C$34+'설정 Settings'!$C$35,2),0))</f>
      </c>
      <c r="I352" s="42">
        <f>IF($C352="","",IF($C352&gt;'설정 Settings'!$C$36,"$2,000 초과: 은행 한도 확인, 나눠 받기 (F36)",""))</f>
      </c>
      <c r="J352" s="41">
        <f>IF($B352="","",IFERROR(INDEX('작업 Jobs'!$P$3:$P$1002,MATCH($B352,'작업 Jobs'!$A$3:$A$1002,0)),""))</f>
      </c>
    </row>
    <row r="353" spans="7:10" x14ac:dyDescent="0.25">
      <c r="G353" s="42">
        <f>IF($B353="","",IFERROR(INDEX('작업 Jobs'!$D$3:$D$1002,MATCH($B353,'작업 Jobs'!$A$3:$A$1002,0)),"작업 ID 없음"))</f>
      </c>
      <c r="H353" s="41">
        <f>IF($C353="","",IF($D353="CARD",ROUND($C353*'설정 Settings'!$C$34+'설정 Settings'!$C$35,2),0))</f>
      </c>
      <c r="I353" s="42">
        <f>IF($C353="","",IF($C353&gt;'설정 Settings'!$C$36,"$2,000 초과: 은행 한도 확인, 나눠 받기 (F36)",""))</f>
      </c>
      <c r="J353" s="41">
        <f>IF($B353="","",IFERROR(INDEX('작업 Jobs'!$P$3:$P$1002,MATCH($B353,'작업 Jobs'!$A$3:$A$1002,0)),""))</f>
      </c>
    </row>
    <row r="354" spans="7:10" x14ac:dyDescent="0.25">
      <c r="G354" s="42">
        <f>IF($B354="","",IFERROR(INDEX('작업 Jobs'!$D$3:$D$1002,MATCH($B354,'작업 Jobs'!$A$3:$A$1002,0)),"작업 ID 없음"))</f>
      </c>
      <c r="H354" s="41">
        <f>IF($C354="","",IF($D354="CARD",ROUND($C354*'설정 Settings'!$C$34+'설정 Settings'!$C$35,2),0))</f>
      </c>
      <c r="I354" s="42">
        <f>IF($C354="","",IF($C354&gt;'설정 Settings'!$C$36,"$2,000 초과: 은행 한도 확인, 나눠 받기 (F36)",""))</f>
      </c>
      <c r="J354" s="41">
        <f>IF($B354="","",IFERROR(INDEX('작업 Jobs'!$P$3:$P$1002,MATCH($B354,'작업 Jobs'!$A$3:$A$1002,0)),""))</f>
      </c>
    </row>
    <row r="355" spans="7:10" x14ac:dyDescent="0.25">
      <c r="G355" s="42">
        <f>IF($B355="","",IFERROR(INDEX('작업 Jobs'!$D$3:$D$1002,MATCH($B355,'작업 Jobs'!$A$3:$A$1002,0)),"작업 ID 없음"))</f>
      </c>
      <c r="H355" s="41">
        <f>IF($C355="","",IF($D355="CARD",ROUND($C355*'설정 Settings'!$C$34+'설정 Settings'!$C$35,2),0))</f>
      </c>
      <c r="I355" s="42">
        <f>IF($C355="","",IF($C355&gt;'설정 Settings'!$C$36,"$2,000 초과: 은행 한도 확인, 나눠 받기 (F36)",""))</f>
      </c>
      <c r="J355" s="41">
        <f>IF($B355="","",IFERROR(INDEX('작업 Jobs'!$P$3:$P$1002,MATCH($B355,'작업 Jobs'!$A$3:$A$1002,0)),""))</f>
      </c>
    </row>
    <row r="356" spans="7:10" x14ac:dyDescent="0.25">
      <c r="G356" s="42">
        <f>IF($B356="","",IFERROR(INDEX('작업 Jobs'!$D$3:$D$1002,MATCH($B356,'작업 Jobs'!$A$3:$A$1002,0)),"작업 ID 없음"))</f>
      </c>
      <c r="H356" s="41">
        <f>IF($C356="","",IF($D356="CARD",ROUND($C356*'설정 Settings'!$C$34+'설정 Settings'!$C$35,2),0))</f>
      </c>
      <c r="I356" s="42">
        <f>IF($C356="","",IF($C356&gt;'설정 Settings'!$C$36,"$2,000 초과: 은행 한도 확인, 나눠 받기 (F36)",""))</f>
      </c>
      <c r="J356" s="41">
        <f>IF($B356="","",IFERROR(INDEX('작업 Jobs'!$P$3:$P$1002,MATCH($B356,'작업 Jobs'!$A$3:$A$1002,0)),""))</f>
      </c>
    </row>
    <row r="357" spans="7:10" x14ac:dyDescent="0.25">
      <c r="G357" s="42">
        <f>IF($B357="","",IFERROR(INDEX('작업 Jobs'!$D$3:$D$1002,MATCH($B357,'작업 Jobs'!$A$3:$A$1002,0)),"작업 ID 없음"))</f>
      </c>
      <c r="H357" s="41">
        <f>IF($C357="","",IF($D357="CARD",ROUND($C357*'설정 Settings'!$C$34+'설정 Settings'!$C$35,2),0))</f>
      </c>
      <c r="I357" s="42">
        <f>IF($C357="","",IF($C357&gt;'설정 Settings'!$C$36,"$2,000 초과: 은행 한도 확인, 나눠 받기 (F36)",""))</f>
      </c>
      <c r="J357" s="41">
        <f>IF($B357="","",IFERROR(INDEX('작업 Jobs'!$P$3:$P$1002,MATCH($B357,'작업 Jobs'!$A$3:$A$1002,0)),""))</f>
      </c>
    </row>
    <row r="358" spans="7:10" x14ac:dyDescent="0.25">
      <c r="G358" s="42">
        <f>IF($B358="","",IFERROR(INDEX('작업 Jobs'!$D$3:$D$1002,MATCH($B358,'작업 Jobs'!$A$3:$A$1002,0)),"작업 ID 없음"))</f>
      </c>
      <c r="H358" s="41">
        <f>IF($C358="","",IF($D358="CARD",ROUND($C358*'설정 Settings'!$C$34+'설정 Settings'!$C$35,2),0))</f>
      </c>
      <c r="I358" s="42">
        <f>IF($C358="","",IF($C358&gt;'설정 Settings'!$C$36,"$2,000 초과: 은행 한도 확인, 나눠 받기 (F36)",""))</f>
      </c>
      <c r="J358" s="41">
        <f>IF($B358="","",IFERROR(INDEX('작업 Jobs'!$P$3:$P$1002,MATCH($B358,'작업 Jobs'!$A$3:$A$1002,0)),""))</f>
      </c>
    </row>
    <row r="359" spans="7:10" x14ac:dyDescent="0.25">
      <c r="G359" s="42">
        <f>IF($B359="","",IFERROR(INDEX('작업 Jobs'!$D$3:$D$1002,MATCH($B359,'작업 Jobs'!$A$3:$A$1002,0)),"작업 ID 없음"))</f>
      </c>
      <c r="H359" s="41">
        <f>IF($C359="","",IF($D359="CARD",ROUND($C359*'설정 Settings'!$C$34+'설정 Settings'!$C$35,2),0))</f>
      </c>
      <c r="I359" s="42">
        <f>IF($C359="","",IF($C359&gt;'설정 Settings'!$C$36,"$2,000 초과: 은행 한도 확인, 나눠 받기 (F36)",""))</f>
      </c>
      <c r="J359" s="41">
        <f>IF($B359="","",IFERROR(INDEX('작업 Jobs'!$P$3:$P$1002,MATCH($B359,'작업 Jobs'!$A$3:$A$1002,0)),""))</f>
      </c>
    </row>
    <row r="360" spans="7:10" x14ac:dyDescent="0.25">
      <c r="G360" s="42">
        <f>IF($B360="","",IFERROR(INDEX('작업 Jobs'!$D$3:$D$1002,MATCH($B360,'작업 Jobs'!$A$3:$A$1002,0)),"작업 ID 없음"))</f>
      </c>
      <c r="H360" s="41">
        <f>IF($C360="","",IF($D360="CARD",ROUND($C360*'설정 Settings'!$C$34+'설정 Settings'!$C$35,2),0))</f>
      </c>
      <c r="I360" s="42">
        <f>IF($C360="","",IF($C360&gt;'설정 Settings'!$C$36,"$2,000 초과: 은행 한도 확인, 나눠 받기 (F36)",""))</f>
      </c>
      <c r="J360" s="41">
        <f>IF($B360="","",IFERROR(INDEX('작업 Jobs'!$P$3:$P$1002,MATCH($B360,'작업 Jobs'!$A$3:$A$1002,0)),""))</f>
      </c>
    </row>
    <row r="361" spans="7:10" x14ac:dyDescent="0.25">
      <c r="G361" s="42">
        <f>IF($B361="","",IFERROR(INDEX('작업 Jobs'!$D$3:$D$1002,MATCH($B361,'작업 Jobs'!$A$3:$A$1002,0)),"작업 ID 없음"))</f>
      </c>
      <c r="H361" s="41">
        <f>IF($C361="","",IF($D361="CARD",ROUND($C361*'설정 Settings'!$C$34+'설정 Settings'!$C$35,2),0))</f>
      </c>
      <c r="I361" s="42">
        <f>IF($C361="","",IF($C361&gt;'설정 Settings'!$C$36,"$2,000 초과: 은행 한도 확인, 나눠 받기 (F36)",""))</f>
      </c>
      <c r="J361" s="41">
        <f>IF($B361="","",IFERROR(INDEX('작업 Jobs'!$P$3:$P$1002,MATCH($B361,'작업 Jobs'!$A$3:$A$1002,0)),""))</f>
      </c>
    </row>
    <row r="362" spans="7:10" x14ac:dyDescent="0.25">
      <c r="G362" s="42">
        <f>IF($B362="","",IFERROR(INDEX('작업 Jobs'!$D$3:$D$1002,MATCH($B362,'작업 Jobs'!$A$3:$A$1002,0)),"작업 ID 없음"))</f>
      </c>
      <c r="H362" s="41">
        <f>IF($C362="","",IF($D362="CARD",ROUND($C362*'설정 Settings'!$C$34+'설정 Settings'!$C$35,2),0))</f>
      </c>
      <c r="I362" s="42">
        <f>IF($C362="","",IF($C362&gt;'설정 Settings'!$C$36,"$2,000 초과: 은행 한도 확인, 나눠 받기 (F36)",""))</f>
      </c>
      <c r="J362" s="41">
        <f>IF($B362="","",IFERROR(INDEX('작업 Jobs'!$P$3:$P$1002,MATCH($B362,'작업 Jobs'!$A$3:$A$1002,0)),""))</f>
      </c>
    </row>
    <row r="363" spans="7:10" x14ac:dyDescent="0.25">
      <c r="G363" s="42">
        <f>IF($B363="","",IFERROR(INDEX('작업 Jobs'!$D$3:$D$1002,MATCH($B363,'작업 Jobs'!$A$3:$A$1002,0)),"작업 ID 없음"))</f>
      </c>
      <c r="H363" s="41">
        <f>IF($C363="","",IF($D363="CARD",ROUND($C363*'설정 Settings'!$C$34+'설정 Settings'!$C$35,2),0))</f>
      </c>
      <c r="I363" s="42">
        <f>IF($C363="","",IF($C363&gt;'설정 Settings'!$C$36,"$2,000 초과: 은행 한도 확인, 나눠 받기 (F36)",""))</f>
      </c>
      <c r="J363" s="41">
        <f>IF($B363="","",IFERROR(INDEX('작업 Jobs'!$P$3:$P$1002,MATCH($B363,'작업 Jobs'!$A$3:$A$1002,0)),""))</f>
      </c>
    </row>
    <row r="364" spans="7:10" x14ac:dyDescent="0.25">
      <c r="G364" s="42">
        <f>IF($B364="","",IFERROR(INDEX('작업 Jobs'!$D$3:$D$1002,MATCH($B364,'작업 Jobs'!$A$3:$A$1002,0)),"작업 ID 없음"))</f>
      </c>
      <c r="H364" s="41">
        <f>IF($C364="","",IF($D364="CARD",ROUND($C364*'설정 Settings'!$C$34+'설정 Settings'!$C$35,2),0))</f>
      </c>
      <c r="I364" s="42">
        <f>IF($C364="","",IF($C364&gt;'설정 Settings'!$C$36,"$2,000 초과: 은행 한도 확인, 나눠 받기 (F36)",""))</f>
      </c>
      <c r="J364" s="41">
        <f>IF($B364="","",IFERROR(INDEX('작업 Jobs'!$P$3:$P$1002,MATCH($B364,'작업 Jobs'!$A$3:$A$1002,0)),""))</f>
      </c>
    </row>
    <row r="365" spans="7:10" x14ac:dyDescent="0.25">
      <c r="G365" s="42">
        <f>IF($B365="","",IFERROR(INDEX('작업 Jobs'!$D$3:$D$1002,MATCH($B365,'작업 Jobs'!$A$3:$A$1002,0)),"작업 ID 없음"))</f>
      </c>
      <c r="H365" s="41">
        <f>IF($C365="","",IF($D365="CARD",ROUND($C365*'설정 Settings'!$C$34+'설정 Settings'!$C$35,2),0))</f>
      </c>
      <c r="I365" s="42">
        <f>IF($C365="","",IF($C365&gt;'설정 Settings'!$C$36,"$2,000 초과: 은행 한도 확인, 나눠 받기 (F36)",""))</f>
      </c>
      <c r="J365" s="41">
        <f>IF($B365="","",IFERROR(INDEX('작업 Jobs'!$P$3:$P$1002,MATCH($B365,'작업 Jobs'!$A$3:$A$1002,0)),""))</f>
      </c>
    </row>
    <row r="366" spans="7:10" x14ac:dyDescent="0.25">
      <c r="G366" s="42">
        <f>IF($B366="","",IFERROR(INDEX('작업 Jobs'!$D$3:$D$1002,MATCH($B366,'작업 Jobs'!$A$3:$A$1002,0)),"작업 ID 없음"))</f>
      </c>
      <c r="H366" s="41">
        <f>IF($C366="","",IF($D366="CARD",ROUND($C366*'설정 Settings'!$C$34+'설정 Settings'!$C$35,2),0))</f>
      </c>
      <c r="I366" s="42">
        <f>IF($C366="","",IF($C366&gt;'설정 Settings'!$C$36,"$2,000 초과: 은행 한도 확인, 나눠 받기 (F36)",""))</f>
      </c>
      <c r="J366" s="41">
        <f>IF($B366="","",IFERROR(INDEX('작업 Jobs'!$P$3:$P$1002,MATCH($B366,'작업 Jobs'!$A$3:$A$1002,0)),""))</f>
      </c>
    </row>
    <row r="367" spans="7:10" x14ac:dyDescent="0.25">
      <c r="G367" s="42">
        <f>IF($B367="","",IFERROR(INDEX('작업 Jobs'!$D$3:$D$1002,MATCH($B367,'작업 Jobs'!$A$3:$A$1002,0)),"작업 ID 없음"))</f>
      </c>
      <c r="H367" s="41">
        <f>IF($C367="","",IF($D367="CARD",ROUND($C367*'설정 Settings'!$C$34+'설정 Settings'!$C$35,2),0))</f>
      </c>
      <c r="I367" s="42">
        <f>IF($C367="","",IF($C367&gt;'설정 Settings'!$C$36,"$2,000 초과: 은행 한도 확인, 나눠 받기 (F36)",""))</f>
      </c>
      <c r="J367" s="41">
        <f>IF($B367="","",IFERROR(INDEX('작업 Jobs'!$P$3:$P$1002,MATCH($B367,'작업 Jobs'!$A$3:$A$1002,0)),""))</f>
      </c>
    </row>
    <row r="368" spans="7:10" x14ac:dyDescent="0.25">
      <c r="G368" s="42">
        <f>IF($B368="","",IFERROR(INDEX('작업 Jobs'!$D$3:$D$1002,MATCH($B368,'작업 Jobs'!$A$3:$A$1002,0)),"작업 ID 없음"))</f>
      </c>
      <c r="H368" s="41">
        <f>IF($C368="","",IF($D368="CARD",ROUND($C368*'설정 Settings'!$C$34+'설정 Settings'!$C$35,2),0))</f>
      </c>
      <c r="I368" s="42">
        <f>IF($C368="","",IF($C368&gt;'설정 Settings'!$C$36,"$2,000 초과: 은행 한도 확인, 나눠 받기 (F36)",""))</f>
      </c>
      <c r="J368" s="41">
        <f>IF($B368="","",IFERROR(INDEX('작업 Jobs'!$P$3:$P$1002,MATCH($B368,'작업 Jobs'!$A$3:$A$1002,0)),""))</f>
      </c>
    </row>
    <row r="369" spans="7:10" x14ac:dyDescent="0.25">
      <c r="G369" s="42">
        <f>IF($B369="","",IFERROR(INDEX('작업 Jobs'!$D$3:$D$1002,MATCH($B369,'작업 Jobs'!$A$3:$A$1002,0)),"작업 ID 없음"))</f>
      </c>
      <c r="H369" s="41">
        <f>IF($C369="","",IF($D369="CARD",ROUND($C369*'설정 Settings'!$C$34+'설정 Settings'!$C$35,2),0))</f>
      </c>
      <c r="I369" s="42">
        <f>IF($C369="","",IF($C369&gt;'설정 Settings'!$C$36,"$2,000 초과: 은행 한도 확인, 나눠 받기 (F36)",""))</f>
      </c>
      <c r="J369" s="41">
        <f>IF($B369="","",IFERROR(INDEX('작업 Jobs'!$P$3:$P$1002,MATCH($B369,'작업 Jobs'!$A$3:$A$1002,0)),""))</f>
      </c>
    </row>
    <row r="370" spans="7:10" x14ac:dyDescent="0.25">
      <c r="G370" s="42">
        <f>IF($B370="","",IFERROR(INDEX('작업 Jobs'!$D$3:$D$1002,MATCH($B370,'작업 Jobs'!$A$3:$A$1002,0)),"작업 ID 없음"))</f>
      </c>
      <c r="H370" s="41">
        <f>IF($C370="","",IF($D370="CARD",ROUND($C370*'설정 Settings'!$C$34+'설정 Settings'!$C$35,2),0))</f>
      </c>
      <c r="I370" s="42">
        <f>IF($C370="","",IF($C370&gt;'설정 Settings'!$C$36,"$2,000 초과: 은행 한도 확인, 나눠 받기 (F36)",""))</f>
      </c>
      <c r="J370" s="41">
        <f>IF($B370="","",IFERROR(INDEX('작업 Jobs'!$P$3:$P$1002,MATCH($B370,'작업 Jobs'!$A$3:$A$1002,0)),""))</f>
      </c>
    </row>
    <row r="371" spans="7:10" x14ac:dyDescent="0.25">
      <c r="G371" s="42">
        <f>IF($B371="","",IFERROR(INDEX('작업 Jobs'!$D$3:$D$1002,MATCH($B371,'작업 Jobs'!$A$3:$A$1002,0)),"작업 ID 없음"))</f>
      </c>
      <c r="H371" s="41">
        <f>IF($C371="","",IF($D371="CARD",ROUND($C371*'설정 Settings'!$C$34+'설정 Settings'!$C$35,2),0))</f>
      </c>
      <c r="I371" s="42">
        <f>IF($C371="","",IF($C371&gt;'설정 Settings'!$C$36,"$2,000 초과: 은행 한도 확인, 나눠 받기 (F36)",""))</f>
      </c>
      <c r="J371" s="41">
        <f>IF($B371="","",IFERROR(INDEX('작업 Jobs'!$P$3:$P$1002,MATCH($B371,'작업 Jobs'!$A$3:$A$1002,0)),""))</f>
      </c>
    </row>
    <row r="372" spans="7:10" x14ac:dyDescent="0.25">
      <c r="G372" s="42">
        <f>IF($B372="","",IFERROR(INDEX('작업 Jobs'!$D$3:$D$1002,MATCH($B372,'작업 Jobs'!$A$3:$A$1002,0)),"작업 ID 없음"))</f>
      </c>
      <c r="H372" s="41">
        <f>IF($C372="","",IF($D372="CARD",ROUND($C372*'설정 Settings'!$C$34+'설정 Settings'!$C$35,2),0))</f>
      </c>
      <c r="I372" s="42">
        <f>IF($C372="","",IF($C372&gt;'설정 Settings'!$C$36,"$2,000 초과: 은행 한도 확인, 나눠 받기 (F36)",""))</f>
      </c>
      <c r="J372" s="41">
        <f>IF($B372="","",IFERROR(INDEX('작업 Jobs'!$P$3:$P$1002,MATCH($B372,'작업 Jobs'!$A$3:$A$1002,0)),""))</f>
      </c>
    </row>
    <row r="373" spans="7:10" x14ac:dyDescent="0.25">
      <c r="G373" s="42">
        <f>IF($B373="","",IFERROR(INDEX('작업 Jobs'!$D$3:$D$1002,MATCH($B373,'작업 Jobs'!$A$3:$A$1002,0)),"작업 ID 없음"))</f>
      </c>
      <c r="H373" s="41">
        <f>IF($C373="","",IF($D373="CARD",ROUND($C373*'설정 Settings'!$C$34+'설정 Settings'!$C$35,2),0))</f>
      </c>
      <c r="I373" s="42">
        <f>IF($C373="","",IF($C373&gt;'설정 Settings'!$C$36,"$2,000 초과: 은행 한도 확인, 나눠 받기 (F36)",""))</f>
      </c>
      <c r="J373" s="41">
        <f>IF($B373="","",IFERROR(INDEX('작업 Jobs'!$P$3:$P$1002,MATCH($B373,'작업 Jobs'!$A$3:$A$1002,0)),""))</f>
      </c>
    </row>
    <row r="374" spans="7:10" x14ac:dyDescent="0.25">
      <c r="G374" s="42">
        <f>IF($B374="","",IFERROR(INDEX('작업 Jobs'!$D$3:$D$1002,MATCH($B374,'작업 Jobs'!$A$3:$A$1002,0)),"작업 ID 없음"))</f>
      </c>
      <c r="H374" s="41">
        <f>IF($C374="","",IF($D374="CARD",ROUND($C374*'설정 Settings'!$C$34+'설정 Settings'!$C$35,2),0))</f>
      </c>
      <c r="I374" s="42">
        <f>IF($C374="","",IF($C374&gt;'설정 Settings'!$C$36,"$2,000 초과: 은행 한도 확인, 나눠 받기 (F36)",""))</f>
      </c>
      <c r="J374" s="41">
        <f>IF($B374="","",IFERROR(INDEX('작업 Jobs'!$P$3:$P$1002,MATCH($B374,'작업 Jobs'!$A$3:$A$1002,0)),""))</f>
      </c>
    </row>
    <row r="375" spans="7:10" x14ac:dyDescent="0.25">
      <c r="G375" s="42">
        <f>IF($B375="","",IFERROR(INDEX('작업 Jobs'!$D$3:$D$1002,MATCH($B375,'작업 Jobs'!$A$3:$A$1002,0)),"작업 ID 없음"))</f>
      </c>
      <c r="H375" s="41">
        <f>IF($C375="","",IF($D375="CARD",ROUND($C375*'설정 Settings'!$C$34+'설정 Settings'!$C$35,2),0))</f>
      </c>
      <c r="I375" s="42">
        <f>IF($C375="","",IF($C375&gt;'설정 Settings'!$C$36,"$2,000 초과: 은행 한도 확인, 나눠 받기 (F36)",""))</f>
      </c>
      <c r="J375" s="41">
        <f>IF($B375="","",IFERROR(INDEX('작업 Jobs'!$P$3:$P$1002,MATCH($B375,'작업 Jobs'!$A$3:$A$1002,0)),""))</f>
      </c>
    </row>
    <row r="376" spans="7:10" x14ac:dyDescent="0.25">
      <c r="G376" s="42">
        <f>IF($B376="","",IFERROR(INDEX('작업 Jobs'!$D$3:$D$1002,MATCH($B376,'작업 Jobs'!$A$3:$A$1002,0)),"작업 ID 없음"))</f>
      </c>
      <c r="H376" s="41">
        <f>IF($C376="","",IF($D376="CARD",ROUND($C376*'설정 Settings'!$C$34+'설정 Settings'!$C$35,2),0))</f>
      </c>
      <c r="I376" s="42">
        <f>IF($C376="","",IF($C376&gt;'설정 Settings'!$C$36,"$2,000 초과: 은행 한도 확인, 나눠 받기 (F36)",""))</f>
      </c>
      <c r="J376" s="41">
        <f>IF($B376="","",IFERROR(INDEX('작업 Jobs'!$P$3:$P$1002,MATCH($B376,'작업 Jobs'!$A$3:$A$1002,0)),""))</f>
      </c>
    </row>
    <row r="377" spans="7:10" x14ac:dyDescent="0.25">
      <c r="G377" s="42">
        <f>IF($B377="","",IFERROR(INDEX('작업 Jobs'!$D$3:$D$1002,MATCH($B377,'작업 Jobs'!$A$3:$A$1002,0)),"작업 ID 없음"))</f>
      </c>
      <c r="H377" s="41">
        <f>IF($C377="","",IF($D377="CARD",ROUND($C377*'설정 Settings'!$C$34+'설정 Settings'!$C$35,2),0))</f>
      </c>
      <c r="I377" s="42">
        <f>IF($C377="","",IF($C377&gt;'설정 Settings'!$C$36,"$2,000 초과: 은행 한도 확인, 나눠 받기 (F36)",""))</f>
      </c>
      <c r="J377" s="41">
        <f>IF($B377="","",IFERROR(INDEX('작업 Jobs'!$P$3:$P$1002,MATCH($B377,'작업 Jobs'!$A$3:$A$1002,0)),""))</f>
      </c>
    </row>
    <row r="378" spans="7:10" x14ac:dyDescent="0.25">
      <c r="G378" s="42">
        <f>IF($B378="","",IFERROR(INDEX('작업 Jobs'!$D$3:$D$1002,MATCH($B378,'작업 Jobs'!$A$3:$A$1002,0)),"작업 ID 없음"))</f>
      </c>
      <c r="H378" s="41">
        <f>IF($C378="","",IF($D378="CARD",ROUND($C378*'설정 Settings'!$C$34+'설정 Settings'!$C$35,2),0))</f>
      </c>
      <c r="I378" s="42">
        <f>IF($C378="","",IF($C378&gt;'설정 Settings'!$C$36,"$2,000 초과: 은행 한도 확인, 나눠 받기 (F36)",""))</f>
      </c>
      <c r="J378" s="41">
        <f>IF($B378="","",IFERROR(INDEX('작업 Jobs'!$P$3:$P$1002,MATCH($B378,'작업 Jobs'!$A$3:$A$1002,0)),""))</f>
      </c>
    </row>
    <row r="379" spans="7:10" x14ac:dyDescent="0.25">
      <c r="G379" s="42">
        <f>IF($B379="","",IFERROR(INDEX('작업 Jobs'!$D$3:$D$1002,MATCH($B379,'작업 Jobs'!$A$3:$A$1002,0)),"작업 ID 없음"))</f>
      </c>
      <c r="H379" s="41">
        <f>IF($C379="","",IF($D379="CARD",ROUND($C379*'설정 Settings'!$C$34+'설정 Settings'!$C$35,2),0))</f>
      </c>
      <c r="I379" s="42">
        <f>IF($C379="","",IF($C379&gt;'설정 Settings'!$C$36,"$2,000 초과: 은행 한도 확인, 나눠 받기 (F36)",""))</f>
      </c>
      <c r="J379" s="41">
        <f>IF($B379="","",IFERROR(INDEX('작업 Jobs'!$P$3:$P$1002,MATCH($B379,'작업 Jobs'!$A$3:$A$1002,0)),""))</f>
      </c>
    </row>
    <row r="380" spans="7:10" x14ac:dyDescent="0.25">
      <c r="G380" s="42">
        <f>IF($B380="","",IFERROR(INDEX('작업 Jobs'!$D$3:$D$1002,MATCH($B380,'작업 Jobs'!$A$3:$A$1002,0)),"작업 ID 없음"))</f>
      </c>
      <c r="H380" s="41">
        <f>IF($C380="","",IF($D380="CARD",ROUND($C380*'설정 Settings'!$C$34+'설정 Settings'!$C$35,2),0))</f>
      </c>
      <c r="I380" s="42">
        <f>IF($C380="","",IF($C380&gt;'설정 Settings'!$C$36,"$2,000 초과: 은행 한도 확인, 나눠 받기 (F36)",""))</f>
      </c>
      <c r="J380" s="41">
        <f>IF($B380="","",IFERROR(INDEX('작업 Jobs'!$P$3:$P$1002,MATCH($B380,'작업 Jobs'!$A$3:$A$1002,0)),""))</f>
      </c>
    </row>
    <row r="381" spans="7:10" x14ac:dyDescent="0.25">
      <c r="G381" s="42">
        <f>IF($B381="","",IFERROR(INDEX('작업 Jobs'!$D$3:$D$1002,MATCH($B381,'작업 Jobs'!$A$3:$A$1002,0)),"작업 ID 없음"))</f>
      </c>
      <c r="H381" s="41">
        <f>IF($C381="","",IF($D381="CARD",ROUND($C381*'설정 Settings'!$C$34+'설정 Settings'!$C$35,2),0))</f>
      </c>
      <c r="I381" s="42">
        <f>IF($C381="","",IF($C381&gt;'설정 Settings'!$C$36,"$2,000 초과: 은행 한도 확인, 나눠 받기 (F36)",""))</f>
      </c>
      <c r="J381" s="41">
        <f>IF($B381="","",IFERROR(INDEX('작업 Jobs'!$P$3:$P$1002,MATCH($B381,'작업 Jobs'!$A$3:$A$1002,0)),""))</f>
      </c>
    </row>
    <row r="382" spans="7:10" x14ac:dyDescent="0.25">
      <c r="G382" s="42">
        <f>IF($B382="","",IFERROR(INDEX('작업 Jobs'!$D$3:$D$1002,MATCH($B382,'작업 Jobs'!$A$3:$A$1002,0)),"작업 ID 없음"))</f>
      </c>
      <c r="H382" s="41">
        <f>IF($C382="","",IF($D382="CARD",ROUND($C382*'설정 Settings'!$C$34+'설정 Settings'!$C$35,2),0))</f>
      </c>
      <c r="I382" s="42">
        <f>IF($C382="","",IF($C382&gt;'설정 Settings'!$C$36,"$2,000 초과: 은행 한도 확인, 나눠 받기 (F36)",""))</f>
      </c>
      <c r="J382" s="41">
        <f>IF($B382="","",IFERROR(INDEX('작업 Jobs'!$P$3:$P$1002,MATCH($B382,'작업 Jobs'!$A$3:$A$1002,0)),""))</f>
      </c>
    </row>
    <row r="383" spans="7:10" x14ac:dyDescent="0.25">
      <c r="G383" s="42">
        <f>IF($B383="","",IFERROR(INDEX('작업 Jobs'!$D$3:$D$1002,MATCH($B383,'작업 Jobs'!$A$3:$A$1002,0)),"작업 ID 없음"))</f>
      </c>
      <c r="H383" s="41">
        <f>IF($C383="","",IF($D383="CARD",ROUND($C383*'설정 Settings'!$C$34+'설정 Settings'!$C$35,2),0))</f>
      </c>
      <c r="I383" s="42">
        <f>IF($C383="","",IF($C383&gt;'설정 Settings'!$C$36,"$2,000 초과: 은행 한도 확인, 나눠 받기 (F36)",""))</f>
      </c>
      <c r="J383" s="41">
        <f>IF($B383="","",IFERROR(INDEX('작업 Jobs'!$P$3:$P$1002,MATCH($B383,'작업 Jobs'!$A$3:$A$1002,0)),""))</f>
      </c>
    </row>
    <row r="384" spans="7:10" x14ac:dyDescent="0.25">
      <c r="G384" s="42">
        <f>IF($B384="","",IFERROR(INDEX('작업 Jobs'!$D$3:$D$1002,MATCH($B384,'작업 Jobs'!$A$3:$A$1002,0)),"작업 ID 없음"))</f>
      </c>
      <c r="H384" s="41">
        <f>IF($C384="","",IF($D384="CARD",ROUND($C384*'설정 Settings'!$C$34+'설정 Settings'!$C$35,2),0))</f>
      </c>
      <c r="I384" s="42">
        <f>IF($C384="","",IF($C384&gt;'설정 Settings'!$C$36,"$2,000 초과: 은행 한도 확인, 나눠 받기 (F36)",""))</f>
      </c>
      <c r="J384" s="41">
        <f>IF($B384="","",IFERROR(INDEX('작업 Jobs'!$P$3:$P$1002,MATCH($B384,'작업 Jobs'!$A$3:$A$1002,0)),""))</f>
      </c>
    </row>
    <row r="385" spans="7:10" x14ac:dyDescent="0.25">
      <c r="G385" s="42">
        <f>IF($B385="","",IFERROR(INDEX('작업 Jobs'!$D$3:$D$1002,MATCH($B385,'작업 Jobs'!$A$3:$A$1002,0)),"작업 ID 없음"))</f>
      </c>
      <c r="H385" s="41">
        <f>IF($C385="","",IF($D385="CARD",ROUND($C385*'설정 Settings'!$C$34+'설정 Settings'!$C$35,2),0))</f>
      </c>
      <c r="I385" s="42">
        <f>IF($C385="","",IF($C385&gt;'설정 Settings'!$C$36,"$2,000 초과: 은행 한도 확인, 나눠 받기 (F36)",""))</f>
      </c>
      <c r="J385" s="41">
        <f>IF($B385="","",IFERROR(INDEX('작업 Jobs'!$P$3:$P$1002,MATCH($B385,'작업 Jobs'!$A$3:$A$1002,0)),""))</f>
      </c>
    </row>
    <row r="386" spans="7:10" x14ac:dyDescent="0.25">
      <c r="G386" s="42">
        <f>IF($B386="","",IFERROR(INDEX('작업 Jobs'!$D$3:$D$1002,MATCH($B386,'작업 Jobs'!$A$3:$A$1002,0)),"작업 ID 없음"))</f>
      </c>
      <c r="H386" s="41">
        <f>IF($C386="","",IF($D386="CARD",ROUND($C386*'설정 Settings'!$C$34+'설정 Settings'!$C$35,2),0))</f>
      </c>
      <c r="I386" s="42">
        <f>IF($C386="","",IF($C386&gt;'설정 Settings'!$C$36,"$2,000 초과: 은행 한도 확인, 나눠 받기 (F36)",""))</f>
      </c>
      <c r="J386" s="41">
        <f>IF($B386="","",IFERROR(INDEX('작업 Jobs'!$P$3:$P$1002,MATCH($B386,'작업 Jobs'!$A$3:$A$1002,0)),""))</f>
      </c>
    </row>
    <row r="387" spans="7:10" x14ac:dyDescent="0.25">
      <c r="G387" s="42">
        <f>IF($B387="","",IFERROR(INDEX('작업 Jobs'!$D$3:$D$1002,MATCH($B387,'작업 Jobs'!$A$3:$A$1002,0)),"작업 ID 없음"))</f>
      </c>
      <c r="H387" s="41">
        <f>IF($C387="","",IF($D387="CARD",ROUND($C387*'설정 Settings'!$C$34+'설정 Settings'!$C$35,2),0))</f>
      </c>
      <c r="I387" s="42">
        <f>IF($C387="","",IF($C387&gt;'설정 Settings'!$C$36,"$2,000 초과: 은행 한도 확인, 나눠 받기 (F36)",""))</f>
      </c>
      <c r="J387" s="41">
        <f>IF($B387="","",IFERROR(INDEX('작업 Jobs'!$P$3:$P$1002,MATCH($B387,'작업 Jobs'!$A$3:$A$1002,0)),""))</f>
      </c>
    </row>
    <row r="388" spans="7:10" x14ac:dyDescent="0.25">
      <c r="G388" s="42">
        <f>IF($B388="","",IFERROR(INDEX('작업 Jobs'!$D$3:$D$1002,MATCH($B388,'작업 Jobs'!$A$3:$A$1002,0)),"작업 ID 없음"))</f>
      </c>
      <c r="H388" s="41">
        <f>IF($C388="","",IF($D388="CARD",ROUND($C388*'설정 Settings'!$C$34+'설정 Settings'!$C$35,2),0))</f>
      </c>
      <c r="I388" s="42">
        <f>IF($C388="","",IF($C388&gt;'설정 Settings'!$C$36,"$2,000 초과: 은행 한도 확인, 나눠 받기 (F36)",""))</f>
      </c>
      <c r="J388" s="41">
        <f>IF($B388="","",IFERROR(INDEX('작업 Jobs'!$P$3:$P$1002,MATCH($B388,'작업 Jobs'!$A$3:$A$1002,0)),""))</f>
      </c>
    </row>
    <row r="389" spans="7:10" x14ac:dyDescent="0.25">
      <c r="G389" s="42">
        <f>IF($B389="","",IFERROR(INDEX('작업 Jobs'!$D$3:$D$1002,MATCH($B389,'작업 Jobs'!$A$3:$A$1002,0)),"작업 ID 없음"))</f>
      </c>
      <c r="H389" s="41">
        <f>IF($C389="","",IF($D389="CARD",ROUND($C389*'설정 Settings'!$C$34+'설정 Settings'!$C$35,2),0))</f>
      </c>
      <c r="I389" s="42">
        <f>IF($C389="","",IF($C389&gt;'설정 Settings'!$C$36,"$2,000 초과: 은행 한도 확인, 나눠 받기 (F36)",""))</f>
      </c>
      <c r="J389" s="41">
        <f>IF($B389="","",IFERROR(INDEX('작업 Jobs'!$P$3:$P$1002,MATCH($B389,'작업 Jobs'!$A$3:$A$1002,0)),""))</f>
      </c>
    </row>
    <row r="390" spans="7:10" x14ac:dyDescent="0.25">
      <c r="G390" s="42">
        <f>IF($B390="","",IFERROR(INDEX('작업 Jobs'!$D$3:$D$1002,MATCH($B390,'작업 Jobs'!$A$3:$A$1002,0)),"작업 ID 없음"))</f>
      </c>
      <c r="H390" s="41">
        <f>IF($C390="","",IF($D390="CARD",ROUND($C390*'설정 Settings'!$C$34+'설정 Settings'!$C$35,2),0))</f>
      </c>
      <c r="I390" s="42">
        <f>IF($C390="","",IF($C390&gt;'설정 Settings'!$C$36,"$2,000 초과: 은행 한도 확인, 나눠 받기 (F36)",""))</f>
      </c>
      <c r="J390" s="41">
        <f>IF($B390="","",IFERROR(INDEX('작업 Jobs'!$P$3:$P$1002,MATCH($B390,'작업 Jobs'!$A$3:$A$1002,0)),""))</f>
      </c>
    </row>
    <row r="391" spans="7:10" x14ac:dyDescent="0.25">
      <c r="G391" s="42">
        <f>IF($B391="","",IFERROR(INDEX('작업 Jobs'!$D$3:$D$1002,MATCH($B391,'작업 Jobs'!$A$3:$A$1002,0)),"작업 ID 없음"))</f>
      </c>
      <c r="H391" s="41">
        <f>IF($C391="","",IF($D391="CARD",ROUND($C391*'설정 Settings'!$C$34+'설정 Settings'!$C$35,2),0))</f>
      </c>
      <c r="I391" s="42">
        <f>IF($C391="","",IF($C391&gt;'설정 Settings'!$C$36,"$2,000 초과: 은행 한도 확인, 나눠 받기 (F36)",""))</f>
      </c>
      <c r="J391" s="41">
        <f>IF($B391="","",IFERROR(INDEX('작업 Jobs'!$P$3:$P$1002,MATCH($B391,'작업 Jobs'!$A$3:$A$1002,0)),""))</f>
      </c>
    </row>
    <row r="392" spans="7:10" x14ac:dyDescent="0.25">
      <c r="G392" s="42">
        <f>IF($B392="","",IFERROR(INDEX('작업 Jobs'!$D$3:$D$1002,MATCH($B392,'작업 Jobs'!$A$3:$A$1002,0)),"작업 ID 없음"))</f>
      </c>
      <c r="H392" s="41">
        <f>IF($C392="","",IF($D392="CARD",ROUND($C392*'설정 Settings'!$C$34+'설정 Settings'!$C$35,2),0))</f>
      </c>
      <c r="I392" s="42">
        <f>IF($C392="","",IF($C392&gt;'설정 Settings'!$C$36,"$2,000 초과: 은행 한도 확인, 나눠 받기 (F36)",""))</f>
      </c>
      <c r="J392" s="41">
        <f>IF($B392="","",IFERROR(INDEX('작업 Jobs'!$P$3:$P$1002,MATCH($B392,'작업 Jobs'!$A$3:$A$1002,0)),""))</f>
      </c>
    </row>
    <row r="393" spans="7:10" x14ac:dyDescent="0.25">
      <c r="G393" s="42">
        <f>IF($B393="","",IFERROR(INDEX('작업 Jobs'!$D$3:$D$1002,MATCH($B393,'작업 Jobs'!$A$3:$A$1002,0)),"작업 ID 없음"))</f>
      </c>
      <c r="H393" s="41">
        <f>IF($C393="","",IF($D393="CARD",ROUND($C393*'설정 Settings'!$C$34+'설정 Settings'!$C$35,2),0))</f>
      </c>
      <c r="I393" s="42">
        <f>IF($C393="","",IF($C393&gt;'설정 Settings'!$C$36,"$2,000 초과: 은행 한도 확인, 나눠 받기 (F36)",""))</f>
      </c>
      <c r="J393" s="41">
        <f>IF($B393="","",IFERROR(INDEX('작업 Jobs'!$P$3:$P$1002,MATCH($B393,'작업 Jobs'!$A$3:$A$1002,0)),""))</f>
      </c>
    </row>
    <row r="394" spans="7:10" x14ac:dyDescent="0.25">
      <c r="G394" s="42">
        <f>IF($B394="","",IFERROR(INDEX('작업 Jobs'!$D$3:$D$1002,MATCH($B394,'작업 Jobs'!$A$3:$A$1002,0)),"작업 ID 없음"))</f>
      </c>
      <c r="H394" s="41">
        <f>IF($C394="","",IF($D394="CARD",ROUND($C394*'설정 Settings'!$C$34+'설정 Settings'!$C$35,2),0))</f>
      </c>
      <c r="I394" s="42">
        <f>IF($C394="","",IF($C394&gt;'설정 Settings'!$C$36,"$2,000 초과: 은행 한도 확인, 나눠 받기 (F36)",""))</f>
      </c>
      <c r="J394" s="41">
        <f>IF($B394="","",IFERROR(INDEX('작업 Jobs'!$P$3:$P$1002,MATCH($B394,'작업 Jobs'!$A$3:$A$1002,0)),""))</f>
      </c>
    </row>
    <row r="395" spans="7:10" x14ac:dyDescent="0.25">
      <c r="G395" s="42">
        <f>IF($B395="","",IFERROR(INDEX('작업 Jobs'!$D$3:$D$1002,MATCH($B395,'작업 Jobs'!$A$3:$A$1002,0)),"작업 ID 없음"))</f>
      </c>
      <c r="H395" s="41">
        <f>IF($C395="","",IF($D395="CARD",ROUND($C395*'설정 Settings'!$C$34+'설정 Settings'!$C$35,2),0))</f>
      </c>
      <c r="I395" s="42">
        <f>IF($C395="","",IF($C395&gt;'설정 Settings'!$C$36,"$2,000 초과: 은행 한도 확인, 나눠 받기 (F36)",""))</f>
      </c>
      <c r="J395" s="41">
        <f>IF($B395="","",IFERROR(INDEX('작업 Jobs'!$P$3:$P$1002,MATCH($B395,'작업 Jobs'!$A$3:$A$1002,0)),""))</f>
      </c>
    </row>
    <row r="396" spans="7:10" x14ac:dyDescent="0.25">
      <c r="G396" s="42">
        <f>IF($B396="","",IFERROR(INDEX('작업 Jobs'!$D$3:$D$1002,MATCH($B396,'작업 Jobs'!$A$3:$A$1002,0)),"작업 ID 없음"))</f>
      </c>
      <c r="H396" s="41">
        <f>IF($C396="","",IF($D396="CARD",ROUND($C396*'설정 Settings'!$C$34+'설정 Settings'!$C$35,2),0))</f>
      </c>
      <c r="I396" s="42">
        <f>IF($C396="","",IF($C396&gt;'설정 Settings'!$C$36,"$2,000 초과: 은행 한도 확인, 나눠 받기 (F36)",""))</f>
      </c>
      <c r="J396" s="41">
        <f>IF($B396="","",IFERROR(INDEX('작업 Jobs'!$P$3:$P$1002,MATCH($B396,'작업 Jobs'!$A$3:$A$1002,0)),""))</f>
      </c>
    </row>
    <row r="397" spans="7:10" x14ac:dyDescent="0.25">
      <c r="G397" s="42">
        <f>IF($B397="","",IFERROR(INDEX('작업 Jobs'!$D$3:$D$1002,MATCH($B397,'작업 Jobs'!$A$3:$A$1002,0)),"작업 ID 없음"))</f>
      </c>
      <c r="H397" s="41">
        <f>IF($C397="","",IF($D397="CARD",ROUND($C397*'설정 Settings'!$C$34+'설정 Settings'!$C$35,2),0))</f>
      </c>
      <c r="I397" s="42">
        <f>IF($C397="","",IF($C397&gt;'설정 Settings'!$C$36,"$2,000 초과: 은행 한도 확인, 나눠 받기 (F36)",""))</f>
      </c>
      <c r="J397" s="41">
        <f>IF($B397="","",IFERROR(INDEX('작업 Jobs'!$P$3:$P$1002,MATCH($B397,'작업 Jobs'!$A$3:$A$1002,0)),""))</f>
      </c>
    </row>
    <row r="398" spans="7:10" x14ac:dyDescent="0.25">
      <c r="G398" s="42">
        <f>IF($B398="","",IFERROR(INDEX('작업 Jobs'!$D$3:$D$1002,MATCH($B398,'작업 Jobs'!$A$3:$A$1002,0)),"작업 ID 없음"))</f>
      </c>
      <c r="H398" s="41">
        <f>IF($C398="","",IF($D398="CARD",ROUND($C398*'설정 Settings'!$C$34+'설정 Settings'!$C$35,2),0))</f>
      </c>
      <c r="I398" s="42">
        <f>IF($C398="","",IF($C398&gt;'설정 Settings'!$C$36,"$2,000 초과: 은행 한도 확인, 나눠 받기 (F36)",""))</f>
      </c>
      <c r="J398" s="41">
        <f>IF($B398="","",IFERROR(INDEX('작업 Jobs'!$P$3:$P$1002,MATCH($B398,'작업 Jobs'!$A$3:$A$1002,0)),""))</f>
      </c>
    </row>
    <row r="399" spans="7:10" x14ac:dyDescent="0.25">
      <c r="G399" s="42">
        <f>IF($B399="","",IFERROR(INDEX('작업 Jobs'!$D$3:$D$1002,MATCH($B399,'작업 Jobs'!$A$3:$A$1002,0)),"작업 ID 없음"))</f>
      </c>
      <c r="H399" s="41">
        <f>IF($C399="","",IF($D399="CARD",ROUND($C399*'설정 Settings'!$C$34+'설정 Settings'!$C$35,2),0))</f>
      </c>
      <c r="I399" s="42">
        <f>IF($C399="","",IF($C399&gt;'설정 Settings'!$C$36,"$2,000 초과: 은행 한도 확인, 나눠 받기 (F36)",""))</f>
      </c>
      <c r="J399" s="41">
        <f>IF($B399="","",IFERROR(INDEX('작업 Jobs'!$P$3:$P$1002,MATCH($B399,'작업 Jobs'!$A$3:$A$1002,0)),""))</f>
      </c>
    </row>
    <row r="400" spans="7:10" x14ac:dyDescent="0.25">
      <c r="G400" s="42">
        <f>IF($B400="","",IFERROR(INDEX('작업 Jobs'!$D$3:$D$1002,MATCH($B400,'작업 Jobs'!$A$3:$A$1002,0)),"작업 ID 없음"))</f>
      </c>
      <c r="H400" s="41">
        <f>IF($C400="","",IF($D400="CARD",ROUND($C400*'설정 Settings'!$C$34+'설정 Settings'!$C$35,2),0))</f>
      </c>
      <c r="I400" s="42">
        <f>IF($C400="","",IF($C400&gt;'설정 Settings'!$C$36,"$2,000 초과: 은행 한도 확인, 나눠 받기 (F36)",""))</f>
      </c>
      <c r="J400" s="41">
        <f>IF($B400="","",IFERROR(INDEX('작업 Jobs'!$P$3:$P$1002,MATCH($B400,'작업 Jobs'!$A$3:$A$1002,0)),""))</f>
      </c>
    </row>
    <row r="401" spans="7:10" x14ac:dyDescent="0.25">
      <c r="G401" s="42">
        <f>IF($B401="","",IFERROR(INDEX('작업 Jobs'!$D$3:$D$1002,MATCH($B401,'작업 Jobs'!$A$3:$A$1002,0)),"작업 ID 없음"))</f>
      </c>
      <c r="H401" s="41">
        <f>IF($C401="","",IF($D401="CARD",ROUND($C401*'설정 Settings'!$C$34+'설정 Settings'!$C$35,2),0))</f>
      </c>
      <c r="I401" s="42">
        <f>IF($C401="","",IF($C401&gt;'설정 Settings'!$C$36,"$2,000 초과: 은행 한도 확인, 나눠 받기 (F36)",""))</f>
      </c>
      <c r="J401" s="41">
        <f>IF($B401="","",IFERROR(INDEX('작업 Jobs'!$P$3:$P$1002,MATCH($B401,'작업 Jobs'!$A$3:$A$1002,0)),""))</f>
      </c>
    </row>
    <row r="402" spans="7:10" x14ac:dyDescent="0.25">
      <c r="G402" s="42">
        <f>IF($B402="","",IFERROR(INDEX('작업 Jobs'!$D$3:$D$1002,MATCH($B402,'작업 Jobs'!$A$3:$A$1002,0)),"작업 ID 없음"))</f>
      </c>
      <c r="H402" s="41">
        <f>IF($C402="","",IF($D402="CARD",ROUND($C402*'설정 Settings'!$C$34+'설정 Settings'!$C$35,2),0))</f>
      </c>
      <c r="I402" s="42">
        <f>IF($C402="","",IF($C402&gt;'설정 Settings'!$C$36,"$2,000 초과: 은행 한도 확인, 나눠 받기 (F36)",""))</f>
      </c>
      <c r="J402" s="41">
        <f>IF($B402="","",IFERROR(INDEX('작업 Jobs'!$P$3:$P$1002,MATCH($B402,'작업 Jobs'!$A$3:$A$1002,0)),""))</f>
      </c>
    </row>
    <row r="403" spans="7:10" x14ac:dyDescent="0.25">
      <c r="G403" s="42">
        <f>IF($B403="","",IFERROR(INDEX('작업 Jobs'!$D$3:$D$1002,MATCH($B403,'작업 Jobs'!$A$3:$A$1002,0)),"작업 ID 없음"))</f>
      </c>
      <c r="H403" s="41">
        <f>IF($C403="","",IF($D403="CARD",ROUND($C403*'설정 Settings'!$C$34+'설정 Settings'!$C$35,2),0))</f>
      </c>
      <c r="I403" s="42">
        <f>IF($C403="","",IF($C403&gt;'설정 Settings'!$C$36,"$2,000 초과: 은행 한도 확인, 나눠 받기 (F36)",""))</f>
      </c>
      <c r="J403" s="41">
        <f>IF($B403="","",IFERROR(INDEX('작업 Jobs'!$P$3:$P$1002,MATCH($B403,'작업 Jobs'!$A$3:$A$1002,0)),""))</f>
      </c>
    </row>
    <row r="404" spans="7:10" x14ac:dyDescent="0.25">
      <c r="G404" s="42">
        <f>IF($B404="","",IFERROR(INDEX('작업 Jobs'!$D$3:$D$1002,MATCH($B404,'작업 Jobs'!$A$3:$A$1002,0)),"작업 ID 없음"))</f>
      </c>
      <c r="H404" s="41">
        <f>IF($C404="","",IF($D404="CARD",ROUND($C404*'설정 Settings'!$C$34+'설정 Settings'!$C$35,2),0))</f>
      </c>
      <c r="I404" s="42">
        <f>IF($C404="","",IF($C404&gt;'설정 Settings'!$C$36,"$2,000 초과: 은행 한도 확인, 나눠 받기 (F36)",""))</f>
      </c>
      <c r="J404" s="41">
        <f>IF($B404="","",IFERROR(INDEX('작업 Jobs'!$P$3:$P$1002,MATCH($B404,'작업 Jobs'!$A$3:$A$1002,0)),""))</f>
      </c>
    </row>
    <row r="405" spans="7:10" x14ac:dyDescent="0.25">
      <c r="G405" s="42">
        <f>IF($B405="","",IFERROR(INDEX('작업 Jobs'!$D$3:$D$1002,MATCH($B405,'작업 Jobs'!$A$3:$A$1002,0)),"작업 ID 없음"))</f>
      </c>
      <c r="H405" s="41">
        <f>IF($C405="","",IF($D405="CARD",ROUND($C405*'설정 Settings'!$C$34+'설정 Settings'!$C$35,2),0))</f>
      </c>
      <c r="I405" s="42">
        <f>IF($C405="","",IF($C405&gt;'설정 Settings'!$C$36,"$2,000 초과: 은행 한도 확인, 나눠 받기 (F36)",""))</f>
      </c>
      <c r="J405" s="41">
        <f>IF($B405="","",IFERROR(INDEX('작업 Jobs'!$P$3:$P$1002,MATCH($B405,'작업 Jobs'!$A$3:$A$1002,0)),""))</f>
      </c>
    </row>
    <row r="406" spans="7:10" x14ac:dyDescent="0.25">
      <c r="G406" s="42">
        <f>IF($B406="","",IFERROR(INDEX('작업 Jobs'!$D$3:$D$1002,MATCH($B406,'작업 Jobs'!$A$3:$A$1002,0)),"작업 ID 없음"))</f>
      </c>
      <c r="H406" s="41">
        <f>IF($C406="","",IF($D406="CARD",ROUND($C406*'설정 Settings'!$C$34+'설정 Settings'!$C$35,2),0))</f>
      </c>
      <c r="I406" s="42">
        <f>IF($C406="","",IF($C406&gt;'설정 Settings'!$C$36,"$2,000 초과: 은행 한도 확인, 나눠 받기 (F36)",""))</f>
      </c>
      <c r="J406" s="41">
        <f>IF($B406="","",IFERROR(INDEX('작업 Jobs'!$P$3:$P$1002,MATCH($B406,'작업 Jobs'!$A$3:$A$1002,0)),""))</f>
      </c>
    </row>
    <row r="407" spans="7:10" x14ac:dyDescent="0.25">
      <c r="G407" s="42">
        <f>IF($B407="","",IFERROR(INDEX('작업 Jobs'!$D$3:$D$1002,MATCH($B407,'작업 Jobs'!$A$3:$A$1002,0)),"작업 ID 없음"))</f>
      </c>
      <c r="H407" s="41">
        <f>IF($C407="","",IF($D407="CARD",ROUND($C407*'설정 Settings'!$C$34+'설정 Settings'!$C$35,2),0))</f>
      </c>
      <c r="I407" s="42">
        <f>IF($C407="","",IF($C407&gt;'설정 Settings'!$C$36,"$2,000 초과: 은행 한도 확인, 나눠 받기 (F36)",""))</f>
      </c>
      <c r="J407" s="41">
        <f>IF($B407="","",IFERROR(INDEX('작업 Jobs'!$P$3:$P$1002,MATCH($B407,'작업 Jobs'!$A$3:$A$1002,0)),""))</f>
      </c>
    </row>
    <row r="408" spans="7:10" x14ac:dyDescent="0.25">
      <c r="G408" s="42">
        <f>IF($B408="","",IFERROR(INDEX('작업 Jobs'!$D$3:$D$1002,MATCH($B408,'작업 Jobs'!$A$3:$A$1002,0)),"작업 ID 없음"))</f>
      </c>
      <c r="H408" s="41">
        <f>IF($C408="","",IF($D408="CARD",ROUND($C408*'설정 Settings'!$C$34+'설정 Settings'!$C$35,2),0))</f>
      </c>
      <c r="I408" s="42">
        <f>IF($C408="","",IF($C408&gt;'설정 Settings'!$C$36,"$2,000 초과: 은행 한도 확인, 나눠 받기 (F36)",""))</f>
      </c>
      <c r="J408" s="41">
        <f>IF($B408="","",IFERROR(INDEX('작업 Jobs'!$P$3:$P$1002,MATCH($B408,'작업 Jobs'!$A$3:$A$1002,0)),""))</f>
      </c>
    </row>
    <row r="409" spans="7:10" x14ac:dyDescent="0.25">
      <c r="G409" s="42">
        <f>IF($B409="","",IFERROR(INDEX('작업 Jobs'!$D$3:$D$1002,MATCH($B409,'작업 Jobs'!$A$3:$A$1002,0)),"작업 ID 없음"))</f>
      </c>
      <c r="H409" s="41">
        <f>IF($C409="","",IF($D409="CARD",ROUND($C409*'설정 Settings'!$C$34+'설정 Settings'!$C$35,2),0))</f>
      </c>
      <c r="I409" s="42">
        <f>IF($C409="","",IF($C409&gt;'설정 Settings'!$C$36,"$2,000 초과: 은행 한도 확인, 나눠 받기 (F36)",""))</f>
      </c>
      <c r="J409" s="41">
        <f>IF($B409="","",IFERROR(INDEX('작업 Jobs'!$P$3:$P$1002,MATCH($B409,'작업 Jobs'!$A$3:$A$1002,0)),""))</f>
      </c>
    </row>
    <row r="410" spans="7:10" x14ac:dyDescent="0.25">
      <c r="G410" s="42">
        <f>IF($B410="","",IFERROR(INDEX('작업 Jobs'!$D$3:$D$1002,MATCH($B410,'작업 Jobs'!$A$3:$A$1002,0)),"작업 ID 없음"))</f>
      </c>
      <c r="H410" s="41">
        <f>IF($C410="","",IF($D410="CARD",ROUND($C410*'설정 Settings'!$C$34+'설정 Settings'!$C$35,2),0))</f>
      </c>
      <c r="I410" s="42">
        <f>IF($C410="","",IF($C410&gt;'설정 Settings'!$C$36,"$2,000 초과: 은행 한도 확인, 나눠 받기 (F36)",""))</f>
      </c>
      <c r="J410" s="41">
        <f>IF($B410="","",IFERROR(INDEX('작업 Jobs'!$P$3:$P$1002,MATCH($B410,'작업 Jobs'!$A$3:$A$1002,0)),""))</f>
      </c>
    </row>
    <row r="411" spans="7:10" x14ac:dyDescent="0.25">
      <c r="G411" s="42">
        <f>IF($B411="","",IFERROR(INDEX('작업 Jobs'!$D$3:$D$1002,MATCH($B411,'작업 Jobs'!$A$3:$A$1002,0)),"작업 ID 없음"))</f>
      </c>
      <c r="H411" s="41">
        <f>IF($C411="","",IF($D411="CARD",ROUND($C411*'설정 Settings'!$C$34+'설정 Settings'!$C$35,2),0))</f>
      </c>
      <c r="I411" s="42">
        <f>IF($C411="","",IF($C411&gt;'설정 Settings'!$C$36,"$2,000 초과: 은행 한도 확인, 나눠 받기 (F36)",""))</f>
      </c>
      <c r="J411" s="41">
        <f>IF($B411="","",IFERROR(INDEX('작업 Jobs'!$P$3:$P$1002,MATCH($B411,'작업 Jobs'!$A$3:$A$1002,0)),""))</f>
      </c>
    </row>
    <row r="412" spans="7:10" x14ac:dyDescent="0.25">
      <c r="G412" s="42">
        <f>IF($B412="","",IFERROR(INDEX('작업 Jobs'!$D$3:$D$1002,MATCH($B412,'작업 Jobs'!$A$3:$A$1002,0)),"작업 ID 없음"))</f>
      </c>
      <c r="H412" s="41">
        <f>IF($C412="","",IF($D412="CARD",ROUND($C412*'설정 Settings'!$C$34+'설정 Settings'!$C$35,2),0))</f>
      </c>
      <c r="I412" s="42">
        <f>IF($C412="","",IF($C412&gt;'설정 Settings'!$C$36,"$2,000 초과: 은행 한도 확인, 나눠 받기 (F36)",""))</f>
      </c>
      <c r="J412" s="41">
        <f>IF($B412="","",IFERROR(INDEX('작업 Jobs'!$P$3:$P$1002,MATCH($B412,'작업 Jobs'!$A$3:$A$1002,0)),""))</f>
      </c>
    </row>
    <row r="413" spans="7:10" x14ac:dyDescent="0.25">
      <c r="G413" s="42">
        <f>IF($B413="","",IFERROR(INDEX('작업 Jobs'!$D$3:$D$1002,MATCH($B413,'작업 Jobs'!$A$3:$A$1002,0)),"작업 ID 없음"))</f>
      </c>
      <c r="H413" s="41">
        <f>IF($C413="","",IF($D413="CARD",ROUND($C413*'설정 Settings'!$C$34+'설정 Settings'!$C$35,2),0))</f>
      </c>
      <c r="I413" s="42">
        <f>IF($C413="","",IF($C413&gt;'설정 Settings'!$C$36,"$2,000 초과: 은행 한도 확인, 나눠 받기 (F36)",""))</f>
      </c>
      <c r="J413" s="41">
        <f>IF($B413="","",IFERROR(INDEX('작업 Jobs'!$P$3:$P$1002,MATCH($B413,'작업 Jobs'!$A$3:$A$1002,0)),""))</f>
      </c>
    </row>
    <row r="414" spans="7:10" x14ac:dyDescent="0.25">
      <c r="G414" s="42">
        <f>IF($B414="","",IFERROR(INDEX('작업 Jobs'!$D$3:$D$1002,MATCH($B414,'작업 Jobs'!$A$3:$A$1002,0)),"작업 ID 없음"))</f>
      </c>
      <c r="H414" s="41">
        <f>IF($C414="","",IF($D414="CARD",ROUND($C414*'설정 Settings'!$C$34+'설정 Settings'!$C$35,2),0))</f>
      </c>
      <c r="I414" s="42">
        <f>IF($C414="","",IF($C414&gt;'설정 Settings'!$C$36,"$2,000 초과: 은행 한도 확인, 나눠 받기 (F36)",""))</f>
      </c>
      <c r="J414" s="41">
        <f>IF($B414="","",IFERROR(INDEX('작업 Jobs'!$P$3:$P$1002,MATCH($B414,'작업 Jobs'!$A$3:$A$1002,0)),""))</f>
      </c>
    </row>
    <row r="415" spans="7:10" x14ac:dyDescent="0.25">
      <c r="G415" s="42">
        <f>IF($B415="","",IFERROR(INDEX('작업 Jobs'!$D$3:$D$1002,MATCH($B415,'작업 Jobs'!$A$3:$A$1002,0)),"작업 ID 없음"))</f>
      </c>
      <c r="H415" s="41">
        <f>IF($C415="","",IF($D415="CARD",ROUND($C415*'설정 Settings'!$C$34+'설정 Settings'!$C$35,2),0))</f>
      </c>
      <c r="I415" s="42">
        <f>IF($C415="","",IF($C415&gt;'설정 Settings'!$C$36,"$2,000 초과: 은행 한도 확인, 나눠 받기 (F36)",""))</f>
      </c>
      <c r="J415" s="41">
        <f>IF($B415="","",IFERROR(INDEX('작업 Jobs'!$P$3:$P$1002,MATCH($B415,'작업 Jobs'!$A$3:$A$1002,0)),""))</f>
      </c>
    </row>
    <row r="416" spans="7:10" x14ac:dyDescent="0.25">
      <c r="G416" s="42">
        <f>IF($B416="","",IFERROR(INDEX('작업 Jobs'!$D$3:$D$1002,MATCH($B416,'작업 Jobs'!$A$3:$A$1002,0)),"작업 ID 없음"))</f>
      </c>
      <c r="H416" s="41">
        <f>IF($C416="","",IF($D416="CARD",ROUND($C416*'설정 Settings'!$C$34+'설정 Settings'!$C$35,2),0))</f>
      </c>
      <c r="I416" s="42">
        <f>IF($C416="","",IF($C416&gt;'설정 Settings'!$C$36,"$2,000 초과: 은행 한도 확인, 나눠 받기 (F36)",""))</f>
      </c>
      <c r="J416" s="41">
        <f>IF($B416="","",IFERROR(INDEX('작업 Jobs'!$P$3:$P$1002,MATCH($B416,'작업 Jobs'!$A$3:$A$1002,0)),""))</f>
      </c>
    </row>
    <row r="417" spans="7:10" x14ac:dyDescent="0.25">
      <c r="G417" s="42">
        <f>IF($B417="","",IFERROR(INDEX('작업 Jobs'!$D$3:$D$1002,MATCH($B417,'작업 Jobs'!$A$3:$A$1002,0)),"작업 ID 없음"))</f>
      </c>
      <c r="H417" s="41">
        <f>IF($C417="","",IF($D417="CARD",ROUND($C417*'설정 Settings'!$C$34+'설정 Settings'!$C$35,2),0))</f>
      </c>
      <c r="I417" s="42">
        <f>IF($C417="","",IF($C417&gt;'설정 Settings'!$C$36,"$2,000 초과: 은행 한도 확인, 나눠 받기 (F36)",""))</f>
      </c>
      <c r="J417" s="41">
        <f>IF($B417="","",IFERROR(INDEX('작업 Jobs'!$P$3:$P$1002,MATCH($B417,'작업 Jobs'!$A$3:$A$1002,0)),""))</f>
      </c>
    </row>
    <row r="418" spans="7:10" x14ac:dyDescent="0.25">
      <c r="G418" s="42">
        <f>IF($B418="","",IFERROR(INDEX('작업 Jobs'!$D$3:$D$1002,MATCH($B418,'작업 Jobs'!$A$3:$A$1002,0)),"작업 ID 없음"))</f>
      </c>
      <c r="H418" s="41">
        <f>IF($C418="","",IF($D418="CARD",ROUND($C418*'설정 Settings'!$C$34+'설정 Settings'!$C$35,2),0))</f>
      </c>
      <c r="I418" s="42">
        <f>IF($C418="","",IF($C418&gt;'설정 Settings'!$C$36,"$2,000 초과: 은행 한도 확인, 나눠 받기 (F36)",""))</f>
      </c>
      <c r="J418" s="41">
        <f>IF($B418="","",IFERROR(INDEX('작업 Jobs'!$P$3:$P$1002,MATCH($B418,'작업 Jobs'!$A$3:$A$1002,0)),""))</f>
      </c>
    </row>
    <row r="419" spans="7:10" x14ac:dyDescent="0.25">
      <c r="G419" s="42">
        <f>IF($B419="","",IFERROR(INDEX('작업 Jobs'!$D$3:$D$1002,MATCH($B419,'작업 Jobs'!$A$3:$A$1002,0)),"작업 ID 없음"))</f>
      </c>
      <c r="H419" s="41">
        <f>IF($C419="","",IF($D419="CARD",ROUND($C419*'설정 Settings'!$C$34+'설정 Settings'!$C$35,2),0))</f>
      </c>
      <c r="I419" s="42">
        <f>IF($C419="","",IF($C419&gt;'설정 Settings'!$C$36,"$2,000 초과: 은행 한도 확인, 나눠 받기 (F36)",""))</f>
      </c>
      <c r="J419" s="41">
        <f>IF($B419="","",IFERROR(INDEX('작업 Jobs'!$P$3:$P$1002,MATCH($B419,'작업 Jobs'!$A$3:$A$1002,0)),""))</f>
      </c>
    </row>
    <row r="420" spans="7:10" x14ac:dyDescent="0.25">
      <c r="G420" s="42">
        <f>IF($B420="","",IFERROR(INDEX('작업 Jobs'!$D$3:$D$1002,MATCH($B420,'작업 Jobs'!$A$3:$A$1002,0)),"작업 ID 없음"))</f>
      </c>
      <c r="H420" s="41">
        <f>IF($C420="","",IF($D420="CARD",ROUND($C420*'설정 Settings'!$C$34+'설정 Settings'!$C$35,2),0))</f>
      </c>
      <c r="I420" s="42">
        <f>IF($C420="","",IF($C420&gt;'설정 Settings'!$C$36,"$2,000 초과: 은행 한도 확인, 나눠 받기 (F36)",""))</f>
      </c>
      <c r="J420" s="41">
        <f>IF($B420="","",IFERROR(INDEX('작업 Jobs'!$P$3:$P$1002,MATCH($B420,'작업 Jobs'!$A$3:$A$1002,0)),""))</f>
      </c>
    </row>
    <row r="421" spans="7:10" x14ac:dyDescent="0.25">
      <c r="G421" s="42">
        <f>IF($B421="","",IFERROR(INDEX('작업 Jobs'!$D$3:$D$1002,MATCH($B421,'작업 Jobs'!$A$3:$A$1002,0)),"작업 ID 없음"))</f>
      </c>
      <c r="H421" s="41">
        <f>IF($C421="","",IF($D421="CARD",ROUND($C421*'설정 Settings'!$C$34+'설정 Settings'!$C$35,2),0))</f>
      </c>
      <c r="I421" s="42">
        <f>IF($C421="","",IF($C421&gt;'설정 Settings'!$C$36,"$2,000 초과: 은행 한도 확인, 나눠 받기 (F36)",""))</f>
      </c>
      <c r="J421" s="41">
        <f>IF($B421="","",IFERROR(INDEX('작업 Jobs'!$P$3:$P$1002,MATCH($B421,'작업 Jobs'!$A$3:$A$1002,0)),""))</f>
      </c>
    </row>
    <row r="422" spans="7:10" x14ac:dyDescent="0.25">
      <c r="G422" s="42">
        <f>IF($B422="","",IFERROR(INDEX('작업 Jobs'!$D$3:$D$1002,MATCH($B422,'작업 Jobs'!$A$3:$A$1002,0)),"작업 ID 없음"))</f>
      </c>
      <c r="H422" s="41">
        <f>IF($C422="","",IF($D422="CARD",ROUND($C422*'설정 Settings'!$C$34+'설정 Settings'!$C$35,2),0))</f>
      </c>
      <c r="I422" s="42">
        <f>IF($C422="","",IF($C422&gt;'설정 Settings'!$C$36,"$2,000 초과: 은행 한도 확인, 나눠 받기 (F36)",""))</f>
      </c>
      <c r="J422" s="41">
        <f>IF($B422="","",IFERROR(INDEX('작업 Jobs'!$P$3:$P$1002,MATCH($B422,'작업 Jobs'!$A$3:$A$1002,0)),""))</f>
      </c>
    </row>
    <row r="423" spans="7:10" x14ac:dyDescent="0.25">
      <c r="G423" s="42">
        <f>IF($B423="","",IFERROR(INDEX('작업 Jobs'!$D$3:$D$1002,MATCH($B423,'작업 Jobs'!$A$3:$A$1002,0)),"작업 ID 없음"))</f>
      </c>
      <c r="H423" s="41">
        <f>IF($C423="","",IF($D423="CARD",ROUND($C423*'설정 Settings'!$C$34+'설정 Settings'!$C$35,2),0))</f>
      </c>
      <c r="I423" s="42">
        <f>IF($C423="","",IF($C423&gt;'설정 Settings'!$C$36,"$2,000 초과: 은행 한도 확인, 나눠 받기 (F36)",""))</f>
      </c>
      <c r="J423" s="41">
        <f>IF($B423="","",IFERROR(INDEX('작업 Jobs'!$P$3:$P$1002,MATCH($B423,'작업 Jobs'!$A$3:$A$1002,0)),""))</f>
      </c>
    </row>
    <row r="424" spans="7:10" x14ac:dyDescent="0.25">
      <c r="G424" s="42">
        <f>IF($B424="","",IFERROR(INDEX('작업 Jobs'!$D$3:$D$1002,MATCH($B424,'작업 Jobs'!$A$3:$A$1002,0)),"작업 ID 없음"))</f>
      </c>
      <c r="H424" s="41">
        <f>IF($C424="","",IF($D424="CARD",ROUND($C424*'설정 Settings'!$C$34+'설정 Settings'!$C$35,2),0))</f>
      </c>
      <c r="I424" s="42">
        <f>IF($C424="","",IF($C424&gt;'설정 Settings'!$C$36,"$2,000 초과: 은행 한도 확인, 나눠 받기 (F36)",""))</f>
      </c>
      <c r="J424" s="41">
        <f>IF($B424="","",IFERROR(INDEX('작업 Jobs'!$P$3:$P$1002,MATCH($B424,'작업 Jobs'!$A$3:$A$1002,0)),""))</f>
      </c>
    </row>
    <row r="425" spans="7:10" x14ac:dyDescent="0.25">
      <c r="G425" s="42">
        <f>IF($B425="","",IFERROR(INDEX('작업 Jobs'!$D$3:$D$1002,MATCH($B425,'작업 Jobs'!$A$3:$A$1002,0)),"작업 ID 없음"))</f>
      </c>
      <c r="H425" s="41">
        <f>IF($C425="","",IF($D425="CARD",ROUND($C425*'설정 Settings'!$C$34+'설정 Settings'!$C$35,2),0))</f>
      </c>
      <c r="I425" s="42">
        <f>IF($C425="","",IF($C425&gt;'설정 Settings'!$C$36,"$2,000 초과: 은행 한도 확인, 나눠 받기 (F36)",""))</f>
      </c>
      <c r="J425" s="41">
        <f>IF($B425="","",IFERROR(INDEX('작업 Jobs'!$P$3:$P$1002,MATCH($B425,'작업 Jobs'!$A$3:$A$1002,0)),""))</f>
      </c>
    </row>
    <row r="426" spans="7:10" x14ac:dyDescent="0.25">
      <c r="G426" s="42">
        <f>IF($B426="","",IFERROR(INDEX('작업 Jobs'!$D$3:$D$1002,MATCH($B426,'작업 Jobs'!$A$3:$A$1002,0)),"작업 ID 없음"))</f>
      </c>
      <c r="H426" s="41">
        <f>IF($C426="","",IF($D426="CARD",ROUND($C426*'설정 Settings'!$C$34+'설정 Settings'!$C$35,2),0))</f>
      </c>
      <c r="I426" s="42">
        <f>IF($C426="","",IF($C426&gt;'설정 Settings'!$C$36,"$2,000 초과: 은행 한도 확인, 나눠 받기 (F36)",""))</f>
      </c>
      <c r="J426" s="41">
        <f>IF($B426="","",IFERROR(INDEX('작업 Jobs'!$P$3:$P$1002,MATCH($B426,'작업 Jobs'!$A$3:$A$1002,0)),""))</f>
      </c>
    </row>
    <row r="427" spans="7:10" x14ac:dyDescent="0.25">
      <c r="G427" s="42">
        <f>IF($B427="","",IFERROR(INDEX('작업 Jobs'!$D$3:$D$1002,MATCH($B427,'작업 Jobs'!$A$3:$A$1002,0)),"작업 ID 없음"))</f>
      </c>
      <c r="H427" s="41">
        <f>IF($C427="","",IF($D427="CARD",ROUND($C427*'설정 Settings'!$C$34+'설정 Settings'!$C$35,2),0))</f>
      </c>
      <c r="I427" s="42">
        <f>IF($C427="","",IF($C427&gt;'설정 Settings'!$C$36,"$2,000 초과: 은행 한도 확인, 나눠 받기 (F36)",""))</f>
      </c>
      <c r="J427" s="41">
        <f>IF($B427="","",IFERROR(INDEX('작업 Jobs'!$P$3:$P$1002,MATCH($B427,'작업 Jobs'!$A$3:$A$1002,0)),""))</f>
      </c>
    </row>
    <row r="428" spans="7:10" x14ac:dyDescent="0.25">
      <c r="G428" s="42">
        <f>IF($B428="","",IFERROR(INDEX('작업 Jobs'!$D$3:$D$1002,MATCH($B428,'작업 Jobs'!$A$3:$A$1002,0)),"작업 ID 없음"))</f>
      </c>
      <c r="H428" s="41">
        <f>IF($C428="","",IF($D428="CARD",ROUND($C428*'설정 Settings'!$C$34+'설정 Settings'!$C$35,2),0))</f>
      </c>
      <c r="I428" s="42">
        <f>IF($C428="","",IF($C428&gt;'설정 Settings'!$C$36,"$2,000 초과: 은행 한도 확인, 나눠 받기 (F36)",""))</f>
      </c>
      <c r="J428" s="41">
        <f>IF($B428="","",IFERROR(INDEX('작업 Jobs'!$P$3:$P$1002,MATCH($B428,'작업 Jobs'!$A$3:$A$1002,0)),""))</f>
      </c>
    </row>
    <row r="429" spans="7:10" x14ac:dyDescent="0.25">
      <c r="G429" s="42">
        <f>IF($B429="","",IFERROR(INDEX('작업 Jobs'!$D$3:$D$1002,MATCH($B429,'작업 Jobs'!$A$3:$A$1002,0)),"작업 ID 없음"))</f>
      </c>
      <c r="H429" s="41">
        <f>IF($C429="","",IF($D429="CARD",ROUND($C429*'설정 Settings'!$C$34+'설정 Settings'!$C$35,2),0))</f>
      </c>
      <c r="I429" s="42">
        <f>IF($C429="","",IF($C429&gt;'설정 Settings'!$C$36,"$2,000 초과: 은행 한도 확인, 나눠 받기 (F36)",""))</f>
      </c>
      <c r="J429" s="41">
        <f>IF($B429="","",IFERROR(INDEX('작업 Jobs'!$P$3:$P$1002,MATCH($B429,'작업 Jobs'!$A$3:$A$1002,0)),""))</f>
      </c>
    </row>
    <row r="430" spans="7:10" x14ac:dyDescent="0.25">
      <c r="G430" s="42">
        <f>IF($B430="","",IFERROR(INDEX('작업 Jobs'!$D$3:$D$1002,MATCH($B430,'작업 Jobs'!$A$3:$A$1002,0)),"작업 ID 없음"))</f>
      </c>
      <c r="H430" s="41">
        <f>IF($C430="","",IF($D430="CARD",ROUND($C430*'설정 Settings'!$C$34+'설정 Settings'!$C$35,2),0))</f>
      </c>
      <c r="I430" s="42">
        <f>IF($C430="","",IF($C430&gt;'설정 Settings'!$C$36,"$2,000 초과: 은행 한도 확인, 나눠 받기 (F36)",""))</f>
      </c>
      <c r="J430" s="41">
        <f>IF($B430="","",IFERROR(INDEX('작업 Jobs'!$P$3:$P$1002,MATCH($B430,'작업 Jobs'!$A$3:$A$1002,0)),""))</f>
      </c>
    </row>
    <row r="431" spans="7:10" x14ac:dyDescent="0.25">
      <c r="G431" s="42">
        <f>IF($B431="","",IFERROR(INDEX('작업 Jobs'!$D$3:$D$1002,MATCH($B431,'작업 Jobs'!$A$3:$A$1002,0)),"작업 ID 없음"))</f>
      </c>
      <c r="H431" s="41">
        <f>IF($C431="","",IF($D431="CARD",ROUND($C431*'설정 Settings'!$C$34+'설정 Settings'!$C$35,2),0))</f>
      </c>
      <c r="I431" s="42">
        <f>IF($C431="","",IF($C431&gt;'설정 Settings'!$C$36,"$2,000 초과: 은행 한도 확인, 나눠 받기 (F36)",""))</f>
      </c>
      <c r="J431" s="41">
        <f>IF($B431="","",IFERROR(INDEX('작업 Jobs'!$P$3:$P$1002,MATCH($B431,'작업 Jobs'!$A$3:$A$1002,0)),""))</f>
      </c>
    </row>
    <row r="432" spans="7:10" x14ac:dyDescent="0.25">
      <c r="G432" s="42">
        <f>IF($B432="","",IFERROR(INDEX('작업 Jobs'!$D$3:$D$1002,MATCH($B432,'작업 Jobs'!$A$3:$A$1002,0)),"작업 ID 없음"))</f>
      </c>
      <c r="H432" s="41">
        <f>IF($C432="","",IF($D432="CARD",ROUND($C432*'설정 Settings'!$C$34+'설정 Settings'!$C$35,2),0))</f>
      </c>
      <c r="I432" s="42">
        <f>IF($C432="","",IF($C432&gt;'설정 Settings'!$C$36,"$2,000 초과: 은행 한도 확인, 나눠 받기 (F36)",""))</f>
      </c>
      <c r="J432" s="41">
        <f>IF($B432="","",IFERROR(INDEX('작업 Jobs'!$P$3:$P$1002,MATCH($B432,'작업 Jobs'!$A$3:$A$1002,0)),""))</f>
      </c>
    </row>
    <row r="433" spans="7:10" x14ac:dyDescent="0.25">
      <c r="G433" s="42">
        <f>IF($B433="","",IFERROR(INDEX('작업 Jobs'!$D$3:$D$1002,MATCH($B433,'작업 Jobs'!$A$3:$A$1002,0)),"작업 ID 없음"))</f>
      </c>
      <c r="H433" s="41">
        <f>IF($C433="","",IF($D433="CARD",ROUND($C433*'설정 Settings'!$C$34+'설정 Settings'!$C$35,2),0))</f>
      </c>
      <c r="I433" s="42">
        <f>IF($C433="","",IF($C433&gt;'설정 Settings'!$C$36,"$2,000 초과: 은행 한도 확인, 나눠 받기 (F36)",""))</f>
      </c>
      <c r="J433" s="41">
        <f>IF($B433="","",IFERROR(INDEX('작업 Jobs'!$P$3:$P$1002,MATCH($B433,'작업 Jobs'!$A$3:$A$1002,0)),""))</f>
      </c>
    </row>
    <row r="434" spans="7:10" x14ac:dyDescent="0.25">
      <c r="G434" s="42">
        <f>IF($B434="","",IFERROR(INDEX('작업 Jobs'!$D$3:$D$1002,MATCH($B434,'작업 Jobs'!$A$3:$A$1002,0)),"작업 ID 없음"))</f>
      </c>
      <c r="H434" s="41">
        <f>IF($C434="","",IF($D434="CARD",ROUND($C434*'설정 Settings'!$C$34+'설정 Settings'!$C$35,2),0))</f>
      </c>
      <c r="I434" s="42">
        <f>IF($C434="","",IF($C434&gt;'설정 Settings'!$C$36,"$2,000 초과: 은행 한도 확인, 나눠 받기 (F36)",""))</f>
      </c>
      <c r="J434" s="41">
        <f>IF($B434="","",IFERROR(INDEX('작업 Jobs'!$P$3:$P$1002,MATCH($B434,'작업 Jobs'!$A$3:$A$1002,0)),""))</f>
      </c>
    </row>
    <row r="435" spans="7:10" x14ac:dyDescent="0.25">
      <c r="G435" s="42">
        <f>IF($B435="","",IFERROR(INDEX('작업 Jobs'!$D$3:$D$1002,MATCH($B435,'작업 Jobs'!$A$3:$A$1002,0)),"작업 ID 없음"))</f>
      </c>
      <c r="H435" s="41">
        <f>IF($C435="","",IF($D435="CARD",ROUND($C435*'설정 Settings'!$C$34+'설정 Settings'!$C$35,2),0))</f>
      </c>
      <c r="I435" s="42">
        <f>IF($C435="","",IF($C435&gt;'설정 Settings'!$C$36,"$2,000 초과: 은행 한도 확인, 나눠 받기 (F36)",""))</f>
      </c>
      <c r="J435" s="41">
        <f>IF($B435="","",IFERROR(INDEX('작업 Jobs'!$P$3:$P$1002,MATCH($B435,'작업 Jobs'!$A$3:$A$1002,0)),""))</f>
      </c>
    </row>
    <row r="436" spans="7:10" x14ac:dyDescent="0.25">
      <c r="G436" s="42">
        <f>IF($B436="","",IFERROR(INDEX('작업 Jobs'!$D$3:$D$1002,MATCH($B436,'작업 Jobs'!$A$3:$A$1002,0)),"작업 ID 없음"))</f>
      </c>
      <c r="H436" s="41">
        <f>IF($C436="","",IF($D436="CARD",ROUND($C436*'설정 Settings'!$C$34+'설정 Settings'!$C$35,2),0))</f>
      </c>
      <c r="I436" s="42">
        <f>IF($C436="","",IF($C436&gt;'설정 Settings'!$C$36,"$2,000 초과: 은행 한도 확인, 나눠 받기 (F36)",""))</f>
      </c>
      <c r="J436" s="41">
        <f>IF($B436="","",IFERROR(INDEX('작업 Jobs'!$P$3:$P$1002,MATCH($B436,'작업 Jobs'!$A$3:$A$1002,0)),""))</f>
      </c>
    </row>
    <row r="437" spans="7:10" x14ac:dyDescent="0.25">
      <c r="G437" s="42">
        <f>IF($B437="","",IFERROR(INDEX('작업 Jobs'!$D$3:$D$1002,MATCH($B437,'작업 Jobs'!$A$3:$A$1002,0)),"작업 ID 없음"))</f>
      </c>
      <c r="H437" s="41">
        <f>IF($C437="","",IF($D437="CARD",ROUND($C437*'설정 Settings'!$C$34+'설정 Settings'!$C$35,2),0))</f>
      </c>
      <c r="I437" s="42">
        <f>IF($C437="","",IF($C437&gt;'설정 Settings'!$C$36,"$2,000 초과: 은행 한도 확인, 나눠 받기 (F36)",""))</f>
      </c>
      <c r="J437" s="41">
        <f>IF($B437="","",IFERROR(INDEX('작업 Jobs'!$P$3:$P$1002,MATCH($B437,'작업 Jobs'!$A$3:$A$1002,0)),""))</f>
      </c>
    </row>
    <row r="438" spans="7:10" x14ac:dyDescent="0.25">
      <c r="G438" s="42">
        <f>IF($B438="","",IFERROR(INDEX('작업 Jobs'!$D$3:$D$1002,MATCH($B438,'작업 Jobs'!$A$3:$A$1002,0)),"작업 ID 없음"))</f>
      </c>
      <c r="H438" s="41">
        <f>IF($C438="","",IF($D438="CARD",ROUND($C438*'설정 Settings'!$C$34+'설정 Settings'!$C$35,2),0))</f>
      </c>
      <c r="I438" s="42">
        <f>IF($C438="","",IF($C438&gt;'설정 Settings'!$C$36,"$2,000 초과: 은행 한도 확인, 나눠 받기 (F36)",""))</f>
      </c>
      <c r="J438" s="41">
        <f>IF($B438="","",IFERROR(INDEX('작업 Jobs'!$P$3:$P$1002,MATCH($B438,'작업 Jobs'!$A$3:$A$1002,0)),""))</f>
      </c>
    </row>
    <row r="439" spans="7:10" x14ac:dyDescent="0.25">
      <c r="G439" s="42">
        <f>IF($B439="","",IFERROR(INDEX('작업 Jobs'!$D$3:$D$1002,MATCH($B439,'작업 Jobs'!$A$3:$A$1002,0)),"작업 ID 없음"))</f>
      </c>
      <c r="H439" s="41">
        <f>IF($C439="","",IF($D439="CARD",ROUND($C439*'설정 Settings'!$C$34+'설정 Settings'!$C$35,2),0))</f>
      </c>
      <c r="I439" s="42">
        <f>IF($C439="","",IF($C439&gt;'설정 Settings'!$C$36,"$2,000 초과: 은행 한도 확인, 나눠 받기 (F36)",""))</f>
      </c>
      <c r="J439" s="41">
        <f>IF($B439="","",IFERROR(INDEX('작업 Jobs'!$P$3:$P$1002,MATCH($B439,'작업 Jobs'!$A$3:$A$1002,0)),""))</f>
      </c>
    </row>
    <row r="440" spans="7:10" x14ac:dyDescent="0.25">
      <c r="G440" s="42">
        <f>IF($B440="","",IFERROR(INDEX('작업 Jobs'!$D$3:$D$1002,MATCH($B440,'작업 Jobs'!$A$3:$A$1002,0)),"작업 ID 없음"))</f>
      </c>
      <c r="H440" s="41">
        <f>IF($C440="","",IF($D440="CARD",ROUND($C440*'설정 Settings'!$C$34+'설정 Settings'!$C$35,2),0))</f>
      </c>
      <c r="I440" s="42">
        <f>IF($C440="","",IF($C440&gt;'설정 Settings'!$C$36,"$2,000 초과: 은행 한도 확인, 나눠 받기 (F36)",""))</f>
      </c>
      <c r="J440" s="41">
        <f>IF($B440="","",IFERROR(INDEX('작업 Jobs'!$P$3:$P$1002,MATCH($B440,'작업 Jobs'!$A$3:$A$1002,0)),""))</f>
      </c>
    </row>
    <row r="441" spans="7:10" x14ac:dyDescent="0.25">
      <c r="G441" s="42">
        <f>IF($B441="","",IFERROR(INDEX('작업 Jobs'!$D$3:$D$1002,MATCH($B441,'작업 Jobs'!$A$3:$A$1002,0)),"작업 ID 없음"))</f>
      </c>
      <c r="H441" s="41">
        <f>IF($C441="","",IF($D441="CARD",ROUND($C441*'설정 Settings'!$C$34+'설정 Settings'!$C$35,2),0))</f>
      </c>
      <c r="I441" s="42">
        <f>IF($C441="","",IF($C441&gt;'설정 Settings'!$C$36,"$2,000 초과: 은행 한도 확인, 나눠 받기 (F36)",""))</f>
      </c>
      <c r="J441" s="41">
        <f>IF($B441="","",IFERROR(INDEX('작업 Jobs'!$P$3:$P$1002,MATCH($B441,'작업 Jobs'!$A$3:$A$1002,0)),""))</f>
      </c>
    </row>
    <row r="442" spans="7:10" x14ac:dyDescent="0.25">
      <c r="G442" s="42">
        <f>IF($B442="","",IFERROR(INDEX('작업 Jobs'!$D$3:$D$1002,MATCH($B442,'작업 Jobs'!$A$3:$A$1002,0)),"작업 ID 없음"))</f>
      </c>
      <c r="H442" s="41">
        <f>IF($C442="","",IF($D442="CARD",ROUND($C442*'설정 Settings'!$C$34+'설정 Settings'!$C$35,2),0))</f>
      </c>
      <c r="I442" s="42">
        <f>IF($C442="","",IF($C442&gt;'설정 Settings'!$C$36,"$2,000 초과: 은행 한도 확인, 나눠 받기 (F36)",""))</f>
      </c>
      <c r="J442" s="41">
        <f>IF($B442="","",IFERROR(INDEX('작업 Jobs'!$P$3:$P$1002,MATCH($B442,'작업 Jobs'!$A$3:$A$1002,0)),""))</f>
      </c>
    </row>
    <row r="443" spans="7:10" x14ac:dyDescent="0.25">
      <c r="G443" s="42">
        <f>IF($B443="","",IFERROR(INDEX('작업 Jobs'!$D$3:$D$1002,MATCH($B443,'작업 Jobs'!$A$3:$A$1002,0)),"작업 ID 없음"))</f>
      </c>
      <c r="H443" s="41">
        <f>IF($C443="","",IF($D443="CARD",ROUND($C443*'설정 Settings'!$C$34+'설정 Settings'!$C$35,2),0))</f>
      </c>
      <c r="I443" s="42">
        <f>IF($C443="","",IF($C443&gt;'설정 Settings'!$C$36,"$2,000 초과: 은행 한도 확인, 나눠 받기 (F36)",""))</f>
      </c>
      <c r="J443" s="41">
        <f>IF($B443="","",IFERROR(INDEX('작업 Jobs'!$P$3:$P$1002,MATCH($B443,'작업 Jobs'!$A$3:$A$1002,0)),""))</f>
      </c>
    </row>
    <row r="444" spans="7:10" x14ac:dyDescent="0.25">
      <c r="G444" s="42">
        <f>IF($B444="","",IFERROR(INDEX('작업 Jobs'!$D$3:$D$1002,MATCH($B444,'작업 Jobs'!$A$3:$A$1002,0)),"작업 ID 없음"))</f>
      </c>
      <c r="H444" s="41">
        <f>IF($C444="","",IF($D444="CARD",ROUND($C444*'설정 Settings'!$C$34+'설정 Settings'!$C$35,2),0))</f>
      </c>
      <c r="I444" s="42">
        <f>IF($C444="","",IF($C444&gt;'설정 Settings'!$C$36,"$2,000 초과: 은행 한도 확인, 나눠 받기 (F36)",""))</f>
      </c>
      <c r="J444" s="41">
        <f>IF($B444="","",IFERROR(INDEX('작업 Jobs'!$P$3:$P$1002,MATCH($B444,'작업 Jobs'!$A$3:$A$1002,0)),""))</f>
      </c>
    </row>
    <row r="445" spans="7:10" x14ac:dyDescent="0.25">
      <c r="G445" s="42">
        <f>IF($B445="","",IFERROR(INDEX('작업 Jobs'!$D$3:$D$1002,MATCH($B445,'작업 Jobs'!$A$3:$A$1002,0)),"작업 ID 없음"))</f>
      </c>
      <c r="H445" s="41">
        <f>IF($C445="","",IF($D445="CARD",ROUND($C445*'설정 Settings'!$C$34+'설정 Settings'!$C$35,2),0))</f>
      </c>
      <c r="I445" s="42">
        <f>IF($C445="","",IF($C445&gt;'설정 Settings'!$C$36,"$2,000 초과: 은행 한도 확인, 나눠 받기 (F36)",""))</f>
      </c>
      <c r="J445" s="41">
        <f>IF($B445="","",IFERROR(INDEX('작업 Jobs'!$P$3:$P$1002,MATCH($B445,'작업 Jobs'!$A$3:$A$1002,0)),""))</f>
      </c>
    </row>
    <row r="446" spans="7:10" x14ac:dyDescent="0.25">
      <c r="G446" s="42">
        <f>IF($B446="","",IFERROR(INDEX('작업 Jobs'!$D$3:$D$1002,MATCH($B446,'작업 Jobs'!$A$3:$A$1002,0)),"작업 ID 없음"))</f>
      </c>
      <c r="H446" s="41">
        <f>IF($C446="","",IF($D446="CARD",ROUND($C446*'설정 Settings'!$C$34+'설정 Settings'!$C$35,2),0))</f>
      </c>
      <c r="I446" s="42">
        <f>IF($C446="","",IF($C446&gt;'설정 Settings'!$C$36,"$2,000 초과: 은행 한도 확인, 나눠 받기 (F36)",""))</f>
      </c>
      <c r="J446" s="41">
        <f>IF($B446="","",IFERROR(INDEX('작업 Jobs'!$P$3:$P$1002,MATCH($B446,'작업 Jobs'!$A$3:$A$1002,0)),""))</f>
      </c>
    </row>
    <row r="447" spans="7:10" x14ac:dyDescent="0.25">
      <c r="G447" s="42">
        <f>IF($B447="","",IFERROR(INDEX('작업 Jobs'!$D$3:$D$1002,MATCH($B447,'작업 Jobs'!$A$3:$A$1002,0)),"작업 ID 없음"))</f>
      </c>
      <c r="H447" s="41">
        <f>IF($C447="","",IF($D447="CARD",ROUND($C447*'설정 Settings'!$C$34+'설정 Settings'!$C$35,2),0))</f>
      </c>
      <c r="I447" s="42">
        <f>IF($C447="","",IF($C447&gt;'설정 Settings'!$C$36,"$2,000 초과: 은행 한도 확인, 나눠 받기 (F36)",""))</f>
      </c>
      <c r="J447" s="41">
        <f>IF($B447="","",IFERROR(INDEX('작업 Jobs'!$P$3:$P$1002,MATCH($B447,'작업 Jobs'!$A$3:$A$1002,0)),""))</f>
      </c>
    </row>
    <row r="448" spans="7:10" x14ac:dyDescent="0.25">
      <c r="G448" s="42">
        <f>IF($B448="","",IFERROR(INDEX('작업 Jobs'!$D$3:$D$1002,MATCH($B448,'작업 Jobs'!$A$3:$A$1002,0)),"작업 ID 없음"))</f>
      </c>
      <c r="H448" s="41">
        <f>IF($C448="","",IF($D448="CARD",ROUND($C448*'설정 Settings'!$C$34+'설정 Settings'!$C$35,2),0))</f>
      </c>
      <c r="I448" s="42">
        <f>IF($C448="","",IF($C448&gt;'설정 Settings'!$C$36,"$2,000 초과: 은행 한도 확인, 나눠 받기 (F36)",""))</f>
      </c>
      <c r="J448" s="41">
        <f>IF($B448="","",IFERROR(INDEX('작업 Jobs'!$P$3:$P$1002,MATCH($B448,'작업 Jobs'!$A$3:$A$1002,0)),""))</f>
      </c>
    </row>
    <row r="449" spans="7:10" x14ac:dyDescent="0.25">
      <c r="G449" s="42">
        <f>IF($B449="","",IFERROR(INDEX('작업 Jobs'!$D$3:$D$1002,MATCH($B449,'작업 Jobs'!$A$3:$A$1002,0)),"작업 ID 없음"))</f>
      </c>
      <c r="H449" s="41">
        <f>IF($C449="","",IF($D449="CARD",ROUND($C449*'설정 Settings'!$C$34+'설정 Settings'!$C$35,2),0))</f>
      </c>
      <c r="I449" s="42">
        <f>IF($C449="","",IF($C449&gt;'설정 Settings'!$C$36,"$2,000 초과: 은행 한도 확인, 나눠 받기 (F36)",""))</f>
      </c>
      <c r="J449" s="41">
        <f>IF($B449="","",IFERROR(INDEX('작업 Jobs'!$P$3:$P$1002,MATCH($B449,'작업 Jobs'!$A$3:$A$1002,0)),""))</f>
      </c>
    </row>
    <row r="450" spans="7:10" x14ac:dyDescent="0.25">
      <c r="G450" s="42">
        <f>IF($B450="","",IFERROR(INDEX('작업 Jobs'!$D$3:$D$1002,MATCH($B450,'작업 Jobs'!$A$3:$A$1002,0)),"작업 ID 없음"))</f>
      </c>
      <c r="H450" s="41">
        <f>IF($C450="","",IF($D450="CARD",ROUND($C450*'설정 Settings'!$C$34+'설정 Settings'!$C$35,2),0))</f>
      </c>
      <c r="I450" s="42">
        <f>IF($C450="","",IF($C450&gt;'설정 Settings'!$C$36,"$2,000 초과: 은행 한도 확인, 나눠 받기 (F36)",""))</f>
      </c>
      <c r="J450" s="41">
        <f>IF($B450="","",IFERROR(INDEX('작업 Jobs'!$P$3:$P$1002,MATCH($B450,'작업 Jobs'!$A$3:$A$1002,0)),""))</f>
      </c>
    </row>
    <row r="451" spans="7:10" x14ac:dyDescent="0.25">
      <c r="G451" s="42">
        <f>IF($B451="","",IFERROR(INDEX('작업 Jobs'!$D$3:$D$1002,MATCH($B451,'작업 Jobs'!$A$3:$A$1002,0)),"작업 ID 없음"))</f>
      </c>
      <c r="H451" s="41">
        <f>IF($C451="","",IF($D451="CARD",ROUND($C451*'설정 Settings'!$C$34+'설정 Settings'!$C$35,2),0))</f>
      </c>
      <c r="I451" s="42">
        <f>IF($C451="","",IF($C451&gt;'설정 Settings'!$C$36,"$2,000 초과: 은행 한도 확인, 나눠 받기 (F36)",""))</f>
      </c>
      <c r="J451" s="41">
        <f>IF($B451="","",IFERROR(INDEX('작업 Jobs'!$P$3:$P$1002,MATCH($B451,'작업 Jobs'!$A$3:$A$1002,0)),""))</f>
      </c>
    </row>
    <row r="452" spans="7:10" x14ac:dyDescent="0.25">
      <c r="G452" s="42">
        <f>IF($B452="","",IFERROR(INDEX('작업 Jobs'!$D$3:$D$1002,MATCH($B452,'작업 Jobs'!$A$3:$A$1002,0)),"작업 ID 없음"))</f>
      </c>
      <c r="H452" s="41">
        <f>IF($C452="","",IF($D452="CARD",ROUND($C452*'설정 Settings'!$C$34+'설정 Settings'!$C$35,2),0))</f>
      </c>
      <c r="I452" s="42">
        <f>IF($C452="","",IF($C452&gt;'설정 Settings'!$C$36,"$2,000 초과: 은행 한도 확인, 나눠 받기 (F36)",""))</f>
      </c>
      <c r="J452" s="41">
        <f>IF($B452="","",IFERROR(INDEX('작업 Jobs'!$P$3:$P$1002,MATCH($B452,'작업 Jobs'!$A$3:$A$1002,0)),""))</f>
      </c>
    </row>
    <row r="453" spans="7:10" x14ac:dyDescent="0.25">
      <c r="G453" s="42">
        <f>IF($B453="","",IFERROR(INDEX('작업 Jobs'!$D$3:$D$1002,MATCH($B453,'작업 Jobs'!$A$3:$A$1002,0)),"작업 ID 없음"))</f>
      </c>
      <c r="H453" s="41">
        <f>IF($C453="","",IF($D453="CARD",ROUND($C453*'설정 Settings'!$C$34+'설정 Settings'!$C$35,2),0))</f>
      </c>
      <c r="I453" s="42">
        <f>IF($C453="","",IF($C453&gt;'설정 Settings'!$C$36,"$2,000 초과: 은행 한도 확인, 나눠 받기 (F36)",""))</f>
      </c>
      <c r="J453" s="41">
        <f>IF($B453="","",IFERROR(INDEX('작업 Jobs'!$P$3:$P$1002,MATCH($B453,'작업 Jobs'!$A$3:$A$1002,0)),""))</f>
      </c>
    </row>
    <row r="454" spans="7:10" x14ac:dyDescent="0.25">
      <c r="G454" s="42">
        <f>IF($B454="","",IFERROR(INDEX('작업 Jobs'!$D$3:$D$1002,MATCH($B454,'작업 Jobs'!$A$3:$A$1002,0)),"작업 ID 없음"))</f>
      </c>
      <c r="H454" s="41">
        <f>IF($C454="","",IF($D454="CARD",ROUND($C454*'설정 Settings'!$C$34+'설정 Settings'!$C$35,2),0))</f>
      </c>
      <c r="I454" s="42">
        <f>IF($C454="","",IF($C454&gt;'설정 Settings'!$C$36,"$2,000 초과: 은행 한도 확인, 나눠 받기 (F36)",""))</f>
      </c>
      <c r="J454" s="41">
        <f>IF($B454="","",IFERROR(INDEX('작업 Jobs'!$P$3:$P$1002,MATCH($B454,'작업 Jobs'!$A$3:$A$1002,0)),""))</f>
      </c>
    </row>
    <row r="455" spans="7:10" x14ac:dyDescent="0.25">
      <c r="G455" s="42">
        <f>IF($B455="","",IFERROR(INDEX('작업 Jobs'!$D$3:$D$1002,MATCH($B455,'작업 Jobs'!$A$3:$A$1002,0)),"작업 ID 없음"))</f>
      </c>
      <c r="H455" s="41">
        <f>IF($C455="","",IF($D455="CARD",ROUND($C455*'설정 Settings'!$C$34+'설정 Settings'!$C$35,2),0))</f>
      </c>
      <c r="I455" s="42">
        <f>IF($C455="","",IF($C455&gt;'설정 Settings'!$C$36,"$2,000 초과: 은행 한도 확인, 나눠 받기 (F36)",""))</f>
      </c>
      <c r="J455" s="41">
        <f>IF($B455="","",IFERROR(INDEX('작업 Jobs'!$P$3:$P$1002,MATCH($B455,'작업 Jobs'!$A$3:$A$1002,0)),""))</f>
      </c>
    </row>
    <row r="456" spans="7:10" x14ac:dyDescent="0.25">
      <c r="G456" s="42">
        <f>IF($B456="","",IFERROR(INDEX('작업 Jobs'!$D$3:$D$1002,MATCH($B456,'작업 Jobs'!$A$3:$A$1002,0)),"작업 ID 없음"))</f>
      </c>
      <c r="H456" s="41">
        <f>IF($C456="","",IF($D456="CARD",ROUND($C456*'설정 Settings'!$C$34+'설정 Settings'!$C$35,2),0))</f>
      </c>
      <c r="I456" s="42">
        <f>IF($C456="","",IF($C456&gt;'설정 Settings'!$C$36,"$2,000 초과: 은행 한도 확인, 나눠 받기 (F36)",""))</f>
      </c>
      <c r="J456" s="41">
        <f>IF($B456="","",IFERROR(INDEX('작업 Jobs'!$P$3:$P$1002,MATCH($B456,'작업 Jobs'!$A$3:$A$1002,0)),""))</f>
      </c>
    </row>
    <row r="457" spans="7:10" x14ac:dyDescent="0.25">
      <c r="G457" s="42">
        <f>IF($B457="","",IFERROR(INDEX('작업 Jobs'!$D$3:$D$1002,MATCH($B457,'작업 Jobs'!$A$3:$A$1002,0)),"작업 ID 없음"))</f>
      </c>
      <c r="H457" s="41">
        <f>IF($C457="","",IF($D457="CARD",ROUND($C457*'설정 Settings'!$C$34+'설정 Settings'!$C$35,2),0))</f>
      </c>
      <c r="I457" s="42">
        <f>IF($C457="","",IF($C457&gt;'설정 Settings'!$C$36,"$2,000 초과: 은행 한도 확인, 나눠 받기 (F36)",""))</f>
      </c>
      <c r="J457" s="41">
        <f>IF($B457="","",IFERROR(INDEX('작업 Jobs'!$P$3:$P$1002,MATCH($B457,'작업 Jobs'!$A$3:$A$1002,0)),""))</f>
      </c>
    </row>
    <row r="458" spans="7:10" x14ac:dyDescent="0.25">
      <c r="G458" s="42">
        <f>IF($B458="","",IFERROR(INDEX('작업 Jobs'!$D$3:$D$1002,MATCH($B458,'작업 Jobs'!$A$3:$A$1002,0)),"작업 ID 없음"))</f>
      </c>
      <c r="H458" s="41">
        <f>IF($C458="","",IF($D458="CARD",ROUND($C458*'설정 Settings'!$C$34+'설정 Settings'!$C$35,2),0))</f>
      </c>
      <c r="I458" s="42">
        <f>IF($C458="","",IF($C458&gt;'설정 Settings'!$C$36,"$2,000 초과: 은행 한도 확인, 나눠 받기 (F36)",""))</f>
      </c>
      <c r="J458" s="41">
        <f>IF($B458="","",IFERROR(INDEX('작업 Jobs'!$P$3:$P$1002,MATCH($B458,'작업 Jobs'!$A$3:$A$1002,0)),""))</f>
      </c>
    </row>
    <row r="459" spans="7:10" x14ac:dyDescent="0.25">
      <c r="G459" s="42">
        <f>IF($B459="","",IFERROR(INDEX('작업 Jobs'!$D$3:$D$1002,MATCH($B459,'작업 Jobs'!$A$3:$A$1002,0)),"작업 ID 없음"))</f>
      </c>
      <c r="H459" s="41">
        <f>IF($C459="","",IF($D459="CARD",ROUND($C459*'설정 Settings'!$C$34+'설정 Settings'!$C$35,2),0))</f>
      </c>
      <c r="I459" s="42">
        <f>IF($C459="","",IF($C459&gt;'설정 Settings'!$C$36,"$2,000 초과: 은행 한도 확인, 나눠 받기 (F36)",""))</f>
      </c>
      <c r="J459" s="41">
        <f>IF($B459="","",IFERROR(INDEX('작업 Jobs'!$P$3:$P$1002,MATCH($B459,'작업 Jobs'!$A$3:$A$1002,0)),""))</f>
      </c>
    </row>
    <row r="460" spans="7:10" x14ac:dyDescent="0.25">
      <c r="G460" s="42">
        <f>IF($B460="","",IFERROR(INDEX('작업 Jobs'!$D$3:$D$1002,MATCH($B460,'작업 Jobs'!$A$3:$A$1002,0)),"작업 ID 없음"))</f>
      </c>
      <c r="H460" s="41">
        <f>IF($C460="","",IF($D460="CARD",ROUND($C460*'설정 Settings'!$C$34+'설정 Settings'!$C$35,2),0))</f>
      </c>
      <c r="I460" s="42">
        <f>IF($C460="","",IF($C460&gt;'설정 Settings'!$C$36,"$2,000 초과: 은행 한도 확인, 나눠 받기 (F36)",""))</f>
      </c>
      <c r="J460" s="41">
        <f>IF($B460="","",IFERROR(INDEX('작업 Jobs'!$P$3:$P$1002,MATCH($B460,'작업 Jobs'!$A$3:$A$1002,0)),""))</f>
      </c>
    </row>
    <row r="461" spans="7:10" x14ac:dyDescent="0.25">
      <c r="G461" s="42">
        <f>IF($B461="","",IFERROR(INDEX('작업 Jobs'!$D$3:$D$1002,MATCH($B461,'작업 Jobs'!$A$3:$A$1002,0)),"작업 ID 없음"))</f>
      </c>
      <c r="H461" s="41">
        <f>IF($C461="","",IF($D461="CARD",ROUND($C461*'설정 Settings'!$C$34+'설정 Settings'!$C$35,2),0))</f>
      </c>
      <c r="I461" s="42">
        <f>IF($C461="","",IF($C461&gt;'설정 Settings'!$C$36,"$2,000 초과: 은행 한도 확인, 나눠 받기 (F36)",""))</f>
      </c>
      <c r="J461" s="41">
        <f>IF($B461="","",IFERROR(INDEX('작업 Jobs'!$P$3:$P$1002,MATCH($B461,'작업 Jobs'!$A$3:$A$1002,0)),""))</f>
      </c>
    </row>
    <row r="462" spans="7:10" x14ac:dyDescent="0.25">
      <c r="G462" s="42">
        <f>IF($B462="","",IFERROR(INDEX('작업 Jobs'!$D$3:$D$1002,MATCH($B462,'작업 Jobs'!$A$3:$A$1002,0)),"작업 ID 없음"))</f>
      </c>
      <c r="H462" s="41">
        <f>IF($C462="","",IF($D462="CARD",ROUND($C462*'설정 Settings'!$C$34+'설정 Settings'!$C$35,2),0))</f>
      </c>
      <c r="I462" s="42">
        <f>IF($C462="","",IF($C462&gt;'설정 Settings'!$C$36,"$2,000 초과: 은행 한도 확인, 나눠 받기 (F36)",""))</f>
      </c>
      <c r="J462" s="41">
        <f>IF($B462="","",IFERROR(INDEX('작업 Jobs'!$P$3:$P$1002,MATCH($B462,'작업 Jobs'!$A$3:$A$1002,0)),""))</f>
      </c>
    </row>
    <row r="463" spans="7:10" x14ac:dyDescent="0.25">
      <c r="G463" s="42">
        <f>IF($B463="","",IFERROR(INDEX('작업 Jobs'!$D$3:$D$1002,MATCH($B463,'작업 Jobs'!$A$3:$A$1002,0)),"작업 ID 없음"))</f>
      </c>
      <c r="H463" s="41">
        <f>IF($C463="","",IF($D463="CARD",ROUND($C463*'설정 Settings'!$C$34+'설정 Settings'!$C$35,2),0))</f>
      </c>
      <c r="I463" s="42">
        <f>IF($C463="","",IF($C463&gt;'설정 Settings'!$C$36,"$2,000 초과: 은행 한도 확인, 나눠 받기 (F36)",""))</f>
      </c>
      <c r="J463" s="41">
        <f>IF($B463="","",IFERROR(INDEX('작업 Jobs'!$P$3:$P$1002,MATCH($B463,'작업 Jobs'!$A$3:$A$1002,0)),""))</f>
      </c>
    </row>
    <row r="464" spans="7:10" x14ac:dyDescent="0.25">
      <c r="G464" s="42">
        <f>IF($B464="","",IFERROR(INDEX('작업 Jobs'!$D$3:$D$1002,MATCH($B464,'작업 Jobs'!$A$3:$A$1002,0)),"작업 ID 없음"))</f>
      </c>
      <c r="H464" s="41">
        <f>IF($C464="","",IF($D464="CARD",ROUND($C464*'설정 Settings'!$C$34+'설정 Settings'!$C$35,2),0))</f>
      </c>
      <c r="I464" s="42">
        <f>IF($C464="","",IF($C464&gt;'설정 Settings'!$C$36,"$2,000 초과: 은행 한도 확인, 나눠 받기 (F36)",""))</f>
      </c>
      <c r="J464" s="41">
        <f>IF($B464="","",IFERROR(INDEX('작업 Jobs'!$P$3:$P$1002,MATCH($B464,'작업 Jobs'!$A$3:$A$1002,0)),""))</f>
      </c>
    </row>
    <row r="465" spans="7:10" x14ac:dyDescent="0.25">
      <c r="G465" s="42">
        <f>IF($B465="","",IFERROR(INDEX('작업 Jobs'!$D$3:$D$1002,MATCH($B465,'작업 Jobs'!$A$3:$A$1002,0)),"작업 ID 없음"))</f>
      </c>
      <c r="H465" s="41">
        <f>IF($C465="","",IF($D465="CARD",ROUND($C465*'설정 Settings'!$C$34+'설정 Settings'!$C$35,2),0))</f>
      </c>
      <c r="I465" s="42">
        <f>IF($C465="","",IF($C465&gt;'설정 Settings'!$C$36,"$2,000 초과: 은행 한도 확인, 나눠 받기 (F36)",""))</f>
      </c>
      <c r="J465" s="41">
        <f>IF($B465="","",IFERROR(INDEX('작업 Jobs'!$P$3:$P$1002,MATCH($B465,'작업 Jobs'!$A$3:$A$1002,0)),""))</f>
      </c>
    </row>
    <row r="466" spans="7:10" x14ac:dyDescent="0.25">
      <c r="G466" s="42">
        <f>IF($B466="","",IFERROR(INDEX('작업 Jobs'!$D$3:$D$1002,MATCH($B466,'작업 Jobs'!$A$3:$A$1002,0)),"작업 ID 없음"))</f>
      </c>
      <c r="H466" s="41">
        <f>IF($C466="","",IF($D466="CARD",ROUND($C466*'설정 Settings'!$C$34+'설정 Settings'!$C$35,2),0))</f>
      </c>
      <c r="I466" s="42">
        <f>IF($C466="","",IF($C466&gt;'설정 Settings'!$C$36,"$2,000 초과: 은행 한도 확인, 나눠 받기 (F36)",""))</f>
      </c>
      <c r="J466" s="41">
        <f>IF($B466="","",IFERROR(INDEX('작업 Jobs'!$P$3:$P$1002,MATCH($B466,'작업 Jobs'!$A$3:$A$1002,0)),""))</f>
      </c>
    </row>
    <row r="467" spans="7:10" x14ac:dyDescent="0.25">
      <c r="G467" s="42">
        <f>IF($B467="","",IFERROR(INDEX('작업 Jobs'!$D$3:$D$1002,MATCH($B467,'작업 Jobs'!$A$3:$A$1002,0)),"작업 ID 없음"))</f>
      </c>
      <c r="H467" s="41">
        <f>IF($C467="","",IF($D467="CARD",ROUND($C467*'설정 Settings'!$C$34+'설정 Settings'!$C$35,2),0))</f>
      </c>
      <c r="I467" s="42">
        <f>IF($C467="","",IF($C467&gt;'설정 Settings'!$C$36,"$2,000 초과: 은행 한도 확인, 나눠 받기 (F36)",""))</f>
      </c>
      <c r="J467" s="41">
        <f>IF($B467="","",IFERROR(INDEX('작업 Jobs'!$P$3:$P$1002,MATCH($B467,'작업 Jobs'!$A$3:$A$1002,0)),""))</f>
      </c>
    </row>
    <row r="468" spans="7:10" x14ac:dyDescent="0.25">
      <c r="G468" s="42">
        <f>IF($B468="","",IFERROR(INDEX('작업 Jobs'!$D$3:$D$1002,MATCH($B468,'작업 Jobs'!$A$3:$A$1002,0)),"작업 ID 없음"))</f>
      </c>
      <c r="H468" s="41">
        <f>IF($C468="","",IF($D468="CARD",ROUND($C468*'설정 Settings'!$C$34+'설정 Settings'!$C$35,2),0))</f>
      </c>
      <c r="I468" s="42">
        <f>IF($C468="","",IF($C468&gt;'설정 Settings'!$C$36,"$2,000 초과: 은행 한도 확인, 나눠 받기 (F36)",""))</f>
      </c>
      <c r="J468" s="41">
        <f>IF($B468="","",IFERROR(INDEX('작업 Jobs'!$P$3:$P$1002,MATCH($B468,'작업 Jobs'!$A$3:$A$1002,0)),""))</f>
      </c>
    </row>
    <row r="469" spans="7:10" x14ac:dyDescent="0.25">
      <c r="G469" s="42">
        <f>IF($B469="","",IFERROR(INDEX('작업 Jobs'!$D$3:$D$1002,MATCH($B469,'작업 Jobs'!$A$3:$A$1002,0)),"작업 ID 없음"))</f>
      </c>
      <c r="H469" s="41">
        <f>IF($C469="","",IF($D469="CARD",ROUND($C469*'설정 Settings'!$C$34+'설정 Settings'!$C$35,2),0))</f>
      </c>
      <c r="I469" s="42">
        <f>IF($C469="","",IF($C469&gt;'설정 Settings'!$C$36,"$2,000 초과: 은행 한도 확인, 나눠 받기 (F36)",""))</f>
      </c>
      <c r="J469" s="41">
        <f>IF($B469="","",IFERROR(INDEX('작업 Jobs'!$P$3:$P$1002,MATCH($B469,'작업 Jobs'!$A$3:$A$1002,0)),""))</f>
      </c>
    </row>
    <row r="470" spans="7:10" x14ac:dyDescent="0.25">
      <c r="G470" s="42">
        <f>IF($B470="","",IFERROR(INDEX('작업 Jobs'!$D$3:$D$1002,MATCH($B470,'작업 Jobs'!$A$3:$A$1002,0)),"작업 ID 없음"))</f>
      </c>
      <c r="H470" s="41">
        <f>IF($C470="","",IF($D470="CARD",ROUND($C470*'설정 Settings'!$C$34+'설정 Settings'!$C$35,2),0))</f>
      </c>
      <c r="I470" s="42">
        <f>IF($C470="","",IF($C470&gt;'설정 Settings'!$C$36,"$2,000 초과: 은행 한도 확인, 나눠 받기 (F36)",""))</f>
      </c>
      <c r="J470" s="41">
        <f>IF($B470="","",IFERROR(INDEX('작업 Jobs'!$P$3:$P$1002,MATCH($B470,'작업 Jobs'!$A$3:$A$1002,0)),""))</f>
      </c>
    </row>
    <row r="471" spans="7:10" x14ac:dyDescent="0.25">
      <c r="G471" s="42">
        <f>IF($B471="","",IFERROR(INDEX('작업 Jobs'!$D$3:$D$1002,MATCH($B471,'작업 Jobs'!$A$3:$A$1002,0)),"작업 ID 없음"))</f>
      </c>
      <c r="H471" s="41">
        <f>IF($C471="","",IF($D471="CARD",ROUND($C471*'설정 Settings'!$C$34+'설정 Settings'!$C$35,2),0))</f>
      </c>
      <c r="I471" s="42">
        <f>IF($C471="","",IF($C471&gt;'설정 Settings'!$C$36,"$2,000 초과: 은행 한도 확인, 나눠 받기 (F36)",""))</f>
      </c>
      <c r="J471" s="41">
        <f>IF($B471="","",IFERROR(INDEX('작업 Jobs'!$P$3:$P$1002,MATCH($B471,'작업 Jobs'!$A$3:$A$1002,0)),""))</f>
      </c>
    </row>
    <row r="472" spans="7:10" x14ac:dyDescent="0.25">
      <c r="G472" s="42">
        <f>IF($B472="","",IFERROR(INDEX('작업 Jobs'!$D$3:$D$1002,MATCH($B472,'작업 Jobs'!$A$3:$A$1002,0)),"작업 ID 없음"))</f>
      </c>
      <c r="H472" s="41">
        <f>IF($C472="","",IF($D472="CARD",ROUND($C472*'설정 Settings'!$C$34+'설정 Settings'!$C$35,2),0))</f>
      </c>
      <c r="I472" s="42">
        <f>IF($C472="","",IF($C472&gt;'설정 Settings'!$C$36,"$2,000 초과: 은행 한도 확인, 나눠 받기 (F36)",""))</f>
      </c>
      <c r="J472" s="41">
        <f>IF($B472="","",IFERROR(INDEX('작업 Jobs'!$P$3:$P$1002,MATCH($B472,'작업 Jobs'!$A$3:$A$1002,0)),""))</f>
      </c>
    </row>
    <row r="473" spans="7:10" x14ac:dyDescent="0.25">
      <c r="G473" s="42">
        <f>IF($B473="","",IFERROR(INDEX('작업 Jobs'!$D$3:$D$1002,MATCH($B473,'작업 Jobs'!$A$3:$A$1002,0)),"작업 ID 없음"))</f>
      </c>
      <c r="H473" s="41">
        <f>IF($C473="","",IF($D473="CARD",ROUND($C473*'설정 Settings'!$C$34+'설정 Settings'!$C$35,2),0))</f>
      </c>
      <c r="I473" s="42">
        <f>IF($C473="","",IF($C473&gt;'설정 Settings'!$C$36,"$2,000 초과: 은행 한도 확인, 나눠 받기 (F36)",""))</f>
      </c>
      <c r="J473" s="41">
        <f>IF($B473="","",IFERROR(INDEX('작업 Jobs'!$P$3:$P$1002,MATCH($B473,'작업 Jobs'!$A$3:$A$1002,0)),""))</f>
      </c>
    </row>
    <row r="474" spans="7:10" x14ac:dyDescent="0.25">
      <c r="G474" s="42">
        <f>IF($B474="","",IFERROR(INDEX('작업 Jobs'!$D$3:$D$1002,MATCH($B474,'작업 Jobs'!$A$3:$A$1002,0)),"작업 ID 없음"))</f>
      </c>
      <c r="H474" s="41">
        <f>IF($C474="","",IF($D474="CARD",ROUND($C474*'설정 Settings'!$C$34+'설정 Settings'!$C$35,2),0))</f>
      </c>
      <c r="I474" s="42">
        <f>IF($C474="","",IF($C474&gt;'설정 Settings'!$C$36,"$2,000 초과: 은행 한도 확인, 나눠 받기 (F36)",""))</f>
      </c>
      <c r="J474" s="41">
        <f>IF($B474="","",IFERROR(INDEX('작업 Jobs'!$P$3:$P$1002,MATCH($B474,'작업 Jobs'!$A$3:$A$1002,0)),""))</f>
      </c>
    </row>
    <row r="475" spans="7:10" x14ac:dyDescent="0.25">
      <c r="G475" s="42">
        <f>IF($B475="","",IFERROR(INDEX('작업 Jobs'!$D$3:$D$1002,MATCH($B475,'작업 Jobs'!$A$3:$A$1002,0)),"작업 ID 없음"))</f>
      </c>
      <c r="H475" s="41">
        <f>IF($C475="","",IF($D475="CARD",ROUND($C475*'설정 Settings'!$C$34+'설정 Settings'!$C$35,2),0))</f>
      </c>
      <c r="I475" s="42">
        <f>IF($C475="","",IF($C475&gt;'설정 Settings'!$C$36,"$2,000 초과: 은행 한도 확인, 나눠 받기 (F36)",""))</f>
      </c>
      <c r="J475" s="41">
        <f>IF($B475="","",IFERROR(INDEX('작업 Jobs'!$P$3:$P$1002,MATCH($B475,'작업 Jobs'!$A$3:$A$1002,0)),""))</f>
      </c>
    </row>
    <row r="476" spans="7:10" x14ac:dyDescent="0.25">
      <c r="G476" s="42">
        <f>IF($B476="","",IFERROR(INDEX('작업 Jobs'!$D$3:$D$1002,MATCH($B476,'작업 Jobs'!$A$3:$A$1002,0)),"작업 ID 없음"))</f>
      </c>
      <c r="H476" s="41">
        <f>IF($C476="","",IF($D476="CARD",ROUND($C476*'설정 Settings'!$C$34+'설정 Settings'!$C$35,2),0))</f>
      </c>
      <c r="I476" s="42">
        <f>IF($C476="","",IF($C476&gt;'설정 Settings'!$C$36,"$2,000 초과: 은행 한도 확인, 나눠 받기 (F36)",""))</f>
      </c>
      <c r="J476" s="41">
        <f>IF($B476="","",IFERROR(INDEX('작업 Jobs'!$P$3:$P$1002,MATCH($B476,'작업 Jobs'!$A$3:$A$1002,0)),""))</f>
      </c>
    </row>
    <row r="477" spans="7:10" x14ac:dyDescent="0.25">
      <c r="G477" s="42">
        <f>IF($B477="","",IFERROR(INDEX('작업 Jobs'!$D$3:$D$1002,MATCH($B477,'작업 Jobs'!$A$3:$A$1002,0)),"작업 ID 없음"))</f>
      </c>
      <c r="H477" s="41">
        <f>IF($C477="","",IF($D477="CARD",ROUND($C477*'설정 Settings'!$C$34+'설정 Settings'!$C$35,2),0))</f>
      </c>
      <c r="I477" s="42">
        <f>IF($C477="","",IF($C477&gt;'설정 Settings'!$C$36,"$2,000 초과: 은행 한도 확인, 나눠 받기 (F36)",""))</f>
      </c>
      <c r="J477" s="41">
        <f>IF($B477="","",IFERROR(INDEX('작업 Jobs'!$P$3:$P$1002,MATCH($B477,'작업 Jobs'!$A$3:$A$1002,0)),""))</f>
      </c>
    </row>
    <row r="478" spans="7:10" x14ac:dyDescent="0.25">
      <c r="G478" s="42">
        <f>IF($B478="","",IFERROR(INDEX('작업 Jobs'!$D$3:$D$1002,MATCH($B478,'작업 Jobs'!$A$3:$A$1002,0)),"작업 ID 없음"))</f>
      </c>
      <c r="H478" s="41">
        <f>IF($C478="","",IF($D478="CARD",ROUND($C478*'설정 Settings'!$C$34+'설정 Settings'!$C$35,2),0))</f>
      </c>
      <c r="I478" s="42">
        <f>IF($C478="","",IF($C478&gt;'설정 Settings'!$C$36,"$2,000 초과: 은행 한도 확인, 나눠 받기 (F36)",""))</f>
      </c>
      <c r="J478" s="41">
        <f>IF($B478="","",IFERROR(INDEX('작업 Jobs'!$P$3:$P$1002,MATCH($B478,'작업 Jobs'!$A$3:$A$1002,0)),""))</f>
      </c>
    </row>
    <row r="479" spans="7:10" x14ac:dyDescent="0.25">
      <c r="G479" s="42">
        <f>IF($B479="","",IFERROR(INDEX('작업 Jobs'!$D$3:$D$1002,MATCH($B479,'작업 Jobs'!$A$3:$A$1002,0)),"작업 ID 없음"))</f>
      </c>
      <c r="H479" s="41">
        <f>IF($C479="","",IF($D479="CARD",ROUND($C479*'설정 Settings'!$C$34+'설정 Settings'!$C$35,2),0))</f>
      </c>
      <c r="I479" s="42">
        <f>IF($C479="","",IF($C479&gt;'설정 Settings'!$C$36,"$2,000 초과: 은행 한도 확인, 나눠 받기 (F36)",""))</f>
      </c>
      <c r="J479" s="41">
        <f>IF($B479="","",IFERROR(INDEX('작업 Jobs'!$P$3:$P$1002,MATCH($B479,'작업 Jobs'!$A$3:$A$1002,0)),""))</f>
      </c>
    </row>
    <row r="480" spans="7:10" x14ac:dyDescent="0.25">
      <c r="G480" s="42">
        <f>IF($B480="","",IFERROR(INDEX('작업 Jobs'!$D$3:$D$1002,MATCH($B480,'작업 Jobs'!$A$3:$A$1002,0)),"작업 ID 없음"))</f>
      </c>
      <c r="H480" s="41">
        <f>IF($C480="","",IF($D480="CARD",ROUND($C480*'설정 Settings'!$C$34+'설정 Settings'!$C$35,2),0))</f>
      </c>
      <c r="I480" s="42">
        <f>IF($C480="","",IF($C480&gt;'설정 Settings'!$C$36,"$2,000 초과: 은행 한도 확인, 나눠 받기 (F36)",""))</f>
      </c>
      <c r="J480" s="41">
        <f>IF($B480="","",IFERROR(INDEX('작업 Jobs'!$P$3:$P$1002,MATCH($B480,'작업 Jobs'!$A$3:$A$1002,0)),""))</f>
      </c>
    </row>
    <row r="481" spans="7:10" x14ac:dyDescent="0.25">
      <c r="G481" s="42">
        <f>IF($B481="","",IFERROR(INDEX('작업 Jobs'!$D$3:$D$1002,MATCH($B481,'작업 Jobs'!$A$3:$A$1002,0)),"작업 ID 없음"))</f>
      </c>
      <c r="H481" s="41">
        <f>IF($C481="","",IF($D481="CARD",ROUND($C481*'설정 Settings'!$C$34+'설정 Settings'!$C$35,2),0))</f>
      </c>
      <c r="I481" s="42">
        <f>IF($C481="","",IF($C481&gt;'설정 Settings'!$C$36,"$2,000 초과: 은행 한도 확인, 나눠 받기 (F36)",""))</f>
      </c>
      <c r="J481" s="41">
        <f>IF($B481="","",IFERROR(INDEX('작업 Jobs'!$P$3:$P$1002,MATCH($B481,'작업 Jobs'!$A$3:$A$1002,0)),""))</f>
      </c>
    </row>
    <row r="482" spans="7:10" x14ac:dyDescent="0.25">
      <c r="G482" s="42">
        <f>IF($B482="","",IFERROR(INDEX('작업 Jobs'!$D$3:$D$1002,MATCH($B482,'작업 Jobs'!$A$3:$A$1002,0)),"작업 ID 없음"))</f>
      </c>
      <c r="H482" s="41">
        <f>IF($C482="","",IF($D482="CARD",ROUND($C482*'설정 Settings'!$C$34+'설정 Settings'!$C$35,2),0))</f>
      </c>
      <c r="I482" s="42">
        <f>IF($C482="","",IF($C482&gt;'설정 Settings'!$C$36,"$2,000 초과: 은행 한도 확인, 나눠 받기 (F36)",""))</f>
      </c>
      <c r="J482" s="41">
        <f>IF($B482="","",IFERROR(INDEX('작업 Jobs'!$P$3:$P$1002,MATCH($B482,'작업 Jobs'!$A$3:$A$1002,0)),""))</f>
      </c>
    </row>
    <row r="483" spans="7:10" x14ac:dyDescent="0.25">
      <c r="G483" s="42">
        <f>IF($B483="","",IFERROR(INDEX('작업 Jobs'!$D$3:$D$1002,MATCH($B483,'작업 Jobs'!$A$3:$A$1002,0)),"작업 ID 없음"))</f>
      </c>
      <c r="H483" s="41">
        <f>IF($C483="","",IF($D483="CARD",ROUND($C483*'설정 Settings'!$C$34+'설정 Settings'!$C$35,2),0))</f>
      </c>
      <c r="I483" s="42">
        <f>IF($C483="","",IF($C483&gt;'설정 Settings'!$C$36,"$2,000 초과: 은행 한도 확인, 나눠 받기 (F36)",""))</f>
      </c>
      <c r="J483" s="41">
        <f>IF($B483="","",IFERROR(INDEX('작업 Jobs'!$P$3:$P$1002,MATCH($B483,'작업 Jobs'!$A$3:$A$1002,0)),""))</f>
      </c>
    </row>
    <row r="484" spans="7:10" x14ac:dyDescent="0.25">
      <c r="G484" s="42">
        <f>IF($B484="","",IFERROR(INDEX('작업 Jobs'!$D$3:$D$1002,MATCH($B484,'작업 Jobs'!$A$3:$A$1002,0)),"작업 ID 없음"))</f>
      </c>
      <c r="H484" s="41">
        <f>IF($C484="","",IF($D484="CARD",ROUND($C484*'설정 Settings'!$C$34+'설정 Settings'!$C$35,2),0))</f>
      </c>
      <c r="I484" s="42">
        <f>IF($C484="","",IF($C484&gt;'설정 Settings'!$C$36,"$2,000 초과: 은행 한도 확인, 나눠 받기 (F36)",""))</f>
      </c>
      <c r="J484" s="41">
        <f>IF($B484="","",IFERROR(INDEX('작업 Jobs'!$P$3:$P$1002,MATCH($B484,'작업 Jobs'!$A$3:$A$1002,0)),""))</f>
      </c>
    </row>
    <row r="485" spans="7:10" x14ac:dyDescent="0.25">
      <c r="G485" s="42">
        <f>IF($B485="","",IFERROR(INDEX('작업 Jobs'!$D$3:$D$1002,MATCH($B485,'작업 Jobs'!$A$3:$A$1002,0)),"작업 ID 없음"))</f>
      </c>
      <c r="H485" s="41">
        <f>IF($C485="","",IF($D485="CARD",ROUND($C485*'설정 Settings'!$C$34+'설정 Settings'!$C$35,2),0))</f>
      </c>
      <c r="I485" s="42">
        <f>IF($C485="","",IF($C485&gt;'설정 Settings'!$C$36,"$2,000 초과: 은행 한도 확인, 나눠 받기 (F36)",""))</f>
      </c>
      <c r="J485" s="41">
        <f>IF($B485="","",IFERROR(INDEX('작업 Jobs'!$P$3:$P$1002,MATCH($B485,'작업 Jobs'!$A$3:$A$1002,0)),""))</f>
      </c>
    </row>
    <row r="486" spans="7:10" x14ac:dyDescent="0.25">
      <c r="G486" s="42">
        <f>IF($B486="","",IFERROR(INDEX('작업 Jobs'!$D$3:$D$1002,MATCH($B486,'작업 Jobs'!$A$3:$A$1002,0)),"작업 ID 없음"))</f>
      </c>
      <c r="H486" s="41">
        <f>IF($C486="","",IF($D486="CARD",ROUND($C486*'설정 Settings'!$C$34+'설정 Settings'!$C$35,2),0))</f>
      </c>
      <c r="I486" s="42">
        <f>IF($C486="","",IF($C486&gt;'설정 Settings'!$C$36,"$2,000 초과: 은행 한도 확인, 나눠 받기 (F36)",""))</f>
      </c>
      <c r="J486" s="41">
        <f>IF($B486="","",IFERROR(INDEX('작업 Jobs'!$P$3:$P$1002,MATCH($B486,'작업 Jobs'!$A$3:$A$1002,0)),""))</f>
      </c>
    </row>
    <row r="487" spans="7:10" x14ac:dyDescent="0.25">
      <c r="G487" s="42">
        <f>IF($B487="","",IFERROR(INDEX('작업 Jobs'!$D$3:$D$1002,MATCH($B487,'작업 Jobs'!$A$3:$A$1002,0)),"작업 ID 없음"))</f>
      </c>
      <c r="H487" s="41">
        <f>IF($C487="","",IF($D487="CARD",ROUND($C487*'설정 Settings'!$C$34+'설정 Settings'!$C$35,2),0))</f>
      </c>
      <c r="I487" s="42">
        <f>IF($C487="","",IF($C487&gt;'설정 Settings'!$C$36,"$2,000 초과: 은행 한도 확인, 나눠 받기 (F36)",""))</f>
      </c>
      <c r="J487" s="41">
        <f>IF($B487="","",IFERROR(INDEX('작업 Jobs'!$P$3:$P$1002,MATCH($B487,'작업 Jobs'!$A$3:$A$1002,0)),""))</f>
      </c>
    </row>
    <row r="488" spans="7:10" x14ac:dyDescent="0.25">
      <c r="G488" s="42">
        <f>IF($B488="","",IFERROR(INDEX('작업 Jobs'!$D$3:$D$1002,MATCH($B488,'작업 Jobs'!$A$3:$A$1002,0)),"작업 ID 없음"))</f>
      </c>
      <c r="H488" s="41">
        <f>IF($C488="","",IF($D488="CARD",ROUND($C488*'설정 Settings'!$C$34+'설정 Settings'!$C$35,2),0))</f>
      </c>
      <c r="I488" s="42">
        <f>IF($C488="","",IF($C488&gt;'설정 Settings'!$C$36,"$2,000 초과: 은행 한도 확인, 나눠 받기 (F36)",""))</f>
      </c>
      <c r="J488" s="41">
        <f>IF($B488="","",IFERROR(INDEX('작업 Jobs'!$P$3:$P$1002,MATCH($B488,'작업 Jobs'!$A$3:$A$1002,0)),""))</f>
      </c>
    </row>
    <row r="489" spans="7:10" x14ac:dyDescent="0.25">
      <c r="G489" s="42">
        <f>IF($B489="","",IFERROR(INDEX('작업 Jobs'!$D$3:$D$1002,MATCH($B489,'작업 Jobs'!$A$3:$A$1002,0)),"작업 ID 없음"))</f>
      </c>
      <c r="H489" s="41">
        <f>IF($C489="","",IF($D489="CARD",ROUND($C489*'설정 Settings'!$C$34+'설정 Settings'!$C$35,2),0))</f>
      </c>
      <c r="I489" s="42">
        <f>IF($C489="","",IF($C489&gt;'설정 Settings'!$C$36,"$2,000 초과: 은행 한도 확인, 나눠 받기 (F36)",""))</f>
      </c>
      <c r="J489" s="41">
        <f>IF($B489="","",IFERROR(INDEX('작업 Jobs'!$P$3:$P$1002,MATCH($B489,'작업 Jobs'!$A$3:$A$1002,0)),""))</f>
      </c>
    </row>
    <row r="490" spans="7:10" x14ac:dyDescent="0.25">
      <c r="G490" s="42">
        <f>IF($B490="","",IFERROR(INDEX('작업 Jobs'!$D$3:$D$1002,MATCH($B490,'작업 Jobs'!$A$3:$A$1002,0)),"작업 ID 없음"))</f>
      </c>
      <c r="H490" s="41">
        <f>IF($C490="","",IF($D490="CARD",ROUND($C490*'설정 Settings'!$C$34+'설정 Settings'!$C$35,2),0))</f>
      </c>
      <c r="I490" s="42">
        <f>IF($C490="","",IF($C490&gt;'설정 Settings'!$C$36,"$2,000 초과: 은행 한도 확인, 나눠 받기 (F36)",""))</f>
      </c>
      <c r="J490" s="41">
        <f>IF($B490="","",IFERROR(INDEX('작업 Jobs'!$P$3:$P$1002,MATCH($B490,'작업 Jobs'!$A$3:$A$1002,0)),""))</f>
      </c>
    </row>
    <row r="491" spans="7:10" x14ac:dyDescent="0.25">
      <c r="G491" s="42">
        <f>IF($B491="","",IFERROR(INDEX('작업 Jobs'!$D$3:$D$1002,MATCH($B491,'작업 Jobs'!$A$3:$A$1002,0)),"작업 ID 없음"))</f>
      </c>
      <c r="H491" s="41">
        <f>IF($C491="","",IF($D491="CARD",ROUND($C491*'설정 Settings'!$C$34+'설정 Settings'!$C$35,2),0))</f>
      </c>
      <c r="I491" s="42">
        <f>IF($C491="","",IF($C491&gt;'설정 Settings'!$C$36,"$2,000 초과: 은행 한도 확인, 나눠 받기 (F36)",""))</f>
      </c>
      <c r="J491" s="41">
        <f>IF($B491="","",IFERROR(INDEX('작업 Jobs'!$P$3:$P$1002,MATCH($B491,'작업 Jobs'!$A$3:$A$1002,0)),""))</f>
      </c>
    </row>
    <row r="492" spans="7:10" x14ac:dyDescent="0.25">
      <c r="G492" s="42">
        <f>IF($B492="","",IFERROR(INDEX('작업 Jobs'!$D$3:$D$1002,MATCH($B492,'작업 Jobs'!$A$3:$A$1002,0)),"작업 ID 없음"))</f>
      </c>
      <c r="H492" s="41">
        <f>IF($C492="","",IF($D492="CARD",ROUND($C492*'설정 Settings'!$C$34+'설정 Settings'!$C$35,2),0))</f>
      </c>
      <c r="I492" s="42">
        <f>IF($C492="","",IF($C492&gt;'설정 Settings'!$C$36,"$2,000 초과: 은행 한도 확인, 나눠 받기 (F36)",""))</f>
      </c>
      <c r="J492" s="41">
        <f>IF($B492="","",IFERROR(INDEX('작업 Jobs'!$P$3:$P$1002,MATCH($B492,'작업 Jobs'!$A$3:$A$1002,0)),""))</f>
      </c>
    </row>
    <row r="493" spans="7:10" x14ac:dyDescent="0.25">
      <c r="G493" s="42">
        <f>IF($B493="","",IFERROR(INDEX('작업 Jobs'!$D$3:$D$1002,MATCH($B493,'작업 Jobs'!$A$3:$A$1002,0)),"작업 ID 없음"))</f>
      </c>
      <c r="H493" s="41">
        <f>IF($C493="","",IF($D493="CARD",ROUND($C493*'설정 Settings'!$C$34+'설정 Settings'!$C$35,2),0))</f>
      </c>
      <c r="I493" s="42">
        <f>IF($C493="","",IF($C493&gt;'설정 Settings'!$C$36,"$2,000 초과: 은행 한도 확인, 나눠 받기 (F36)",""))</f>
      </c>
      <c r="J493" s="41">
        <f>IF($B493="","",IFERROR(INDEX('작업 Jobs'!$P$3:$P$1002,MATCH($B493,'작업 Jobs'!$A$3:$A$1002,0)),""))</f>
      </c>
    </row>
    <row r="494" spans="7:10" x14ac:dyDescent="0.25">
      <c r="G494" s="42">
        <f>IF($B494="","",IFERROR(INDEX('작업 Jobs'!$D$3:$D$1002,MATCH($B494,'작업 Jobs'!$A$3:$A$1002,0)),"작업 ID 없음"))</f>
      </c>
      <c r="H494" s="41">
        <f>IF($C494="","",IF($D494="CARD",ROUND($C494*'설정 Settings'!$C$34+'설정 Settings'!$C$35,2),0))</f>
      </c>
      <c r="I494" s="42">
        <f>IF($C494="","",IF($C494&gt;'설정 Settings'!$C$36,"$2,000 초과: 은행 한도 확인, 나눠 받기 (F36)",""))</f>
      </c>
      <c r="J494" s="41">
        <f>IF($B494="","",IFERROR(INDEX('작업 Jobs'!$P$3:$P$1002,MATCH($B494,'작업 Jobs'!$A$3:$A$1002,0)),""))</f>
      </c>
    </row>
    <row r="495" spans="7:10" x14ac:dyDescent="0.25">
      <c r="G495" s="42">
        <f>IF($B495="","",IFERROR(INDEX('작업 Jobs'!$D$3:$D$1002,MATCH($B495,'작업 Jobs'!$A$3:$A$1002,0)),"작업 ID 없음"))</f>
      </c>
      <c r="H495" s="41">
        <f>IF($C495="","",IF($D495="CARD",ROUND($C495*'설정 Settings'!$C$34+'설정 Settings'!$C$35,2),0))</f>
      </c>
      <c r="I495" s="42">
        <f>IF($C495="","",IF($C495&gt;'설정 Settings'!$C$36,"$2,000 초과: 은행 한도 확인, 나눠 받기 (F36)",""))</f>
      </c>
      <c r="J495" s="41">
        <f>IF($B495="","",IFERROR(INDEX('작업 Jobs'!$P$3:$P$1002,MATCH($B495,'작업 Jobs'!$A$3:$A$1002,0)),""))</f>
      </c>
    </row>
    <row r="496" spans="7:10" x14ac:dyDescent="0.25">
      <c r="G496" s="42">
        <f>IF($B496="","",IFERROR(INDEX('작업 Jobs'!$D$3:$D$1002,MATCH($B496,'작업 Jobs'!$A$3:$A$1002,0)),"작업 ID 없음"))</f>
      </c>
      <c r="H496" s="41">
        <f>IF($C496="","",IF($D496="CARD",ROUND($C496*'설정 Settings'!$C$34+'설정 Settings'!$C$35,2),0))</f>
      </c>
      <c r="I496" s="42">
        <f>IF($C496="","",IF($C496&gt;'설정 Settings'!$C$36,"$2,000 초과: 은행 한도 확인, 나눠 받기 (F36)",""))</f>
      </c>
      <c r="J496" s="41">
        <f>IF($B496="","",IFERROR(INDEX('작업 Jobs'!$P$3:$P$1002,MATCH($B496,'작업 Jobs'!$A$3:$A$1002,0)),""))</f>
      </c>
    </row>
    <row r="497" spans="7:10" x14ac:dyDescent="0.25">
      <c r="G497" s="42">
        <f>IF($B497="","",IFERROR(INDEX('작업 Jobs'!$D$3:$D$1002,MATCH($B497,'작업 Jobs'!$A$3:$A$1002,0)),"작업 ID 없음"))</f>
      </c>
      <c r="H497" s="41">
        <f>IF($C497="","",IF($D497="CARD",ROUND($C497*'설정 Settings'!$C$34+'설정 Settings'!$C$35,2),0))</f>
      </c>
      <c r="I497" s="42">
        <f>IF($C497="","",IF($C497&gt;'설정 Settings'!$C$36,"$2,000 초과: 은행 한도 확인, 나눠 받기 (F36)",""))</f>
      </c>
      <c r="J497" s="41">
        <f>IF($B497="","",IFERROR(INDEX('작업 Jobs'!$P$3:$P$1002,MATCH($B497,'작업 Jobs'!$A$3:$A$1002,0)),""))</f>
      </c>
    </row>
    <row r="498" spans="7:10" x14ac:dyDescent="0.25">
      <c r="G498" s="42">
        <f>IF($B498="","",IFERROR(INDEX('작업 Jobs'!$D$3:$D$1002,MATCH($B498,'작업 Jobs'!$A$3:$A$1002,0)),"작업 ID 없음"))</f>
      </c>
      <c r="H498" s="41">
        <f>IF($C498="","",IF($D498="CARD",ROUND($C498*'설정 Settings'!$C$34+'설정 Settings'!$C$35,2),0))</f>
      </c>
      <c r="I498" s="42">
        <f>IF($C498="","",IF($C498&gt;'설정 Settings'!$C$36,"$2,000 초과: 은행 한도 확인, 나눠 받기 (F36)",""))</f>
      </c>
      <c r="J498" s="41">
        <f>IF($B498="","",IFERROR(INDEX('작업 Jobs'!$P$3:$P$1002,MATCH($B498,'작업 Jobs'!$A$3:$A$1002,0)),""))</f>
      </c>
    </row>
    <row r="499" spans="7:10" x14ac:dyDescent="0.25">
      <c r="G499" s="42">
        <f>IF($B499="","",IFERROR(INDEX('작업 Jobs'!$D$3:$D$1002,MATCH($B499,'작업 Jobs'!$A$3:$A$1002,0)),"작업 ID 없음"))</f>
      </c>
      <c r="H499" s="41">
        <f>IF($C499="","",IF($D499="CARD",ROUND($C499*'설정 Settings'!$C$34+'설정 Settings'!$C$35,2),0))</f>
      </c>
      <c r="I499" s="42">
        <f>IF($C499="","",IF($C499&gt;'설정 Settings'!$C$36,"$2,000 초과: 은행 한도 확인, 나눠 받기 (F36)",""))</f>
      </c>
      <c r="J499" s="41">
        <f>IF($B499="","",IFERROR(INDEX('작업 Jobs'!$P$3:$P$1002,MATCH($B499,'작업 Jobs'!$A$3:$A$1002,0)),""))</f>
      </c>
    </row>
    <row r="500" spans="7:10" x14ac:dyDescent="0.25">
      <c r="G500" s="42">
        <f>IF($B500="","",IFERROR(INDEX('작업 Jobs'!$D$3:$D$1002,MATCH($B500,'작업 Jobs'!$A$3:$A$1002,0)),"작업 ID 없음"))</f>
      </c>
      <c r="H500" s="41">
        <f>IF($C500="","",IF($D500="CARD",ROUND($C500*'설정 Settings'!$C$34+'설정 Settings'!$C$35,2),0))</f>
      </c>
      <c r="I500" s="42">
        <f>IF($C500="","",IF($C500&gt;'설정 Settings'!$C$36,"$2,000 초과: 은행 한도 확인, 나눠 받기 (F36)",""))</f>
      </c>
      <c r="J500" s="41">
        <f>IF($B500="","",IFERROR(INDEX('작업 Jobs'!$P$3:$P$1002,MATCH($B500,'작업 Jobs'!$A$3:$A$1002,0)),""))</f>
      </c>
    </row>
    <row r="501" spans="7:10" x14ac:dyDescent="0.25">
      <c r="G501" s="42">
        <f>IF($B501="","",IFERROR(INDEX('작업 Jobs'!$D$3:$D$1002,MATCH($B501,'작업 Jobs'!$A$3:$A$1002,0)),"작업 ID 없음"))</f>
      </c>
      <c r="H501" s="41">
        <f>IF($C501="","",IF($D501="CARD",ROUND($C501*'설정 Settings'!$C$34+'설정 Settings'!$C$35,2),0))</f>
      </c>
      <c r="I501" s="42">
        <f>IF($C501="","",IF($C501&gt;'설정 Settings'!$C$36,"$2,000 초과: 은행 한도 확인, 나눠 받기 (F36)",""))</f>
      </c>
      <c r="J501" s="41">
        <f>IF($B501="","",IFERROR(INDEX('작업 Jobs'!$P$3:$P$1002,MATCH($B501,'작업 Jobs'!$A$3:$A$1002,0)),""))</f>
      </c>
    </row>
    <row r="502" spans="7:10" x14ac:dyDescent="0.25">
      <c r="G502" s="42">
        <f>IF($B502="","",IFERROR(INDEX('작업 Jobs'!$D$3:$D$1002,MATCH($B502,'작업 Jobs'!$A$3:$A$1002,0)),"작업 ID 없음"))</f>
      </c>
      <c r="H502" s="41">
        <f>IF($C502="","",IF($D502="CARD",ROUND($C502*'설정 Settings'!$C$34+'설정 Settings'!$C$35,2),0))</f>
      </c>
      <c r="I502" s="42">
        <f>IF($C502="","",IF($C502&gt;'설정 Settings'!$C$36,"$2,000 초과: 은행 한도 확인, 나눠 받기 (F36)",""))</f>
      </c>
      <c r="J502" s="41">
        <f>IF($B502="","",IFERROR(INDEX('작업 Jobs'!$P$3:$P$1002,MATCH($B502,'작업 Jobs'!$A$3:$A$1002,0)),""))</f>
      </c>
    </row>
    <row r="503" spans="7:10" x14ac:dyDescent="0.25">
      <c r="G503" s="42">
        <f>IF($B503="","",IFERROR(INDEX('작업 Jobs'!$D$3:$D$1002,MATCH($B503,'작업 Jobs'!$A$3:$A$1002,0)),"작업 ID 없음"))</f>
      </c>
      <c r="H503" s="41">
        <f>IF($C503="","",IF($D503="CARD",ROUND($C503*'설정 Settings'!$C$34+'설정 Settings'!$C$35,2),0))</f>
      </c>
      <c r="I503" s="42">
        <f>IF($C503="","",IF($C503&gt;'설정 Settings'!$C$36,"$2,000 초과: 은행 한도 확인, 나눠 받기 (F36)",""))</f>
      </c>
      <c r="J503" s="41">
        <f>IF($B503="","",IFERROR(INDEX('작업 Jobs'!$P$3:$P$1002,MATCH($B503,'작업 Jobs'!$A$3:$A$1002,0)),""))</f>
      </c>
    </row>
    <row r="504" spans="7:10" x14ac:dyDescent="0.25">
      <c r="G504" s="42">
        <f>IF($B504="","",IFERROR(INDEX('작업 Jobs'!$D$3:$D$1002,MATCH($B504,'작업 Jobs'!$A$3:$A$1002,0)),"작업 ID 없음"))</f>
      </c>
      <c r="H504" s="41">
        <f>IF($C504="","",IF($D504="CARD",ROUND($C504*'설정 Settings'!$C$34+'설정 Settings'!$C$35,2),0))</f>
      </c>
      <c r="I504" s="42">
        <f>IF($C504="","",IF($C504&gt;'설정 Settings'!$C$36,"$2,000 초과: 은행 한도 확인, 나눠 받기 (F36)",""))</f>
      </c>
      <c r="J504" s="41">
        <f>IF($B504="","",IFERROR(INDEX('작업 Jobs'!$P$3:$P$1002,MATCH($B504,'작업 Jobs'!$A$3:$A$1002,0)),""))</f>
      </c>
    </row>
    <row r="505" spans="7:10" x14ac:dyDescent="0.25">
      <c r="G505" s="42">
        <f>IF($B505="","",IFERROR(INDEX('작업 Jobs'!$D$3:$D$1002,MATCH($B505,'작업 Jobs'!$A$3:$A$1002,0)),"작업 ID 없음"))</f>
      </c>
      <c r="H505" s="41">
        <f>IF($C505="","",IF($D505="CARD",ROUND($C505*'설정 Settings'!$C$34+'설정 Settings'!$C$35,2),0))</f>
      </c>
      <c r="I505" s="42">
        <f>IF($C505="","",IF($C505&gt;'설정 Settings'!$C$36,"$2,000 초과: 은행 한도 확인, 나눠 받기 (F36)",""))</f>
      </c>
      <c r="J505" s="41">
        <f>IF($B505="","",IFERROR(INDEX('작업 Jobs'!$P$3:$P$1002,MATCH($B505,'작업 Jobs'!$A$3:$A$1002,0)),""))</f>
      </c>
    </row>
    <row r="506" spans="7:10" x14ac:dyDescent="0.25">
      <c r="G506" s="42">
        <f>IF($B506="","",IFERROR(INDEX('작업 Jobs'!$D$3:$D$1002,MATCH($B506,'작업 Jobs'!$A$3:$A$1002,0)),"작업 ID 없음"))</f>
      </c>
      <c r="H506" s="41">
        <f>IF($C506="","",IF($D506="CARD",ROUND($C506*'설정 Settings'!$C$34+'설정 Settings'!$C$35,2),0))</f>
      </c>
      <c r="I506" s="42">
        <f>IF($C506="","",IF($C506&gt;'설정 Settings'!$C$36,"$2,000 초과: 은행 한도 확인, 나눠 받기 (F36)",""))</f>
      </c>
      <c r="J506" s="41">
        <f>IF($B506="","",IFERROR(INDEX('작업 Jobs'!$P$3:$P$1002,MATCH($B506,'작업 Jobs'!$A$3:$A$1002,0)),""))</f>
      </c>
    </row>
    <row r="507" spans="7:10" x14ac:dyDescent="0.25">
      <c r="G507" s="42">
        <f>IF($B507="","",IFERROR(INDEX('작업 Jobs'!$D$3:$D$1002,MATCH($B507,'작업 Jobs'!$A$3:$A$1002,0)),"작업 ID 없음"))</f>
      </c>
      <c r="H507" s="41">
        <f>IF($C507="","",IF($D507="CARD",ROUND($C507*'설정 Settings'!$C$34+'설정 Settings'!$C$35,2),0))</f>
      </c>
      <c r="I507" s="42">
        <f>IF($C507="","",IF($C507&gt;'설정 Settings'!$C$36,"$2,000 초과: 은행 한도 확인, 나눠 받기 (F36)",""))</f>
      </c>
      <c r="J507" s="41">
        <f>IF($B507="","",IFERROR(INDEX('작업 Jobs'!$P$3:$P$1002,MATCH($B507,'작업 Jobs'!$A$3:$A$1002,0)),""))</f>
      </c>
    </row>
    <row r="508" spans="7:10" x14ac:dyDescent="0.25">
      <c r="G508" s="42">
        <f>IF($B508="","",IFERROR(INDEX('작업 Jobs'!$D$3:$D$1002,MATCH($B508,'작업 Jobs'!$A$3:$A$1002,0)),"작업 ID 없음"))</f>
      </c>
      <c r="H508" s="41">
        <f>IF($C508="","",IF($D508="CARD",ROUND($C508*'설정 Settings'!$C$34+'설정 Settings'!$C$35,2),0))</f>
      </c>
      <c r="I508" s="42">
        <f>IF($C508="","",IF($C508&gt;'설정 Settings'!$C$36,"$2,000 초과: 은행 한도 확인, 나눠 받기 (F36)",""))</f>
      </c>
      <c r="J508" s="41">
        <f>IF($B508="","",IFERROR(INDEX('작업 Jobs'!$P$3:$P$1002,MATCH($B508,'작업 Jobs'!$A$3:$A$1002,0)),""))</f>
      </c>
    </row>
    <row r="509" spans="7:10" x14ac:dyDescent="0.25">
      <c r="G509" s="42">
        <f>IF($B509="","",IFERROR(INDEX('작업 Jobs'!$D$3:$D$1002,MATCH($B509,'작업 Jobs'!$A$3:$A$1002,0)),"작업 ID 없음"))</f>
      </c>
      <c r="H509" s="41">
        <f>IF($C509="","",IF($D509="CARD",ROUND($C509*'설정 Settings'!$C$34+'설정 Settings'!$C$35,2),0))</f>
      </c>
      <c r="I509" s="42">
        <f>IF($C509="","",IF($C509&gt;'설정 Settings'!$C$36,"$2,000 초과: 은행 한도 확인, 나눠 받기 (F36)",""))</f>
      </c>
      <c r="J509" s="41">
        <f>IF($B509="","",IFERROR(INDEX('작업 Jobs'!$P$3:$P$1002,MATCH($B509,'작업 Jobs'!$A$3:$A$1002,0)),""))</f>
      </c>
    </row>
    <row r="510" spans="7:10" x14ac:dyDescent="0.25">
      <c r="G510" s="42">
        <f>IF($B510="","",IFERROR(INDEX('작업 Jobs'!$D$3:$D$1002,MATCH($B510,'작업 Jobs'!$A$3:$A$1002,0)),"작업 ID 없음"))</f>
      </c>
      <c r="H510" s="41">
        <f>IF($C510="","",IF($D510="CARD",ROUND($C510*'설정 Settings'!$C$34+'설정 Settings'!$C$35,2),0))</f>
      </c>
      <c r="I510" s="42">
        <f>IF($C510="","",IF($C510&gt;'설정 Settings'!$C$36,"$2,000 초과: 은행 한도 확인, 나눠 받기 (F36)",""))</f>
      </c>
      <c r="J510" s="41">
        <f>IF($B510="","",IFERROR(INDEX('작업 Jobs'!$P$3:$P$1002,MATCH($B510,'작업 Jobs'!$A$3:$A$1002,0)),""))</f>
      </c>
    </row>
    <row r="511" spans="7:10" x14ac:dyDescent="0.25">
      <c r="G511" s="42">
        <f>IF($B511="","",IFERROR(INDEX('작업 Jobs'!$D$3:$D$1002,MATCH($B511,'작업 Jobs'!$A$3:$A$1002,0)),"작업 ID 없음"))</f>
      </c>
      <c r="H511" s="41">
        <f>IF($C511="","",IF($D511="CARD",ROUND($C511*'설정 Settings'!$C$34+'설정 Settings'!$C$35,2),0))</f>
      </c>
      <c r="I511" s="42">
        <f>IF($C511="","",IF($C511&gt;'설정 Settings'!$C$36,"$2,000 초과: 은행 한도 확인, 나눠 받기 (F36)",""))</f>
      </c>
      <c r="J511" s="41">
        <f>IF($B511="","",IFERROR(INDEX('작업 Jobs'!$P$3:$P$1002,MATCH($B511,'작업 Jobs'!$A$3:$A$1002,0)),""))</f>
      </c>
    </row>
    <row r="512" spans="7:10" x14ac:dyDescent="0.25">
      <c r="G512" s="42">
        <f>IF($B512="","",IFERROR(INDEX('작업 Jobs'!$D$3:$D$1002,MATCH($B512,'작업 Jobs'!$A$3:$A$1002,0)),"작업 ID 없음"))</f>
      </c>
      <c r="H512" s="41">
        <f>IF($C512="","",IF($D512="CARD",ROUND($C512*'설정 Settings'!$C$34+'설정 Settings'!$C$35,2),0))</f>
      </c>
      <c r="I512" s="42">
        <f>IF($C512="","",IF($C512&gt;'설정 Settings'!$C$36,"$2,000 초과: 은행 한도 확인, 나눠 받기 (F36)",""))</f>
      </c>
      <c r="J512" s="41">
        <f>IF($B512="","",IFERROR(INDEX('작업 Jobs'!$P$3:$P$1002,MATCH($B512,'작업 Jobs'!$A$3:$A$1002,0)),""))</f>
      </c>
    </row>
    <row r="513" spans="7:10" x14ac:dyDescent="0.25">
      <c r="G513" s="42">
        <f>IF($B513="","",IFERROR(INDEX('작업 Jobs'!$D$3:$D$1002,MATCH($B513,'작업 Jobs'!$A$3:$A$1002,0)),"작업 ID 없음"))</f>
      </c>
      <c r="H513" s="41">
        <f>IF($C513="","",IF($D513="CARD",ROUND($C513*'설정 Settings'!$C$34+'설정 Settings'!$C$35,2),0))</f>
      </c>
      <c r="I513" s="42">
        <f>IF($C513="","",IF($C513&gt;'설정 Settings'!$C$36,"$2,000 초과: 은행 한도 확인, 나눠 받기 (F36)",""))</f>
      </c>
      <c r="J513" s="41">
        <f>IF($B513="","",IFERROR(INDEX('작업 Jobs'!$P$3:$P$1002,MATCH($B513,'작업 Jobs'!$A$3:$A$1002,0)),""))</f>
      </c>
    </row>
    <row r="514" spans="7:10" x14ac:dyDescent="0.25">
      <c r="G514" s="42">
        <f>IF($B514="","",IFERROR(INDEX('작업 Jobs'!$D$3:$D$1002,MATCH($B514,'작업 Jobs'!$A$3:$A$1002,0)),"작업 ID 없음"))</f>
      </c>
      <c r="H514" s="41">
        <f>IF($C514="","",IF($D514="CARD",ROUND($C514*'설정 Settings'!$C$34+'설정 Settings'!$C$35,2),0))</f>
      </c>
      <c r="I514" s="42">
        <f>IF($C514="","",IF($C514&gt;'설정 Settings'!$C$36,"$2,000 초과: 은행 한도 확인, 나눠 받기 (F36)",""))</f>
      </c>
      <c r="J514" s="41">
        <f>IF($B514="","",IFERROR(INDEX('작업 Jobs'!$P$3:$P$1002,MATCH($B514,'작업 Jobs'!$A$3:$A$1002,0)),""))</f>
      </c>
    </row>
    <row r="515" spans="7:10" x14ac:dyDescent="0.25">
      <c r="G515" s="42">
        <f>IF($B515="","",IFERROR(INDEX('작업 Jobs'!$D$3:$D$1002,MATCH($B515,'작업 Jobs'!$A$3:$A$1002,0)),"작업 ID 없음"))</f>
      </c>
      <c r="H515" s="41">
        <f>IF($C515="","",IF($D515="CARD",ROUND($C515*'설정 Settings'!$C$34+'설정 Settings'!$C$35,2),0))</f>
      </c>
      <c r="I515" s="42">
        <f>IF($C515="","",IF($C515&gt;'설정 Settings'!$C$36,"$2,000 초과: 은행 한도 확인, 나눠 받기 (F36)",""))</f>
      </c>
      <c r="J515" s="41">
        <f>IF($B515="","",IFERROR(INDEX('작업 Jobs'!$P$3:$P$1002,MATCH($B515,'작업 Jobs'!$A$3:$A$1002,0)),""))</f>
      </c>
    </row>
    <row r="516" spans="7:10" x14ac:dyDescent="0.25">
      <c r="G516" s="42">
        <f>IF($B516="","",IFERROR(INDEX('작업 Jobs'!$D$3:$D$1002,MATCH($B516,'작업 Jobs'!$A$3:$A$1002,0)),"작업 ID 없음"))</f>
      </c>
      <c r="H516" s="41">
        <f>IF($C516="","",IF($D516="CARD",ROUND($C516*'설정 Settings'!$C$34+'설정 Settings'!$C$35,2),0))</f>
      </c>
      <c r="I516" s="42">
        <f>IF($C516="","",IF($C516&gt;'설정 Settings'!$C$36,"$2,000 초과: 은행 한도 확인, 나눠 받기 (F36)",""))</f>
      </c>
      <c r="J516" s="41">
        <f>IF($B516="","",IFERROR(INDEX('작업 Jobs'!$P$3:$P$1002,MATCH($B516,'작업 Jobs'!$A$3:$A$1002,0)),""))</f>
      </c>
    </row>
    <row r="517" spans="7:10" x14ac:dyDescent="0.25">
      <c r="G517" s="42">
        <f>IF($B517="","",IFERROR(INDEX('작업 Jobs'!$D$3:$D$1002,MATCH($B517,'작업 Jobs'!$A$3:$A$1002,0)),"작업 ID 없음"))</f>
      </c>
      <c r="H517" s="41">
        <f>IF($C517="","",IF($D517="CARD",ROUND($C517*'설정 Settings'!$C$34+'설정 Settings'!$C$35,2),0))</f>
      </c>
      <c r="I517" s="42">
        <f>IF($C517="","",IF($C517&gt;'설정 Settings'!$C$36,"$2,000 초과: 은행 한도 확인, 나눠 받기 (F36)",""))</f>
      </c>
      <c r="J517" s="41">
        <f>IF($B517="","",IFERROR(INDEX('작업 Jobs'!$P$3:$P$1002,MATCH($B517,'작업 Jobs'!$A$3:$A$1002,0)),""))</f>
      </c>
    </row>
    <row r="518" spans="7:10" x14ac:dyDescent="0.25">
      <c r="G518" s="42">
        <f>IF($B518="","",IFERROR(INDEX('작업 Jobs'!$D$3:$D$1002,MATCH($B518,'작업 Jobs'!$A$3:$A$1002,0)),"작업 ID 없음"))</f>
      </c>
      <c r="H518" s="41">
        <f>IF($C518="","",IF($D518="CARD",ROUND($C518*'설정 Settings'!$C$34+'설정 Settings'!$C$35,2),0))</f>
      </c>
      <c r="I518" s="42">
        <f>IF($C518="","",IF($C518&gt;'설정 Settings'!$C$36,"$2,000 초과: 은행 한도 확인, 나눠 받기 (F36)",""))</f>
      </c>
      <c r="J518" s="41">
        <f>IF($B518="","",IFERROR(INDEX('작업 Jobs'!$P$3:$P$1002,MATCH($B518,'작업 Jobs'!$A$3:$A$1002,0)),""))</f>
      </c>
    </row>
    <row r="519" spans="7:10" x14ac:dyDescent="0.25">
      <c r="G519" s="42">
        <f>IF($B519="","",IFERROR(INDEX('작업 Jobs'!$D$3:$D$1002,MATCH($B519,'작업 Jobs'!$A$3:$A$1002,0)),"작업 ID 없음"))</f>
      </c>
      <c r="H519" s="41">
        <f>IF($C519="","",IF($D519="CARD",ROUND($C519*'설정 Settings'!$C$34+'설정 Settings'!$C$35,2),0))</f>
      </c>
      <c r="I519" s="42">
        <f>IF($C519="","",IF($C519&gt;'설정 Settings'!$C$36,"$2,000 초과: 은행 한도 확인, 나눠 받기 (F36)",""))</f>
      </c>
      <c r="J519" s="41">
        <f>IF($B519="","",IFERROR(INDEX('작업 Jobs'!$P$3:$P$1002,MATCH($B519,'작업 Jobs'!$A$3:$A$1002,0)),""))</f>
      </c>
    </row>
    <row r="520" spans="7:10" x14ac:dyDescent="0.25">
      <c r="G520" s="42">
        <f>IF($B520="","",IFERROR(INDEX('작업 Jobs'!$D$3:$D$1002,MATCH($B520,'작업 Jobs'!$A$3:$A$1002,0)),"작업 ID 없음"))</f>
      </c>
      <c r="H520" s="41">
        <f>IF($C520="","",IF($D520="CARD",ROUND($C520*'설정 Settings'!$C$34+'설정 Settings'!$C$35,2),0))</f>
      </c>
      <c r="I520" s="42">
        <f>IF($C520="","",IF($C520&gt;'설정 Settings'!$C$36,"$2,000 초과: 은행 한도 확인, 나눠 받기 (F36)",""))</f>
      </c>
      <c r="J520" s="41">
        <f>IF($B520="","",IFERROR(INDEX('작업 Jobs'!$P$3:$P$1002,MATCH($B520,'작업 Jobs'!$A$3:$A$1002,0)),""))</f>
      </c>
    </row>
    <row r="521" spans="7:10" x14ac:dyDescent="0.25">
      <c r="G521" s="42">
        <f>IF($B521="","",IFERROR(INDEX('작업 Jobs'!$D$3:$D$1002,MATCH($B521,'작업 Jobs'!$A$3:$A$1002,0)),"작업 ID 없음"))</f>
      </c>
      <c r="H521" s="41">
        <f>IF($C521="","",IF($D521="CARD",ROUND($C521*'설정 Settings'!$C$34+'설정 Settings'!$C$35,2),0))</f>
      </c>
      <c r="I521" s="42">
        <f>IF($C521="","",IF($C521&gt;'설정 Settings'!$C$36,"$2,000 초과: 은행 한도 확인, 나눠 받기 (F36)",""))</f>
      </c>
      <c r="J521" s="41">
        <f>IF($B521="","",IFERROR(INDEX('작업 Jobs'!$P$3:$P$1002,MATCH($B521,'작업 Jobs'!$A$3:$A$1002,0)),""))</f>
      </c>
    </row>
    <row r="522" spans="7:10" x14ac:dyDescent="0.25">
      <c r="G522" s="42">
        <f>IF($B522="","",IFERROR(INDEX('작업 Jobs'!$D$3:$D$1002,MATCH($B522,'작업 Jobs'!$A$3:$A$1002,0)),"작업 ID 없음"))</f>
      </c>
      <c r="H522" s="41">
        <f>IF($C522="","",IF($D522="CARD",ROUND($C522*'설정 Settings'!$C$34+'설정 Settings'!$C$35,2),0))</f>
      </c>
      <c r="I522" s="42">
        <f>IF($C522="","",IF($C522&gt;'설정 Settings'!$C$36,"$2,000 초과: 은행 한도 확인, 나눠 받기 (F36)",""))</f>
      </c>
      <c r="J522" s="41">
        <f>IF($B522="","",IFERROR(INDEX('작업 Jobs'!$P$3:$P$1002,MATCH($B522,'작업 Jobs'!$A$3:$A$1002,0)),""))</f>
      </c>
    </row>
    <row r="523" spans="7:10" x14ac:dyDescent="0.25">
      <c r="G523" s="42">
        <f>IF($B523="","",IFERROR(INDEX('작업 Jobs'!$D$3:$D$1002,MATCH($B523,'작업 Jobs'!$A$3:$A$1002,0)),"작업 ID 없음"))</f>
      </c>
      <c r="H523" s="41">
        <f>IF($C523="","",IF($D523="CARD",ROUND($C523*'설정 Settings'!$C$34+'설정 Settings'!$C$35,2),0))</f>
      </c>
      <c r="I523" s="42">
        <f>IF($C523="","",IF($C523&gt;'설정 Settings'!$C$36,"$2,000 초과: 은행 한도 확인, 나눠 받기 (F36)",""))</f>
      </c>
      <c r="J523" s="41">
        <f>IF($B523="","",IFERROR(INDEX('작업 Jobs'!$P$3:$P$1002,MATCH($B523,'작업 Jobs'!$A$3:$A$1002,0)),""))</f>
      </c>
    </row>
    <row r="524" spans="7:10" x14ac:dyDescent="0.25">
      <c r="G524" s="42">
        <f>IF($B524="","",IFERROR(INDEX('작업 Jobs'!$D$3:$D$1002,MATCH($B524,'작업 Jobs'!$A$3:$A$1002,0)),"작업 ID 없음"))</f>
      </c>
      <c r="H524" s="41">
        <f>IF($C524="","",IF($D524="CARD",ROUND($C524*'설정 Settings'!$C$34+'설정 Settings'!$C$35,2),0))</f>
      </c>
      <c r="I524" s="42">
        <f>IF($C524="","",IF($C524&gt;'설정 Settings'!$C$36,"$2,000 초과: 은행 한도 확인, 나눠 받기 (F36)",""))</f>
      </c>
      <c r="J524" s="41">
        <f>IF($B524="","",IFERROR(INDEX('작업 Jobs'!$P$3:$P$1002,MATCH($B524,'작업 Jobs'!$A$3:$A$1002,0)),""))</f>
      </c>
    </row>
    <row r="525" spans="7:10" x14ac:dyDescent="0.25">
      <c r="G525" s="42">
        <f>IF($B525="","",IFERROR(INDEX('작업 Jobs'!$D$3:$D$1002,MATCH($B525,'작업 Jobs'!$A$3:$A$1002,0)),"작업 ID 없음"))</f>
      </c>
      <c r="H525" s="41">
        <f>IF($C525="","",IF($D525="CARD",ROUND($C525*'설정 Settings'!$C$34+'설정 Settings'!$C$35,2),0))</f>
      </c>
      <c r="I525" s="42">
        <f>IF($C525="","",IF($C525&gt;'설정 Settings'!$C$36,"$2,000 초과: 은행 한도 확인, 나눠 받기 (F36)",""))</f>
      </c>
      <c r="J525" s="41">
        <f>IF($B525="","",IFERROR(INDEX('작업 Jobs'!$P$3:$P$1002,MATCH($B525,'작업 Jobs'!$A$3:$A$1002,0)),""))</f>
      </c>
    </row>
    <row r="526" spans="7:10" x14ac:dyDescent="0.25">
      <c r="G526" s="42">
        <f>IF($B526="","",IFERROR(INDEX('작업 Jobs'!$D$3:$D$1002,MATCH($B526,'작업 Jobs'!$A$3:$A$1002,0)),"작업 ID 없음"))</f>
      </c>
      <c r="H526" s="41">
        <f>IF($C526="","",IF($D526="CARD",ROUND($C526*'설정 Settings'!$C$34+'설정 Settings'!$C$35,2),0))</f>
      </c>
      <c r="I526" s="42">
        <f>IF($C526="","",IF($C526&gt;'설정 Settings'!$C$36,"$2,000 초과: 은행 한도 확인, 나눠 받기 (F36)",""))</f>
      </c>
      <c r="J526" s="41">
        <f>IF($B526="","",IFERROR(INDEX('작업 Jobs'!$P$3:$P$1002,MATCH($B526,'작업 Jobs'!$A$3:$A$1002,0)),""))</f>
      </c>
    </row>
    <row r="527" spans="7:10" x14ac:dyDescent="0.25">
      <c r="G527" s="42">
        <f>IF($B527="","",IFERROR(INDEX('작업 Jobs'!$D$3:$D$1002,MATCH($B527,'작업 Jobs'!$A$3:$A$1002,0)),"작업 ID 없음"))</f>
      </c>
      <c r="H527" s="41">
        <f>IF($C527="","",IF($D527="CARD",ROUND($C527*'설정 Settings'!$C$34+'설정 Settings'!$C$35,2),0))</f>
      </c>
      <c r="I527" s="42">
        <f>IF($C527="","",IF($C527&gt;'설정 Settings'!$C$36,"$2,000 초과: 은행 한도 확인, 나눠 받기 (F36)",""))</f>
      </c>
      <c r="J527" s="41">
        <f>IF($B527="","",IFERROR(INDEX('작업 Jobs'!$P$3:$P$1002,MATCH($B527,'작업 Jobs'!$A$3:$A$1002,0)),""))</f>
      </c>
    </row>
    <row r="528" spans="7:10" x14ac:dyDescent="0.25">
      <c r="G528" s="42">
        <f>IF($B528="","",IFERROR(INDEX('작업 Jobs'!$D$3:$D$1002,MATCH($B528,'작업 Jobs'!$A$3:$A$1002,0)),"작업 ID 없음"))</f>
      </c>
      <c r="H528" s="41">
        <f>IF($C528="","",IF($D528="CARD",ROUND($C528*'설정 Settings'!$C$34+'설정 Settings'!$C$35,2),0))</f>
      </c>
      <c r="I528" s="42">
        <f>IF($C528="","",IF($C528&gt;'설정 Settings'!$C$36,"$2,000 초과: 은행 한도 확인, 나눠 받기 (F36)",""))</f>
      </c>
      <c r="J528" s="41">
        <f>IF($B528="","",IFERROR(INDEX('작업 Jobs'!$P$3:$P$1002,MATCH($B528,'작업 Jobs'!$A$3:$A$1002,0)),""))</f>
      </c>
    </row>
    <row r="529" spans="7:10" x14ac:dyDescent="0.25">
      <c r="G529" s="42">
        <f>IF($B529="","",IFERROR(INDEX('작업 Jobs'!$D$3:$D$1002,MATCH($B529,'작업 Jobs'!$A$3:$A$1002,0)),"작업 ID 없음"))</f>
      </c>
      <c r="H529" s="41">
        <f>IF($C529="","",IF($D529="CARD",ROUND($C529*'설정 Settings'!$C$34+'설정 Settings'!$C$35,2),0))</f>
      </c>
      <c r="I529" s="42">
        <f>IF($C529="","",IF($C529&gt;'설정 Settings'!$C$36,"$2,000 초과: 은행 한도 확인, 나눠 받기 (F36)",""))</f>
      </c>
      <c r="J529" s="41">
        <f>IF($B529="","",IFERROR(INDEX('작업 Jobs'!$P$3:$P$1002,MATCH($B529,'작업 Jobs'!$A$3:$A$1002,0)),""))</f>
      </c>
    </row>
    <row r="530" spans="7:10" x14ac:dyDescent="0.25">
      <c r="G530" s="42">
        <f>IF($B530="","",IFERROR(INDEX('작업 Jobs'!$D$3:$D$1002,MATCH($B530,'작업 Jobs'!$A$3:$A$1002,0)),"작업 ID 없음"))</f>
      </c>
      <c r="H530" s="41">
        <f>IF($C530="","",IF($D530="CARD",ROUND($C530*'설정 Settings'!$C$34+'설정 Settings'!$C$35,2),0))</f>
      </c>
      <c r="I530" s="42">
        <f>IF($C530="","",IF($C530&gt;'설정 Settings'!$C$36,"$2,000 초과: 은행 한도 확인, 나눠 받기 (F36)",""))</f>
      </c>
      <c r="J530" s="41">
        <f>IF($B530="","",IFERROR(INDEX('작업 Jobs'!$P$3:$P$1002,MATCH($B530,'작업 Jobs'!$A$3:$A$1002,0)),""))</f>
      </c>
    </row>
    <row r="531" spans="7:10" x14ac:dyDescent="0.25">
      <c r="G531" s="42">
        <f>IF($B531="","",IFERROR(INDEX('작업 Jobs'!$D$3:$D$1002,MATCH($B531,'작업 Jobs'!$A$3:$A$1002,0)),"작업 ID 없음"))</f>
      </c>
      <c r="H531" s="41">
        <f>IF($C531="","",IF($D531="CARD",ROUND($C531*'설정 Settings'!$C$34+'설정 Settings'!$C$35,2),0))</f>
      </c>
      <c r="I531" s="42">
        <f>IF($C531="","",IF($C531&gt;'설정 Settings'!$C$36,"$2,000 초과: 은행 한도 확인, 나눠 받기 (F36)",""))</f>
      </c>
      <c r="J531" s="41">
        <f>IF($B531="","",IFERROR(INDEX('작업 Jobs'!$P$3:$P$1002,MATCH($B531,'작업 Jobs'!$A$3:$A$1002,0)),""))</f>
      </c>
    </row>
    <row r="532" spans="7:10" x14ac:dyDescent="0.25">
      <c r="G532" s="42">
        <f>IF($B532="","",IFERROR(INDEX('작업 Jobs'!$D$3:$D$1002,MATCH($B532,'작업 Jobs'!$A$3:$A$1002,0)),"작업 ID 없음"))</f>
      </c>
      <c r="H532" s="41">
        <f>IF($C532="","",IF($D532="CARD",ROUND($C532*'설정 Settings'!$C$34+'설정 Settings'!$C$35,2),0))</f>
      </c>
      <c r="I532" s="42">
        <f>IF($C532="","",IF($C532&gt;'설정 Settings'!$C$36,"$2,000 초과: 은행 한도 확인, 나눠 받기 (F36)",""))</f>
      </c>
      <c r="J532" s="41">
        <f>IF($B532="","",IFERROR(INDEX('작업 Jobs'!$P$3:$P$1002,MATCH($B532,'작업 Jobs'!$A$3:$A$1002,0)),""))</f>
      </c>
    </row>
    <row r="533" spans="7:10" x14ac:dyDescent="0.25">
      <c r="G533" s="42">
        <f>IF($B533="","",IFERROR(INDEX('작업 Jobs'!$D$3:$D$1002,MATCH($B533,'작업 Jobs'!$A$3:$A$1002,0)),"작업 ID 없음"))</f>
      </c>
      <c r="H533" s="41">
        <f>IF($C533="","",IF($D533="CARD",ROUND($C533*'설정 Settings'!$C$34+'설정 Settings'!$C$35,2),0))</f>
      </c>
      <c r="I533" s="42">
        <f>IF($C533="","",IF($C533&gt;'설정 Settings'!$C$36,"$2,000 초과: 은행 한도 확인, 나눠 받기 (F36)",""))</f>
      </c>
      <c r="J533" s="41">
        <f>IF($B533="","",IFERROR(INDEX('작업 Jobs'!$P$3:$P$1002,MATCH($B533,'작업 Jobs'!$A$3:$A$1002,0)),""))</f>
      </c>
    </row>
    <row r="534" spans="7:10" x14ac:dyDescent="0.25">
      <c r="G534" s="42">
        <f>IF($B534="","",IFERROR(INDEX('작업 Jobs'!$D$3:$D$1002,MATCH($B534,'작업 Jobs'!$A$3:$A$1002,0)),"작업 ID 없음"))</f>
      </c>
      <c r="H534" s="41">
        <f>IF($C534="","",IF($D534="CARD",ROUND($C534*'설정 Settings'!$C$34+'설정 Settings'!$C$35,2),0))</f>
      </c>
      <c r="I534" s="42">
        <f>IF($C534="","",IF($C534&gt;'설정 Settings'!$C$36,"$2,000 초과: 은행 한도 확인, 나눠 받기 (F36)",""))</f>
      </c>
      <c r="J534" s="41">
        <f>IF($B534="","",IFERROR(INDEX('작업 Jobs'!$P$3:$P$1002,MATCH($B534,'작업 Jobs'!$A$3:$A$1002,0)),""))</f>
      </c>
    </row>
    <row r="535" spans="7:10" x14ac:dyDescent="0.25">
      <c r="G535" s="42">
        <f>IF($B535="","",IFERROR(INDEX('작업 Jobs'!$D$3:$D$1002,MATCH($B535,'작업 Jobs'!$A$3:$A$1002,0)),"작업 ID 없음"))</f>
      </c>
      <c r="H535" s="41">
        <f>IF($C535="","",IF($D535="CARD",ROUND($C535*'설정 Settings'!$C$34+'설정 Settings'!$C$35,2),0))</f>
      </c>
      <c r="I535" s="42">
        <f>IF($C535="","",IF($C535&gt;'설정 Settings'!$C$36,"$2,000 초과: 은행 한도 확인, 나눠 받기 (F36)",""))</f>
      </c>
      <c r="J535" s="41">
        <f>IF($B535="","",IFERROR(INDEX('작업 Jobs'!$P$3:$P$1002,MATCH($B535,'작업 Jobs'!$A$3:$A$1002,0)),""))</f>
      </c>
    </row>
    <row r="536" spans="7:10" x14ac:dyDescent="0.25">
      <c r="G536" s="42">
        <f>IF($B536="","",IFERROR(INDEX('작업 Jobs'!$D$3:$D$1002,MATCH($B536,'작업 Jobs'!$A$3:$A$1002,0)),"작업 ID 없음"))</f>
      </c>
      <c r="H536" s="41">
        <f>IF($C536="","",IF($D536="CARD",ROUND($C536*'설정 Settings'!$C$34+'설정 Settings'!$C$35,2),0))</f>
      </c>
      <c r="I536" s="42">
        <f>IF($C536="","",IF($C536&gt;'설정 Settings'!$C$36,"$2,000 초과: 은행 한도 확인, 나눠 받기 (F36)",""))</f>
      </c>
      <c r="J536" s="41">
        <f>IF($B536="","",IFERROR(INDEX('작업 Jobs'!$P$3:$P$1002,MATCH($B536,'작업 Jobs'!$A$3:$A$1002,0)),""))</f>
      </c>
    </row>
    <row r="537" spans="7:10" x14ac:dyDescent="0.25">
      <c r="G537" s="42">
        <f>IF($B537="","",IFERROR(INDEX('작업 Jobs'!$D$3:$D$1002,MATCH($B537,'작업 Jobs'!$A$3:$A$1002,0)),"작업 ID 없음"))</f>
      </c>
      <c r="H537" s="41">
        <f>IF($C537="","",IF($D537="CARD",ROUND($C537*'설정 Settings'!$C$34+'설정 Settings'!$C$35,2),0))</f>
      </c>
      <c r="I537" s="42">
        <f>IF($C537="","",IF($C537&gt;'설정 Settings'!$C$36,"$2,000 초과: 은행 한도 확인, 나눠 받기 (F36)",""))</f>
      </c>
      <c r="J537" s="41">
        <f>IF($B537="","",IFERROR(INDEX('작업 Jobs'!$P$3:$P$1002,MATCH($B537,'작업 Jobs'!$A$3:$A$1002,0)),""))</f>
      </c>
    </row>
    <row r="538" spans="7:10" x14ac:dyDescent="0.25">
      <c r="G538" s="42">
        <f>IF($B538="","",IFERROR(INDEX('작업 Jobs'!$D$3:$D$1002,MATCH($B538,'작업 Jobs'!$A$3:$A$1002,0)),"작업 ID 없음"))</f>
      </c>
      <c r="H538" s="41">
        <f>IF($C538="","",IF($D538="CARD",ROUND($C538*'설정 Settings'!$C$34+'설정 Settings'!$C$35,2),0))</f>
      </c>
      <c r="I538" s="42">
        <f>IF($C538="","",IF($C538&gt;'설정 Settings'!$C$36,"$2,000 초과: 은행 한도 확인, 나눠 받기 (F36)",""))</f>
      </c>
      <c r="J538" s="41">
        <f>IF($B538="","",IFERROR(INDEX('작업 Jobs'!$P$3:$P$1002,MATCH($B538,'작업 Jobs'!$A$3:$A$1002,0)),""))</f>
      </c>
    </row>
    <row r="539" spans="7:10" x14ac:dyDescent="0.25">
      <c r="G539" s="42">
        <f>IF($B539="","",IFERROR(INDEX('작업 Jobs'!$D$3:$D$1002,MATCH($B539,'작업 Jobs'!$A$3:$A$1002,0)),"작업 ID 없음"))</f>
      </c>
      <c r="H539" s="41">
        <f>IF($C539="","",IF($D539="CARD",ROUND($C539*'설정 Settings'!$C$34+'설정 Settings'!$C$35,2),0))</f>
      </c>
      <c r="I539" s="42">
        <f>IF($C539="","",IF($C539&gt;'설정 Settings'!$C$36,"$2,000 초과: 은행 한도 확인, 나눠 받기 (F36)",""))</f>
      </c>
      <c r="J539" s="41">
        <f>IF($B539="","",IFERROR(INDEX('작업 Jobs'!$P$3:$P$1002,MATCH($B539,'작업 Jobs'!$A$3:$A$1002,0)),""))</f>
      </c>
    </row>
    <row r="540" spans="7:10" x14ac:dyDescent="0.25">
      <c r="G540" s="42">
        <f>IF($B540="","",IFERROR(INDEX('작업 Jobs'!$D$3:$D$1002,MATCH($B540,'작업 Jobs'!$A$3:$A$1002,0)),"작업 ID 없음"))</f>
      </c>
      <c r="H540" s="41">
        <f>IF($C540="","",IF($D540="CARD",ROUND($C540*'설정 Settings'!$C$34+'설정 Settings'!$C$35,2),0))</f>
      </c>
      <c r="I540" s="42">
        <f>IF($C540="","",IF($C540&gt;'설정 Settings'!$C$36,"$2,000 초과: 은행 한도 확인, 나눠 받기 (F36)",""))</f>
      </c>
      <c r="J540" s="41">
        <f>IF($B540="","",IFERROR(INDEX('작업 Jobs'!$P$3:$P$1002,MATCH($B540,'작업 Jobs'!$A$3:$A$1002,0)),""))</f>
      </c>
    </row>
    <row r="541" spans="7:10" x14ac:dyDescent="0.25">
      <c r="G541" s="42">
        <f>IF($B541="","",IFERROR(INDEX('작업 Jobs'!$D$3:$D$1002,MATCH($B541,'작업 Jobs'!$A$3:$A$1002,0)),"작업 ID 없음"))</f>
      </c>
      <c r="H541" s="41">
        <f>IF($C541="","",IF($D541="CARD",ROUND($C541*'설정 Settings'!$C$34+'설정 Settings'!$C$35,2),0))</f>
      </c>
      <c r="I541" s="42">
        <f>IF($C541="","",IF($C541&gt;'설정 Settings'!$C$36,"$2,000 초과: 은행 한도 확인, 나눠 받기 (F36)",""))</f>
      </c>
      <c r="J541" s="41">
        <f>IF($B541="","",IFERROR(INDEX('작업 Jobs'!$P$3:$P$1002,MATCH($B541,'작업 Jobs'!$A$3:$A$1002,0)),""))</f>
      </c>
    </row>
    <row r="542" spans="7:10" x14ac:dyDescent="0.25">
      <c r="G542" s="42">
        <f>IF($B542="","",IFERROR(INDEX('작업 Jobs'!$D$3:$D$1002,MATCH($B542,'작업 Jobs'!$A$3:$A$1002,0)),"작업 ID 없음"))</f>
      </c>
      <c r="H542" s="41">
        <f>IF($C542="","",IF($D542="CARD",ROUND($C542*'설정 Settings'!$C$34+'설정 Settings'!$C$35,2),0))</f>
      </c>
      <c r="I542" s="42">
        <f>IF($C542="","",IF($C542&gt;'설정 Settings'!$C$36,"$2,000 초과: 은행 한도 확인, 나눠 받기 (F36)",""))</f>
      </c>
      <c r="J542" s="41">
        <f>IF($B542="","",IFERROR(INDEX('작업 Jobs'!$P$3:$P$1002,MATCH($B542,'작업 Jobs'!$A$3:$A$1002,0)),""))</f>
      </c>
    </row>
    <row r="543" spans="7:10" x14ac:dyDescent="0.25">
      <c r="G543" s="42">
        <f>IF($B543="","",IFERROR(INDEX('작업 Jobs'!$D$3:$D$1002,MATCH($B543,'작업 Jobs'!$A$3:$A$1002,0)),"작업 ID 없음"))</f>
      </c>
      <c r="H543" s="41">
        <f>IF($C543="","",IF($D543="CARD",ROUND($C543*'설정 Settings'!$C$34+'설정 Settings'!$C$35,2),0))</f>
      </c>
      <c r="I543" s="42">
        <f>IF($C543="","",IF($C543&gt;'설정 Settings'!$C$36,"$2,000 초과: 은행 한도 확인, 나눠 받기 (F36)",""))</f>
      </c>
      <c r="J543" s="41">
        <f>IF($B543="","",IFERROR(INDEX('작업 Jobs'!$P$3:$P$1002,MATCH($B543,'작업 Jobs'!$A$3:$A$1002,0)),""))</f>
      </c>
    </row>
    <row r="544" spans="7:10" x14ac:dyDescent="0.25">
      <c r="G544" s="42">
        <f>IF($B544="","",IFERROR(INDEX('작업 Jobs'!$D$3:$D$1002,MATCH($B544,'작업 Jobs'!$A$3:$A$1002,0)),"작업 ID 없음"))</f>
      </c>
      <c r="H544" s="41">
        <f>IF($C544="","",IF($D544="CARD",ROUND($C544*'설정 Settings'!$C$34+'설정 Settings'!$C$35,2),0))</f>
      </c>
      <c r="I544" s="42">
        <f>IF($C544="","",IF($C544&gt;'설정 Settings'!$C$36,"$2,000 초과: 은행 한도 확인, 나눠 받기 (F36)",""))</f>
      </c>
      <c r="J544" s="41">
        <f>IF($B544="","",IFERROR(INDEX('작업 Jobs'!$P$3:$P$1002,MATCH($B544,'작업 Jobs'!$A$3:$A$1002,0)),""))</f>
      </c>
    </row>
    <row r="545" spans="7:10" x14ac:dyDescent="0.25">
      <c r="G545" s="42">
        <f>IF($B545="","",IFERROR(INDEX('작업 Jobs'!$D$3:$D$1002,MATCH($B545,'작업 Jobs'!$A$3:$A$1002,0)),"작업 ID 없음"))</f>
      </c>
      <c r="H545" s="41">
        <f>IF($C545="","",IF($D545="CARD",ROUND($C545*'설정 Settings'!$C$34+'설정 Settings'!$C$35,2),0))</f>
      </c>
      <c r="I545" s="42">
        <f>IF($C545="","",IF($C545&gt;'설정 Settings'!$C$36,"$2,000 초과: 은행 한도 확인, 나눠 받기 (F36)",""))</f>
      </c>
      <c r="J545" s="41">
        <f>IF($B545="","",IFERROR(INDEX('작업 Jobs'!$P$3:$P$1002,MATCH($B545,'작업 Jobs'!$A$3:$A$1002,0)),""))</f>
      </c>
    </row>
    <row r="546" spans="7:10" x14ac:dyDescent="0.25">
      <c r="G546" s="42">
        <f>IF($B546="","",IFERROR(INDEX('작업 Jobs'!$D$3:$D$1002,MATCH($B546,'작업 Jobs'!$A$3:$A$1002,0)),"작업 ID 없음"))</f>
      </c>
      <c r="H546" s="41">
        <f>IF($C546="","",IF($D546="CARD",ROUND($C546*'설정 Settings'!$C$34+'설정 Settings'!$C$35,2),0))</f>
      </c>
      <c r="I546" s="42">
        <f>IF($C546="","",IF($C546&gt;'설정 Settings'!$C$36,"$2,000 초과: 은행 한도 확인, 나눠 받기 (F36)",""))</f>
      </c>
      <c r="J546" s="41">
        <f>IF($B546="","",IFERROR(INDEX('작업 Jobs'!$P$3:$P$1002,MATCH($B546,'작업 Jobs'!$A$3:$A$1002,0)),""))</f>
      </c>
    </row>
    <row r="547" spans="7:10" x14ac:dyDescent="0.25">
      <c r="G547" s="42">
        <f>IF($B547="","",IFERROR(INDEX('작업 Jobs'!$D$3:$D$1002,MATCH($B547,'작업 Jobs'!$A$3:$A$1002,0)),"작업 ID 없음"))</f>
      </c>
      <c r="H547" s="41">
        <f>IF($C547="","",IF($D547="CARD",ROUND($C547*'설정 Settings'!$C$34+'설정 Settings'!$C$35,2),0))</f>
      </c>
      <c r="I547" s="42">
        <f>IF($C547="","",IF($C547&gt;'설정 Settings'!$C$36,"$2,000 초과: 은행 한도 확인, 나눠 받기 (F36)",""))</f>
      </c>
      <c r="J547" s="41">
        <f>IF($B547="","",IFERROR(INDEX('작업 Jobs'!$P$3:$P$1002,MATCH($B547,'작업 Jobs'!$A$3:$A$1002,0)),""))</f>
      </c>
    </row>
    <row r="548" spans="7:10" x14ac:dyDescent="0.25">
      <c r="G548" s="42">
        <f>IF($B548="","",IFERROR(INDEX('작업 Jobs'!$D$3:$D$1002,MATCH($B548,'작업 Jobs'!$A$3:$A$1002,0)),"작업 ID 없음"))</f>
      </c>
      <c r="H548" s="41">
        <f>IF($C548="","",IF($D548="CARD",ROUND($C548*'설정 Settings'!$C$34+'설정 Settings'!$C$35,2),0))</f>
      </c>
      <c r="I548" s="42">
        <f>IF($C548="","",IF($C548&gt;'설정 Settings'!$C$36,"$2,000 초과: 은행 한도 확인, 나눠 받기 (F36)",""))</f>
      </c>
      <c r="J548" s="41">
        <f>IF($B548="","",IFERROR(INDEX('작업 Jobs'!$P$3:$P$1002,MATCH($B548,'작업 Jobs'!$A$3:$A$1002,0)),""))</f>
      </c>
    </row>
    <row r="549" spans="7:10" x14ac:dyDescent="0.25">
      <c r="G549" s="42">
        <f>IF($B549="","",IFERROR(INDEX('작업 Jobs'!$D$3:$D$1002,MATCH($B549,'작업 Jobs'!$A$3:$A$1002,0)),"작업 ID 없음"))</f>
      </c>
      <c r="H549" s="41">
        <f>IF($C549="","",IF($D549="CARD",ROUND($C549*'설정 Settings'!$C$34+'설정 Settings'!$C$35,2),0))</f>
      </c>
      <c r="I549" s="42">
        <f>IF($C549="","",IF($C549&gt;'설정 Settings'!$C$36,"$2,000 초과: 은행 한도 확인, 나눠 받기 (F36)",""))</f>
      </c>
      <c r="J549" s="41">
        <f>IF($B549="","",IFERROR(INDEX('작업 Jobs'!$P$3:$P$1002,MATCH($B549,'작업 Jobs'!$A$3:$A$1002,0)),""))</f>
      </c>
    </row>
    <row r="550" spans="7:10" x14ac:dyDescent="0.25">
      <c r="G550" s="42">
        <f>IF($B550="","",IFERROR(INDEX('작업 Jobs'!$D$3:$D$1002,MATCH($B550,'작업 Jobs'!$A$3:$A$1002,0)),"작업 ID 없음"))</f>
      </c>
      <c r="H550" s="41">
        <f>IF($C550="","",IF($D550="CARD",ROUND($C550*'설정 Settings'!$C$34+'설정 Settings'!$C$35,2),0))</f>
      </c>
      <c r="I550" s="42">
        <f>IF($C550="","",IF($C550&gt;'설정 Settings'!$C$36,"$2,000 초과: 은행 한도 확인, 나눠 받기 (F36)",""))</f>
      </c>
      <c r="J550" s="41">
        <f>IF($B550="","",IFERROR(INDEX('작업 Jobs'!$P$3:$P$1002,MATCH($B550,'작업 Jobs'!$A$3:$A$1002,0)),""))</f>
      </c>
    </row>
    <row r="551" spans="7:10" x14ac:dyDescent="0.25">
      <c r="G551" s="42">
        <f>IF($B551="","",IFERROR(INDEX('작업 Jobs'!$D$3:$D$1002,MATCH($B551,'작업 Jobs'!$A$3:$A$1002,0)),"작업 ID 없음"))</f>
      </c>
      <c r="H551" s="41">
        <f>IF($C551="","",IF($D551="CARD",ROUND($C551*'설정 Settings'!$C$34+'설정 Settings'!$C$35,2),0))</f>
      </c>
      <c r="I551" s="42">
        <f>IF($C551="","",IF($C551&gt;'설정 Settings'!$C$36,"$2,000 초과: 은행 한도 확인, 나눠 받기 (F36)",""))</f>
      </c>
      <c r="J551" s="41">
        <f>IF($B551="","",IFERROR(INDEX('작업 Jobs'!$P$3:$P$1002,MATCH($B551,'작업 Jobs'!$A$3:$A$1002,0)),""))</f>
      </c>
    </row>
    <row r="552" spans="7:10" x14ac:dyDescent="0.25">
      <c r="G552" s="42">
        <f>IF($B552="","",IFERROR(INDEX('작업 Jobs'!$D$3:$D$1002,MATCH($B552,'작업 Jobs'!$A$3:$A$1002,0)),"작업 ID 없음"))</f>
      </c>
      <c r="H552" s="41">
        <f>IF($C552="","",IF($D552="CARD",ROUND($C552*'설정 Settings'!$C$34+'설정 Settings'!$C$35,2),0))</f>
      </c>
      <c r="I552" s="42">
        <f>IF($C552="","",IF($C552&gt;'설정 Settings'!$C$36,"$2,000 초과: 은행 한도 확인, 나눠 받기 (F36)",""))</f>
      </c>
      <c r="J552" s="41">
        <f>IF($B552="","",IFERROR(INDEX('작업 Jobs'!$P$3:$P$1002,MATCH($B552,'작업 Jobs'!$A$3:$A$1002,0)),""))</f>
      </c>
    </row>
    <row r="553" spans="7:10" x14ac:dyDescent="0.25">
      <c r="G553" s="42">
        <f>IF($B553="","",IFERROR(INDEX('작업 Jobs'!$D$3:$D$1002,MATCH($B553,'작업 Jobs'!$A$3:$A$1002,0)),"작업 ID 없음"))</f>
      </c>
      <c r="H553" s="41">
        <f>IF($C553="","",IF($D553="CARD",ROUND($C553*'설정 Settings'!$C$34+'설정 Settings'!$C$35,2),0))</f>
      </c>
      <c r="I553" s="42">
        <f>IF($C553="","",IF($C553&gt;'설정 Settings'!$C$36,"$2,000 초과: 은행 한도 확인, 나눠 받기 (F36)",""))</f>
      </c>
      <c r="J553" s="41">
        <f>IF($B553="","",IFERROR(INDEX('작업 Jobs'!$P$3:$P$1002,MATCH($B553,'작업 Jobs'!$A$3:$A$1002,0)),""))</f>
      </c>
    </row>
    <row r="554" spans="7:10" x14ac:dyDescent="0.25">
      <c r="G554" s="42">
        <f>IF($B554="","",IFERROR(INDEX('작업 Jobs'!$D$3:$D$1002,MATCH($B554,'작업 Jobs'!$A$3:$A$1002,0)),"작업 ID 없음"))</f>
      </c>
      <c r="H554" s="41">
        <f>IF($C554="","",IF($D554="CARD",ROUND($C554*'설정 Settings'!$C$34+'설정 Settings'!$C$35,2),0))</f>
      </c>
      <c r="I554" s="42">
        <f>IF($C554="","",IF($C554&gt;'설정 Settings'!$C$36,"$2,000 초과: 은행 한도 확인, 나눠 받기 (F36)",""))</f>
      </c>
      <c r="J554" s="41">
        <f>IF($B554="","",IFERROR(INDEX('작업 Jobs'!$P$3:$P$1002,MATCH($B554,'작업 Jobs'!$A$3:$A$1002,0)),""))</f>
      </c>
    </row>
    <row r="555" spans="7:10" x14ac:dyDescent="0.25">
      <c r="G555" s="42">
        <f>IF($B555="","",IFERROR(INDEX('작업 Jobs'!$D$3:$D$1002,MATCH($B555,'작업 Jobs'!$A$3:$A$1002,0)),"작업 ID 없음"))</f>
      </c>
      <c r="H555" s="41">
        <f>IF($C555="","",IF($D555="CARD",ROUND($C555*'설정 Settings'!$C$34+'설정 Settings'!$C$35,2),0))</f>
      </c>
      <c r="I555" s="42">
        <f>IF($C555="","",IF($C555&gt;'설정 Settings'!$C$36,"$2,000 초과: 은행 한도 확인, 나눠 받기 (F36)",""))</f>
      </c>
      <c r="J555" s="41">
        <f>IF($B555="","",IFERROR(INDEX('작업 Jobs'!$P$3:$P$1002,MATCH($B555,'작업 Jobs'!$A$3:$A$1002,0)),""))</f>
      </c>
    </row>
    <row r="556" spans="7:10" x14ac:dyDescent="0.25">
      <c r="G556" s="42">
        <f>IF($B556="","",IFERROR(INDEX('작업 Jobs'!$D$3:$D$1002,MATCH($B556,'작업 Jobs'!$A$3:$A$1002,0)),"작업 ID 없음"))</f>
      </c>
      <c r="H556" s="41">
        <f>IF($C556="","",IF($D556="CARD",ROUND($C556*'설정 Settings'!$C$34+'설정 Settings'!$C$35,2),0))</f>
      </c>
      <c r="I556" s="42">
        <f>IF($C556="","",IF($C556&gt;'설정 Settings'!$C$36,"$2,000 초과: 은행 한도 확인, 나눠 받기 (F36)",""))</f>
      </c>
      <c r="J556" s="41">
        <f>IF($B556="","",IFERROR(INDEX('작업 Jobs'!$P$3:$P$1002,MATCH($B556,'작업 Jobs'!$A$3:$A$1002,0)),""))</f>
      </c>
    </row>
    <row r="557" spans="7:10" x14ac:dyDescent="0.25">
      <c r="G557" s="42">
        <f>IF($B557="","",IFERROR(INDEX('작업 Jobs'!$D$3:$D$1002,MATCH($B557,'작업 Jobs'!$A$3:$A$1002,0)),"작업 ID 없음"))</f>
      </c>
      <c r="H557" s="41">
        <f>IF($C557="","",IF($D557="CARD",ROUND($C557*'설정 Settings'!$C$34+'설정 Settings'!$C$35,2),0))</f>
      </c>
      <c r="I557" s="42">
        <f>IF($C557="","",IF($C557&gt;'설정 Settings'!$C$36,"$2,000 초과: 은행 한도 확인, 나눠 받기 (F36)",""))</f>
      </c>
      <c r="J557" s="41">
        <f>IF($B557="","",IFERROR(INDEX('작업 Jobs'!$P$3:$P$1002,MATCH($B557,'작업 Jobs'!$A$3:$A$1002,0)),""))</f>
      </c>
    </row>
    <row r="558" spans="7:10" x14ac:dyDescent="0.25">
      <c r="G558" s="42">
        <f>IF($B558="","",IFERROR(INDEX('작업 Jobs'!$D$3:$D$1002,MATCH($B558,'작업 Jobs'!$A$3:$A$1002,0)),"작업 ID 없음"))</f>
      </c>
      <c r="H558" s="41">
        <f>IF($C558="","",IF($D558="CARD",ROUND($C558*'설정 Settings'!$C$34+'설정 Settings'!$C$35,2),0))</f>
      </c>
      <c r="I558" s="42">
        <f>IF($C558="","",IF($C558&gt;'설정 Settings'!$C$36,"$2,000 초과: 은행 한도 확인, 나눠 받기 (F36)",""))</f>
      </c>
      <c r="J558" s="41">
        <f>IF($B558="","",IFERROR(INDEX('작업 Jobs'!$P$3:$P$1002,MATCH($B558,'작업 Jobs'!$A$3:$A$1002,0)),""))</f>
      </c>
    </row>
    <row r="559" spans="7:10" x14ac:dyDescent="0.25">
      <c r="G559" s="42">
        <f>IF($B559="","",IFERROR(INDEX('작업 Jobs'!$D$3:$D$1002,MATCH($B559,'작업 Jobs'!$A$3:$A$1002,0)),"작업 ID 없음"))</f>
      </c>
      <c r="H559" s="41">
        <f>IF($C559="","",IF($D559="CARD",ROUND($C559*'설정 Settings'!$C$34+'설정 Settings'!$C$35,2),0))</f>
      </c>
      <c r="I559" s="42">
        <f>IF($C559="","",IF($C559&gt;'설정 Settings'!$C$36,"$2,000 초과: 은행 한도 확인, 나눠 받기 (F36)",""))</f>
      </c>
      <c r="J559" s="41">
        <f>IF($B559="","",IFERROR(INDEX('작업 Jobs'!$P$3:$P$1002,MATCH($B559,'작업 Jobs'!$A$3:$A$1002,0)),""))</f>
      </c>
    </row>
    <row r="560" spans="7:10" x14ac:dyDescent="0.25">
      <c r="G560" s="42">
        <f>IF($B560="","",IFERROR(INDEX('작업 Jobs'!$D$3:$D$1002,MATCH($B560,'작업 Jobs'!$A$3:$A$1002,0)),"작업 ID 없음"))</f>
      </c>
      <c r="H560" s="41">
        <f>IF($C560="","",IF($D560="CARD",ROUND($C560*'설정 Settings'!$C$34+'설정 Settings'!$C$35,2),0))</f>
      </c>
      <c r="I560" s="42">
        <f>IF($C560="","",IF($C560&gt;'설정 Settings'!$C$36,"$2,000 초과: 은행 한도 확인, 나눠 받기 (F36)",""))</f>
      </c>
      <c r="J560" s="41">
        <f>IF($B560="","",IFERROR(INDEX('작업 Jobs'!$P$3:$P$1002,MATCH($B560,'작업 Jobs'!$A$3:$A$1002,0)),""))</f>
      </c>
    </row>
    <row r="561" spans="7:10" x14ac:dyDescent="0.25">
      <c r="G561" s="42">
        <f>IF($B561="","",IFERROR(INDEX('작업 Jobs'!$D$3:$D$1002,MATCH($B561,'작업 Jobs'!$A$3:$A$1002,0)),"작업 ID 없음"))</f>
      </c>
      <c r="H561" s="41">
        <f>IF($C561="","",IF($D561="CARD",ROUND($C561*'설정 Settings'!$C$34+'설정 Settings'!$C$35,2),0))</f>
      </c>
      <c r="I561" s="42">
        <f>IF($C561="","",IF($C561&gt;'설정 Settings'!$C$36,"$2,000 초과: 은행 한도 확인, 나눠 받기 (F36)",""))</f>
      </c>
      <c r="J561" s="41">
        <f>IF($B561="","",IFERROR(INDEX('작업 Jobs'!$P$3:$P$1002,MATCH($B561,'작업 Jobs'!$A$3:$A$1002,0)),""))</f>
      </c>
    </row>
    <row r="562" spans="7:10" x14ac:dyDescent="0.25">
      <c r="G562" s="42">
        <f>IF($B562="","",IFERROR(INDEX('작업 Jobs'!$D$3:$D$1002,MATCH($B562,'작업 Jobs'!$A$3:$A$1002,0)),"작업 ID 없음"))</f>
      </c>
      <c r="H562" s="41">
        <f>IF($C562="","",IF($D562="CARD",ROUND($C562*'설정 Settings'!$C$34+'설정 Settings'!$C$35,2),0))</f>
      </c>
      <c r="I562" s="42">
        <f>IF($C562="","",IF($C562&gt;'설정 Settings'!$C$36,"$2,000 초과: 은행 한도 확인, 나눠 받기 (F36)",""))</f>
      </c>
      <c r="J562" s="41">
        <f>IF($B562="","",IFERROR(INDEX('작업 Jobs'!$P$3:$P$1002,MATCH($B562,'작업 Jobs'!$A$3:$A$1002,0)),""))</f>
      </c>
    </row>
    <row r="563" spans="7:10" x14ac:dyDescent="0.25">
      <c r="G563" s="42">
        <f>IF($B563="","",IFERROR(INDEX('작업 Jobs'!$D$3:$D$1002,MATCH($B563,'작업 Jobs'!$A$3:$A$1002,0)),"작업 ID 없음"))</f>
      </c>
      <c r="H563" s="41">
        <f>IF($C563="","",IF($D563="CARD",ROUND($C563*'설정 Settings'!$C$34+'설정 Settings'!$C$35,2),0))</f>
      </c>
      <c r="I563" s="42">
        <f>IF($C563="","",IF($C563&gt;'설정 Settings'!$C$36,"$2,000 초과: 은행 한도 확인, 나눠 받기 (F36)",""))</f>
      </c>
      <c r="J563" s="41">
        <f>IF($B563="","",IFERROR(INDEX('작업 Jobs'!$P$3:$P$1002,MATCH($B563,'작업 Jobs'!$A$3:$A$1002,0)),""))</f>
      </c>
    </row>
    <row r="564" spans="7:10" x14ac:dyDescent="0.25">
      <c r="G564" s="42">
        <f>IF($B564="","",IFERROR(INDEX('작업 Jobs'!$D$3:$D$1002,MATCH($B564,'작업 Jobs'!$A$3:$A$1002,0)),"작업 ID 없음"))</f>
      </c>
      <c r="H564" s="41">
        <f>IF($C564="","",IF($D564="CARD",ROUND($C564*'설정 Settings'!$C$34+'설정 Settings'!$C$35,2),0))</f>
      </c>
      <c r="I564" s="42">
        <f>IF($C564="","",IF($C564&gt;'설정 Settings'!$C$36,"$2,000 초과: 은행 한도 확인, 나눠 받기 (F36)",""))</f>
      </c>
      <c r="J564" s="41">
        <f>IF($B564="","",IFERROR(INDEX('작업 Jobs'!$P$3:$P$1002,MATCH($B564,'작업 Jobs'!$A$3:$A$1002,0)),""))</f>
      </c>
    </row>
    <row r="565" spans="7:10" x14ac:dyDescent="0.25">
      <c r="G565" s="42">
        <f>IF($B565="","",IFERROR(INDEX('작업 Jobs'!$D$3:$D$1002,MATCH($B565,'작업 Jobs'!$A$3:$A$1002,0)),"작업 ID 없음"))</f>
      </c>
      <c r="H565" s="41">
        <f>IF($C565="","",IF($D565="CARD",ROUND($C565*'설정 Settings'!$C$34+'설정 Settings'!$C$35,2),0))</f>
      </c>
      <c r="I565" s="42">
        <f>IF($C565="","",IF($C565&gt;'설정 Settings'!$C$36,"$2,000 초과: 은행 한도 확인, 나눠 받기 (F36)",""))</f>
      </c>
      <c r="J565" s="41">
        <f>IF($B565="","",IFERROR(INDEX('작업 Jobs'!$P$3:$P$1002,MATCH($B565,'작업 Jobs'!$A$3:$A$1002,0)),""))</f>
      </c>
    </row>
    <row r="566" spans="7:10" x14ac:dyDescent="0.25">
      <c r="G566" s="42">
        <f>IF($B566="","",IFERROR(INDEX('작업 Jobs'!$D$3:$D$1002,MATCH($B566,'작업 Jobs'!$A$3:$A$1002,0)),"작업 ID 없음"))</f>
      </c>
      <c r="H566" s="41">
        <f>IF($C566="","",IF($D566="CARD",ROUND($C566*'설정 Settings'!$C$34+'설정 Settings'!$C$35,2),0))</f>
      </c>
      <c r="I566" s="42">
        <f>IF($C566="","",IF($C566&gt;'설정 Settings'!$C$36,"$2,000 초과: 은행 한도 확인, 나눠 받기 (F36)",""))</f>
      </c>
      <c r="J566" s="41">
        <f>IF($B566="","",IFERROR(INDEX('작업 Jobs'!$P$3:$P$1002,MATCH($B566,'작업 Jobs'!$A$3:$A$1002,0)),""))</f>
      </c>
    </row>
    <row r="567" spans="7:10" x14ac:dyDescent="0.25">
      <c r="G567" s="42">
        <f>IF($B567="","",IFERROR(INDEX('작업 Jobs'!$D$3:$D$1002,MATCH($B567,'작업 Jobs'!$A$3:$A$1002,0)),"작업 ID 없음"))</f>
      </c>
      <c r="H567" s="41">
        <f>IF($C567="","",IF($D567="CARD",ROUND($C567*'설정 Settings'!$C$34+'설정 Settings'!$C$35,2),0))</f>
      </c>
      <c r="I567" s="42">
        <f>IF($C567="","",IF($C567&gt;'설정 Settings'!$C$36,"$2,000 초과: 은행 한도 확인, 나눠 받기 (F36)",""))</f>
      </c>
      <c r="J567" s="41">
        <f>IF($B567="","",IFERROR(INDEX('작업 Jobs'!$P$3:$P$1002,MATCH($B567,'작업 Jobs'!$A$3:$A$1002,0)),""))</f>
      </c>
    </row>
    <row r="568" spans="7:10" x14ac:dyDescent="0.25">
      <c r="G568" s="42">
        <f>IF($B568="","",IFERROR(INDEX('작업 Jobs'!$D$3:$D$1002,MATCH($B568,'작업 Jobs'!$A$3:$A$1002,0)),"작업 ID 없음"))</f>
      </c>
      <c r="H568" s="41">
        <f>IF($C568="","",IF($D568="CARD",ROUND($C568*'설정 Settings'!$C$34+'설정 Settings'!$C$35,2),0))</f>
      </c>
      <c r="I568" s="42">
        <f>IF($C568="","",IF($C568&gt;'설정 Settings'!$C$36,"$2,000 초과: 은행 한도 확인, 나눠 받기 (F36)",""))</f>
      </c>
      <c r="J568" s="41">
        <f>IF($B568="","",IFERROR(INDEX('작업 Jobs'!$P$3:$P$1002,MATCH($B568,'작업 Jobs'!$A$3:$A$1002,0)),""))</f>
      </c>
    </row>
    <row r="569" spans="7:10" x14ac:dyDescent="0.25">
      <c r="G569" s="42">
        <f>IF($B569="","",IFERROR(INDEX('작업 Jobs'!$D$3:$D$1002,MATCH($B569,'작업 Jobs'!$A$3:$A$1002,0)),"작업 ID 없음"))</f>
      </c>
      <c r="H569" s="41">
        <f>IF($C569="","",IF($D569="CARD",ROUND($C569*'설정 Settings'!$C$34+'설정 Settings'!$C$35,2),0))</f>
      </c>
      <c r="I569" s="42">
        <f>IF($C569="","",IF($C569&gt;'설정 Settings'!$C$36,"$2,000 초과: 은행 한도 확인, 나눠 받기 (F36)",""))</f>
      </c>
      <c r="J569" s="41">
        <f>IF($B569="","",IFERROR(INDEX('작업 Jobs'!$P$3:$P$1002,MATCH($B569,'작업 Jobs'!$A$3:$A$1002,0)),""))</f>
      </c>
    </row>
    <row r="570" spans="7:10" x14ac:dyDescent="0.25">
      <c r="G570" s="42">
        <f>IF($B570="","",IFERROR(INDEX('작업 Jobs'!$D$3:$D$1002,MATCH($B570,'작업 Jobs'!$A$3:$A$1002,0)),"작업 ID 없음"))</f>
      </c>
      <c r="H570" s="41">
        <f>IF($C570="","",IF($D570="CARD",ROUND($C570*'설정 Settings'!$C$34+'설정 Settings'!$C$35,2),0))</f>
      </c>
      <c r="I570" s="42">
        <f>IF($C570="","",IF($C570&gt;'설정 Settings'!$C$36,"$2,000 초과: 은행 한도 확인, 나눠 받기 (F36)",""))</f>
      </c>
      <c r="J570" s="41">
        <f>IF($B570="","",IFERROR(INDEX('작업 Jobs'!$P$3:$P$1002,MATCH($B570,'작업 Jobs'!$A$3:$A$1002,0)),""))</f>
      </c>
    </row>
    <row r="571" spans="7:10" x14ac:dyDescent="0.25">
      <c r="G571" s="42">
        <f>IF($B571="","",IFERROR(INDEX('작업 Jobs'!$D$3:$D$1002,MATCH($B571,'작업 Jobs'!$A$3:$A$1002,0)),"작업 ID 없음"))</f>
      </c>
      <c r="H571" s="41">
        <f>IF($C571="","",IF($D571="CARD",ROUND($C571*'설정 Settings'!$C$34+'설정 Settings'!$C$35,2),0))</f>
      </c>
      <c r="I571" s="42">
        <f>IF($C571="","",IF($C571&gt;'설정 Settings'!$C$36,"$2,000 초과: 은행 한도 확인, 나눠 받기 (F36)",""))</f>
      </c>
      <c r="J571" s="41">
        <f>IF($B571="","",IFERROR(INDEX('작업 Jobs'!$P$3:$P$1002,MATCH($B571,'작업 Jobs'!$A$3:$A$1002,0)),""))</f>
      </c>
    </row>
    <row r="572" spans="7:10" x14ac:dyDescent="0.25">
      <c r="G572" s="42">
        <f>IF($B572="","",IFERROR(INDEX('작업 Jobs'!$D$3:$D$1002,MATCH($B572,'작업 Jobs'!$A$3:$A$1002,0)),"작업 ID 없음"))</f>
      </c>
      <c r="H572" s="41">
        <f>IF($C572="","",IF($D572="CARD",ROUND($C572*'설정 Settings'!$C$34+'설정 Settings'!$C$35,2),0))</f>
      </c>
      <c r="I572" s="42">
        <f>IF($C572="","",IF($C572&gt;'설정 Settings'!$C$36,"$2,000 초과: 은행 한도 확인, 나눠 받기 (F36)",""))</f>
      </c>
      <c r="J572" s="41">
        <f>IF($B572="","",IFERROR(INDEX('작업 Jobs'!$P$3:$P$1002,MATCH($B572,'작업 Jobs'!$A$3:$A$1002,0)),""))</f>
      </c>
    </row>
    <row r="573" spans="7:10" x14ac:dyDescent="0.25">
      <c r="G573" s="42">
        <f>IF($B573="","",IFERROR(INDEX('작업 Jobs'!$D$3:$D$1002,MATCH($B573,'작업 Jobs'!$A$3:$A$1002,0)),"작업 ID 없음"))</f>
      </c>
      <c r="H573" s="41">
        <f>IF($C573="","",IF($D573="CARD",ROUND($C573*'설정 Settings'!$C$34+'설정 Settings'!$C$35,2),0))</f>
      </c>
      <c r="I573" s="42">
        <f>IF($C573="","",IF($C573&gt;'설정 Settings'!$C$36,"$2,000 초과: 은행 한도 확인, 나눠 받기 (F36)",""))</f>
      </c>
      <c r="J573" s="41">
        <f>IF($B573="","",IFERROR(INDEX('작업 Jobs'!$P$3:$P$1002,MATCH($B573,'작업 Jobs'!$A$3:$A$1002,0)),""))</f>
      </c>
    </row>
    <row r="574" spans="7:10" x14ac:dyDescent="0.25">
      <c r="G574" s="42">
        <f>IF($B574="","",IFERROR(INDEX('작업 Jobs'!$D$3:$D$1002,MATCH($B574,'작업 Jobs'!$A$3:$A$1002,0)),"작업 ID 없음"))</f>
      </c>
      <c r="H574" s="41">
        <f>IF($C574="","",IF($D574="CARD",ROUND($C574*'설정 Settings'!$C$34+'설정 Settings'!$C$35,2),0))</f>
      </c>
      <c r="I574" s="42">
        <f>IF($C574="","",IF($C574&gt;'설정 Settings'!$C$36,"$2,000 초과: 은행 한도 확인, 나눠 받기 (F36)",""))</f>
      </c>
      <c r="J574" s="41">
        <f>IF($B574="","",IFERROR(INDEX('작업 Jobs'!$P$3:$P$1002,MATCH($B574,'작업 Jobs'!$A$3:$A$1002,0)),""))</f>
      </c>
    </row>
    <row r="575" spans="7:10" x14ac:dyDescent="0.25">
      <c r="G575" s="42">
        <f>IF($B575="","",IFERROR(INDEX('작업 Jobs'!$D$3:$D$1002,MATCH($B575,'작업 Jobs'!$A$3:$A$1002,0)),"작업 ID 없음"))</f>
      </c>
      <c r="H575" s="41">
        <f>IF($C575="","",IF($D575="CARD",ROUND($C575*'설정 Settings'!$C$34+'설정 Settings'!$C$35,2),0))</f>
      </c>
      <c r="I575" s="42">
        <f>IF($C575="","",IF($C575&gt;'설정 Settings'!$C$36,"$2,000 초과: 은행 한도 확인, 나눠 받기 (F36)",""))</f>
      </c>
      <c r="J575" s="41">
        <f>IF($B575="","",IFERROR(INDEX('작업 Jobs'!$P$3:$P$1002,MATCH($B575,'작업 Jobs'!$A$3:$A$1002,0)),""))</f>
      </c>
    </row>
    <row r="576" spans="7:10" x14ac:dyDescent="0.25">
      <c r="G576" s="42">
        <f>IF($B576="","",IFERROR(INDEX('작업 Jobs'!$D$3:$D$1002,MATCH($B576,'작업 Jobs'!$A$3:$A$1002,0)),"작업 ID 없음"))</f>
      </c>
      <c r="H576" s="41">
        <f>IF($C576="","",IF($D576="CARD",ROUND($C576*'설정 Settings'!$C$34+'설정 Settings'!$C$35,2),0))</f>
      </c>
      <c r="I576" s="42">
        <f>IF($C576="","",IF($C576&gt;'설정 Settings'!$C$36,"$2,000 초과: 은행 한도 확인, 나눠 받기 (F36)",""))</f>
      </c>
      <c r="J576" s="41">
        <f>IF($B576="","",IFERROR(INDEX('작업 Jobs'!$P$3:$P$1002,MATCH($B576,'작업 Jobs'!$A$3:$A$1002,0)),""))</f>
      </c>
    </row>
    <row r="577" spans="7:10" x14ac:dyDescent="0.25">
      <c r="G577" s="42">
        <f>IF($B577="","",IFERROR(INDEX('작업 Jobs'!$D$3:$D$1002,MATCH($B577,'작업 Jobs'!$A$3:$A$1002,0)),"작업 ID 없음"))</f>
      </c>
      <c r="H577" s="41">
        <f>IF($C577="","",IF($D577="CARD",ROUND($C577*'설정 Settings'!$C$34+'설정 Settings'!$C$35,2),0))</f>
      </c>
      <c r="I577" s="42">
        <f>IF($C577="","",IF($C577&gt;'설정 Settings'!$C$36,"$2,000 초과: 은행 한도 확인, 나눠 받기 (F36)",""))</f>
      </c>
      <c r="J577" s="41">
        <f>IF($B577="","",IFERROR(INDEX('작업 Jobs'!$P$3:$P$1002,MATCH($B577,'작업 Jobs'!$A$3:$A$1002,0)),""))</f>
      </c>
    </row>
    <row r="578" spans="7:10" x14ac:dyDescent="0.25">
      <c r="G578" s="42">
        <f>IF($B578="","",IFERROR(INDEX('작업 Jobs'!$D$3:$D$1002,MATCH($B578,'작업 Jobs'!$A$3:$A$1002,0)),"작업 ID 없음"))</f>
      </c>
      <c r="H578" s="41">
        <f>IF($C578="","",IF($D578="CARD",ROUND($C578*'설정 Settings'!$C$34+'설정 Settings'!$C$35,2),0))</f>
      </c>
      <c r="I578" s="42">
        <f>IF($C578="","",IF($C578&gt;'설정 Settings'!$C$36,"$2,000 초과: 은행 한도 확인, 나눠 받기 (F36)",""))</f>
      </c>
      <c r="J578" s="41">
        <f>IF($B578="","",IFERROR(INDEX('작업 Jobs'!$P$3:$P$1002,MATCH($B578,'작업 Jobs'!$A$3:$A$1002,0)),""))</f>
      </c>
    </row>
    <row r="579" spans="7:10" x14ac:dyDescent="0.25">
      <c r="G579" s="42">
        <f>IF($B579="","",IFERROR(INDEX('작업 Jobs'!$D$3:$D$1002,MATCH($B579,'작업 Jobs'!$A$3:$A$1002,0)),"작업 ID 없음"))</f>
      </c>
      <c r="H579" s="41">
        <f>IF($C579="","",IF($D579="CARD",ROUND($C579*'설정 Settings'!$C$34+'설정 Settings'!$C$35,2),0))</f>
      </c>
      <c r="I579" s="42">
        <f>IF($C579="","",IF($C579&gt;'설정 Settings'!$C$36,"$2,000 초과: 은행 한도 확인, 나눠 받기 (F36)",""))</f>
      </c>
      <c r="J579" s="41">
        <f>IF($B579="","",IFERROR(INDEX('작업 Jobs'!$P$3:$P$1002,MATCH($B579,'작업 Jobs'!$A$3:$A$1002,0)),""))</f>
      </c>
    </row>
    <row r="580" spans="7:10" x14ac:dyDescent="0.25">
      <c r="G580" s="42">
        <f>IF($B580="","",IFERROR(INDEX('작업 Jobs'!$D$3:$D$1002,MATCH($B580,'작업 Jobs'!$A$3:$A$1002,0)),"작업 ID 없음"))</f>
      </c>
      <c r="H580" s="41">
        <f>IF($C580="","",IF($D580="CARD",ROUND($C580*'설정 Settings'!$C$34+'설정 Settings'!$C$35,2),0))</f>
      </c>
      <c r="I580" s="42">
        <f>IF($C580="","",IF($C580&gt;'설정 Settings'!$C$36,"$2,000 초과: 은행 한도 확인, 나눠 받기 (F36)",""))</f>
      </c>
      <c r="J580" s="41">
        <f>IF($B580="","",IFERROR(INDEX('작업 Jobs'!$P$3:$P$1002,MATCH($B580,'작업 Jobs'!$A$3:$A$1002,0)),""))</f>
      </c>
    </row>
    <row r="581" spans="7:10" x14ac:dyDescent="0.25">
      <c r="G581" s="42">
        <f>IF($B581="","",IFERROR(INDEX('작업 Jobs'!$D$3:$D$1002,MATCH($B581,'작업 Jobs'!$A$3:$A$1002,0)),"작업 ID 없음"))</f>
      </c>
      <c r="H581" s="41">
        <f>IF($C581="","",IF($D581="CARD",ROUND($C581*'설정 Settings'!$C$34+'설정 Settings'!$C$35,2),0))</f>
      </c>
      <c r="I581" s="42">
        <f>IF($C581="","",IF($C581&gt;'설정 Settings'!$C$36,"$2,000 초과: 은행 한도 확인, 나눠 받기 (F36)",""))</f>
      </c>
      <c r="J581" s="41">
        <f>IF($B581="","",IFERROR(INDEX('작업 Jobs'!$P$3:$P$1002,MATCH($B581,'작업 Jobs'!$A$3:$A$1002,0)),""))</f>
      </c>
    </row>
    <row r="582" spans="7:10" x14ac:dyDescent="0.25">
      <c r="G582" s="42">
        <f>IF($B582="","",IFERROR(INDEX('작업 Jobs'!$D$3:$D$1002,MATCH($B582,'작업 Jobs'!$A$3:$A$1002,0)),"작업 ID 없음"))</f>
      </c>
      <c r="H582" s="41">
        <f>IF($C582="","",IF($D582="CARD",ROUND($C582*'설정 Settings'!$C$34+'설정 Settings'!$C$35,2),0))</f>
      </c>
      <c r="I582" s="42">
        <f>IF($C582="","",IF($C582&gt;'설정 Settings'!$C$36,"$2,000 초과: 은행 한도 확인, 나눠 받기 (F36)",""))</f>
      </c>
      <c r="J582" s="41">
        <f>IF($B582="","",IFERROR(INDEX('작업 Jobs'!$P$3:$P$1002,MATCH($B582,'작업 Jobs'!$A$3:$A$1002,0)),""))</f>
      </c>
    </row>
    <row r="583" spans="7:10" x14ac:dyDescent="0.25">
      <c r="G583" s="42">
        <f>IF($B583="","",IFERROR(INDEX('작업 Jobs'!$D$3:$D$1002,MATCH($B583,'작업 Jobs'!$A$3:$A$1002,0)),"작업 ID 없음"))</f>
      </c>
      <c r="H583" s="41">
        <f>IF($C583="","",IF($D583="CARD",ROUND($C583*'설정 Settings'!$C$34+'설정 Settings'!$C$35,2),0))</f>
      </c>
      <c r="I583" s="42">
        <f>IF($C583="","",IF($C583&gt;'설정 Settings'!$C$36,"$2,000 초과: 은행 한도 확인, 나눠 받기 (F36)",""))</f>
      </c>
      <c r="J583" s="41">
        <f>IF($B583="","",IFERROR(INDEX('작업 Jobs'!$P$3:$P$1002,MATCH($B583,'작업 Jobs'!$A$3:$A$1002,0)),""))</f>
      </c>
    </row>
    <row r="584" spans="7:10" x14ac:dyDescent="0.25">
      <c r="G584" s="42">
        <f>IF($B584="","",IFERROR(INDEX('작업 Jobs'!$D$3:$D$1002,MATCH($B584,'작업 Jobs'!$A$3:$A$1002,0)),"작업 ID 없음"))</f>
      </c>
      <c r="H584" s="41">
        <f>IF($C584="","",IF($D584="CARD",ROUND($C584*'설정 Settings'!$C$34+'설정 Settings'!$C$35,2),0))</f>
      </c>
      <c r="I584" s="42">
        <f>IF($C584="","",IF($C584&gt;'설정 Settings'!$C$36,"$2,000 초과: 은행 한도 확인, 나눠 받기 (F36)",""))</f>
      </c>
      <c r="J584" s="41">
        <f>IF($B584="","",IFERROR(INDEX('작업 Jobs'!$P$3:$P$1002,MATCH($B584,'작업 Jobs'!$A$3:$A$1002,0)),""))</f>
      </c>
    </row>
    <row r="585" spans="7:10" x14ac:dyDescent="0.25">
      <c r="G585" s="42">
        <f>IF($B585="","",IFERROR(INDEX('작업 Jobs'!$D$3:$D$1002,MATCH($B585,'작업 Jobs'!$A$3:$A$1002,0)),"작업 ID 없음"))</f>
      </c>
      <c r="H585" s="41">
        <f>IF($C585="","",IF($D585="CARD",ROUND($C585*'설정 Settings'!$C$34+'설정 Settings'!$C$35,2),0))</f>
      </c>
      <c r="I585" s="42">
        <f>IF($C585="","",IF($C585&gt;'설정 Settings'!$C$36,"$2,000 초과: 은행 한도 확인, 나눠 받기 (F36)",""))</f>
      </c>
      <c r="J585" s="41">
        <f>IF($B585="","",IFERROR(INDEX('작업 Jobs'!$P$3:$P$1002,MATCH($B585,'작업 Jobs'!$A$3:$A$1002,0)),""))</f>
      </c>
    </row>
    <row r="586" spans="7:10" x14ac:dyDescent="0.25">
      <c r="G586" s="42">
        <f>IF($B586="","",IFERROR(INDEX('작업 Jobs'!$D$3:$D$1002,MATCH($B586,'작업 Jobs'!$A$3:$A$1002,0)),"작업 ID 없음"))</f>
      </c>
      <c r="H586" s="41">
        <f>IF($C586="","",IF($D586="CARD",ROUND($C586*'설정 Settings'!$C$34+'설정 Settings'!$C$35,2),0))</f>
      </c>
      <c r="I586" s="42">
        <f>IF($C586="","",IF($C586&gt;'설정 Settings'!$C$36,"$2,000 초과: 은행 한도 확인, 나눠 받기 (F36)",""))</f>
      </c>
      <c r="J586" s="41">
        <f>IF($B586="","",IFERROR(INDEX('작업 Jobs'!$P$3:$P$1002,MATCH($B586,'작업 Jobs'!$A$3:$A$1002,0)),""))</f>
      </c>
    </row>
    <row r="587" spans="7:10" x14ac:dyDescent="0.25">
      <c r="G587" s="42">
        <f>IF($B587="","",IFERROR(INDEX('작업 Jobs'!$D$3:$D$1002,MATCH($B587,'작업 Jobs'!$A$3:$A$1002,0)),"작업 ID 없음"))</f>
      </c>
      <c r="H587" s="41">
        <f>IF($C587="","",IF($D587="CARD",ROUND($C587*'설정 Settings'!$C$34+'설정 Settings'!$C$35,2),0))</f>
      </c>
      <c r="I587" s="42">
        <f>IF($C587="","",IF($C587&gt;'설정 Settings'!$C$36,"$2,000 초과: 은행 한도 확인, 나눠 받기 (F36)",""))</f>
      </c>
      <c r="J587" s="41">
        <f>IF($B587="","",IFERROR(INDEX('작업 Jobs'!$P$3:$P$1002,MATCH($B587,'작업 Jobs'!$A$3:$A$1002,0)),""))</f>
      </c>
    </row>
    <row r="588" spans="7:10" x14ac:dyDescent="0.25">
      <c r="G588" s="42">
        <f>IF($B588="","",IFERROR(INDEX('작업 Jobs'!$D$3:$D$1002,MATCH($B588,'작업 Jobs'!$A$3:$A$1002,0)),"작업 ID 없음"))</f>
      </c>
      <c r="H588" s="41">
        <f>IF($C588="","",IF($D588="CARD",ROUND($C588*'설정 Settings'!$C$34+'설정 Settings'!$C$35,2),0))</f>
      </c>
      <c r="I588" s="42">
        <f>IF($C588="","",IF($C588&gt;'설정 Settings'!$C$36,"$2,000 초과: 은행 한도 확인, 나눠 받기 (F36)",""))</f>
      </c>
      <c r="J588" s="41">
        <f>IF($B588="","",IFERROR(INDEX('작업 Jobs'!$P$3:$P$1002,MATCH($B588,'작업 Jobs'!$A$3:$A$1002,0)),""))</f>
      </c>
    </row>
    <row r="589" spans="7:10" x14ac:dyDescent="0.25">
      <c r="G589" s="42">
        <f>IF($B589="","",IFERROR(INDEX('작업 Jobs'!$D$3:$D$1002,MATCH($B589,'작업 Jobs'!$A$3:$A$1002,0)),"작업 ID 없음"))</f>
      </c>
      <c r="H589" s="41">
        <f>IF($C589="","",IF($D589="CARD",ROUND($C589*'설정 Settings'!$C$34+'설정 Settings'!$C$35,2),0))</f>
      </c>
      <c r="I589" s="42">
        <f>IF($C589="","",IF($C589&gt;'설정 Settings'!$C$36,"$2,000 초과: 은행 한도 확인, 나눠 받기 (F36)",""))</f>
      </c>
      <c r="J589" s="41">
        <f>IF($B589="","",IFERROR(INDEX('작업 Jobs'!$P$3:$P$1002,MATCH($B589,'작업 Jobs'!$A$3:$A$1002,0)),""))</f>
      </c>
    </row>
    <row r="590" spans="7:10" x14ac:dyDescent="0.25">
      <c r="G590" s="42">
        <f>IF($B590="","",IFERROR(INDEX('작업 Jobs'!$D$3:$D$1002,MATCH($B590,'작업 Jobs'!$A$3:$A$1002,0)),"작업 ID 없음"))</f>
      </c>
      <c r="H590" s="41">
        <f>IF($C590="","",IF($D590="CARD",ROUND($C590*'설정 Settings'!$C$34+'설정 Settings'!$C$35,2),0))</f>
      </c>
      <c r="I590" s="42">
        <f>IF($C590="","",IF($C590&gt;'설정 Settings'!$C$36,"$2,000 초과: 은행 한도 확인, 나눠 받기 (F36)",""))</f>
      </c>
      <c r="J590" s="41">
        <f>IF($B590="","",IFERROR(INDEX('작업 Jobs'!$P$3:$P$1002,MATCH($B590,'작업 Jobs'!$A$3:$A$1002,0)),""))</f>
      </c>
    </row>
    <row r="591" spans="7:10" x14ac:dyDescent="0.25">
      <c r="G591" s="42">
        <f>IF($B591="","",IFERROR(INDEX('작업 Jobs'!$D$3:$D$1002,MATCH($B591,'작업 Jobs'!$A$3:$A$1002,0)),"작업 ID 없음"))</f>
      </c>
      <c r="H591" s="41">
        <f>IF($C591="","",IF($D591="CARD",ROUND($C591*'설정 Settings'!$C$34+'설정 Settings'!$C$35,2),0))</f>
      </c>
      <c r="I591" s="42">
        <f>IF($C591="","",IF($C591&gt;'설정 Settings'!$C$36,"$2,000 초과: 은행 한도 확인, 나눠 받기 (F36)",""))</f>
      </c>
      <c r="J591" s="41">
        <f>IF($B591="","",IFERROR(INDEX('작업 Jobs'!$P$3:$P$1002,MATCH($B591,'작업 Jobs'!$A$3:$A$1002,0)),""))</f>
      </c>
    </row>
    <row r="592" spans="7:10" x14ac:dyDescent="0.25">
      <c r="G592" s="42">
        <f>IF($B592="","",IFERROR(INDEX('작업 Jobs'!$D$3:$D$1002,MATCH($B592,'작업 Jobs'!$A$3:$A$1002,0)),"작업 ID 없음"))</f>
      </c>
      <c r="H592" s="41">
        <f>IF($C592="","",IF($D592="CARD",ROUND($C592*'설정 Settings'!$C$34+'설정 Settings'!$C$35,2),0))</f>
      </c>
      <c r="I592" s="42">
        <f>IF($C592="","",IF($C592&gt;'설정 Settings'!$C$36,"$2,000 초과: 은행 한도 확인, 나눠 받기 (F36)",""))</f>
      </c>
      <c r="J592" s="41">
        <f>IF($B592="","",IFERROR(INDEX('작업 Jobs'!$P$3:$P$1002,MATCH($B592,'작업 Jobs'!$A$3:$A$1002,0)),""))</f>
      </c>
    </row>
    <row r="593" spans="7:10" x14ac:dyDescent="0.25">
      <c r="G593" s="42">
        <f>IF($B593="","",IFERROR(INDEX('작업 Jobs'!$D$3:$D$1002,MATCH($B593,'작업 Jobs'!$A$3:$A$1002,0)),"작업 ID 없음"))</f>
      </c>
      <c r="H593" s="41">
        <f>IF($C593="","",IF($D593="CARD",ROUND($C593*'설정 Settings'!$C$34+'설정 Settings'!$C$35,2),0))</f>
      </c>
      <c r="I593" s="42">
        <f>IF($C593="","",IF($C593&gt;'설정 Settings'!$C$36,"$2,000 초과: 은행 한도 확인, 나눠 받기 (F36)",""))</f>
      </c>
      <c r="J593" s="41">
        <f>IF($B593="","",IFERROR(INDEX('작업 Jobs'!$P$3:$P$1002,MATCH($B593,'작업 Jobs'!$A$3:$A$1002,0)),""))</f>
      </c>
    </row>
    <row r="594" spans="7:10" x14ac:dyDescent="0.25">
      <c r="G594" s="42">
        <f>IF($B594="","",IFERROR(INDEX('작업 Jobs'!$D$3:$D$1002,MATCH($B594,'작업 Jobs'!$A$3:$A$1002,0)),"작업 ID 없음"))</f>
      </c>
      <c r="H594" s="41">
        <f>IF($C594="","",IF($D594="CARD",ROUND($C594*'설정 Settings'!$C$34+'설정 Settings'!$C$35,2),0))</f>
      </c>
      <c r="I594" s="42">
        <f>IF($C594="","",IF($C594&gt;'설정 Settings'!$C$36,"$2,000 초과: 은행 한도 확인, 나눠 받기 (F36)",""))</f>
      </c>
      <c r="J594" s="41">
        <f>IF($B594="","",IFERROR(INDEX('작업 Jobs'!$P$3:$P$1002,MATCH($B594,'작업 Jobs'!$A$3:$A$1002,0)),""))</f>
      </c>
    </row>
    <row r="595" spans="7:10" x14ac:dyDescent="0.25">
      <c r="G595" s="42">
        <f>IF($B595="","",IFERROR(INDEX('작업 Jobs'!$D$3:$D$1002,MATCH($B595,'작업 Jobs'!$A$3:$A$1002,0)),"작업 ID 없음"))</f>
      </c>
      <c r="H595" s="41">
        <f>IF($C595="","",IF($D595="CARD",ROUND($C595*'설정 Settings'!$C$34+'설정 Settings'!$C$35,2),0))</f>
      </c>
      <c r="I595" s="42">
        <f>IF($C595="","",IF($C595&gt;'설정 Settings'!$C$36,"$2,000 초과: 은행 한도 확인, 나눠 받기 (F36)",""))</f>
      </c>
      <c r="J595" s="41">
        <f>IF($B595="","",IFERROR(INDEX('작업 Jobs'!$P$3:$P$1002,MATCH($B595,'작업 Jobs'!$A$3:$A$1002,0)),""))</f>
      </c>
    </row>
    <row r="596" spans="7:10" x14ac:dyDescent="0.25">
      <c r="G596" s="42">
        <f>IF($B596="","",IFERROR(INDEX('작업 Jobs'!$D$3:$D$1002,MATCH($B596,'작업 Jobs'!$A$3:$A$1002,0)),"작업 ID 없음"))</f>
      </c>
      <c r="H596" s="41">
        <f>IF($C596="","",IF($D596="CARD",ROUND($C596*'설정 Settings'!$C$34+'설정 Settings'!$C$35,2),0))</f>
      </c>
      <c r="I596" s="42">
        <f>IF($C596="","",IF($C596&gt;'설정 Settings'!$C$36,"$2,000 초과: 은행 한도 확인, 나눠 받기 (F36)",""))</f>
      </c>
      <c r="J596" s="41">
        <f>IF($B596="","",IFERROR(INDEX('작업 Jobs'!$P$3:$P$1002,MATCH($B596,'작업 Jobs'!$A$3:$A$1002,0)),""))</f>
      </c>
    </row>
    <row r="597" spans="7:10" x14ac:dyDescent="0.25">
      <c r="G597" s="42">
        <f>IF($B597="","",IFERROR(INDEX('작업 Jobs'!$D$3:$D$1002,MATCH($B597,'작업 Jobs'!$A$3:$A$1002,0)),"작업 ID 없음"))</f>
      </c>
      <c r="H597" s="41">
        <f>IF($C597="","",IF($D597="CARD",ROUND($C597*'설정 Settings'!$C$34+'설정 Settings'!$C$35,2),0))</f>
      </c>
      <c r="I597" s="42">
        <f>IF($C597="","",IF($C597&gt;'설정 Settings'!$C$36,"$2,000 초과: 은행 한도 확인, 나눠 받기 (F36)",""))</f>
      </c>
      <c r="J597" s="41">
        <f>IF($B597="","",IFERROR(INDEX('작업 Jobs'!$P$3:$P$1002,MATCH($B597,'작업 Jobs'!$A$3:$A$1002,0)),""))</f>
      </c>
    </row>
    <row r="598" spans="7:10" x14ac:dyDescent="0.25">
      <c r="G598" s="42">
        <f>IF($B598="","",IFERROR(INDEX('작업 Jobs'!$D$3:$D$1002,MATCH($B598,'작업 Jobs'!$A$3:$A$1002,0)),"작업 ID 없음"))</f>
      </c>
      <c r="H598" s="41">
        <f>IF($C598="","",IF($D598="CARD",ROUND($C598*'설정 Settings'!$C$34+'설정 Settings'!$C$35,2),0))</f>
      </c>
      <c r="I598" s="42">
        <f>IF($C598="","",IF($C598&gt;'설정 Settings'!$C$36,"$2,000 초과: 은행 한도 확인, 나눠 받기 (F36)",""))</f>
      </c>
      <c r="J598" s="41">
        <f>IF($B598="","",IFERROR(INDEX('작업 Jobs'!$P$3:$P$1002,MATCH($B598,'작업 Jobs'!$A$3:$A$1002,0)),""))</f>
      </c>
    </row>
    <row r="599" spans="7:10" x14ac:dyDescent="0.25">
      <c r="G599" s="42">
        <f>IF($B599="","",IFERROR(INDEX('작업 Jobs'!$D$3:$D$1002,MATCH($B599,'작업 Jobs'!$A$3:$A$1002,0)),"작업 ID 없음"))</f>
      </c>
      <c r="H599" s="41">
        <f>IF($C599="","",IF($D599="CARD",ROUND($C599*'설정 Settings'!$C$34+'설정 Settings'!$C$35,2),0))</f>
      </c>
      <c r="I599" s="42">
        <f>IF($C599="","",IF($C599&gt;'설정 Settings'!$C$36,"$2,000 초과: 은행 한도 확인, 나눠 받기 (F36)",""))</f>
      </c>
      <c r="J599" s="41">
        <f>IF($B599="","",IFERROR(INDEX('작업 Jobs'!$P$3:$P$1002,MATCH($B599,'작업 Jobs'!$A$3:$A$1002,0)),""))</f>
      </c>
    </row>
    <row r="600" spans="7:10" x14ac:dyDescent="0.25">
      <c r="G600" s="42">
        <f>IF($B600="","",IFERROR(INDEX('작업 Jobs'!$D$3:$D$1002,MATCH($B600,'작업 Jobs'!$A$3:$A$1002,0)),"작업 ID 없음"))</f>
      </c>
      <c r="H600" s="41">
        <f>IF($C600="","",IF($D600="CARD",ROUND($C600*'설정 Settings'!$C$34+'설정 Settings'!$C$35,2),0))</f>
      </c>
      <c r="I600" s="42">
        <f>IF($C600="","",IF($C600&gt;'설정 Settings'!$C$36,"$2,000 초과: 은행 한도 확인, 나눠 받기 (F36)",""))</f>
      </c>
      <c r="J600" s="41">
        <f>IF($B600="","",IFERROR(INDEX('작업 Jobs'!$P$3:$P$1002,MATCH($B600,'작업 Jobs'!$A$3:$A$1002,0)),""))</f>
      </c>
    </row>
    <row r="601" spans="7:10" x14ac:dyDescent="0.25">
      <c r="G601" s="42">
        <f>IF($B601="","",IFERROR(INDEX('작업 Jobs'!$D$3:$D$1002,MATCH($B601,'작업 Jobs'!$A$3:$A$1002,0)),"작업 ID 없음"))</f>
      </c>
      <c r="H601" s="41">
        <f>IF($C601="","",IF($D601="CARD",ROUND($C601*'설정 Settings'!$C$34+'설정 Settings'!$C$35,2),0))</f>
      </c>
      <c r="I601" s="42">
        <f>IF($C601="","",IF($C601&gt;'설정 Settings'!$C$36,"$2,000 초과: 은행 한도 확인, 나눠 받기 (F36)",""))</f>
      </c>
      <c r="J601" s="41">
        <f>IF($B601="","",IFERROR(INDEX('작업 Jobs'!$P$3:$P$1002,MATCH($B601,'작업 Jobs'!$A$3:$A$1002,0)),""))</f>
      </c>
    </row>
    <row r="602" spans="7:10" x14ac:dyDescent="0.25">
      <c r="G602" s="42">
        <f>IF($B602="","",IFERROR(INDEX('작업 Jobs'!$D$3:$D$1002,MATCH($B602,'작업 Jobs'!$A$3:$A$1002,0)),"작업 ID 없음"))</f>
      </c>
      <c r="H602" s="41">
        <f>IF($C602="","",IF($D602="CARD",ROUND($C602*'설정 Settings'!$C$34+'설정 Settings'!$C$35,2),0))</f>
      </c>
      <c r="I602" s="42">
        <f>IF($C602="","",IF($C602&gt;'설정 Settings'!$C$36,"$2,000 초과: 은행 한도 확인, 나눠 받기 (F36)",""))</f>
      </c>
      <c r="J602" s="41">
        <f>IF($B602="","",IFERROR(INDEX('작업 Jobs'!$P$3:$P$1002,MATCH($B602,'작업 Jobs'!$A$3:$A$1002,0)),""))</f>
      </c>
    </row>
    <row r="603" spans="7:10" x14ac:dyDescent="0.25">
      <c r="G603" s="42">
        <f>IF($B603="","",IFERROR(INDEX('작업 Jobs'!$D$3:$D$1002,MATCH($B603,'작업 Jobs'!$A$3:$A$1002,0)),"작업 ID 없음"))</f>
      </c>
      <c r="H603" s="41">
        <f>IF($C603="","",IF($D603="CARD",ROUND($C603*'설정 Settings'!$C$34+'설정 Settings'!$C$35,2),0))</f>
      </c>
      <c r="I603" s="42">
        <f>IF($C603="","",IF($C603&gt;'설정 Settings'!$C$36,"$2,000 초과: 은행 한도 확인, 나눠 받기 (F36)",""))</f>
      </c>
      <c r="J603" s="41">
        <f>IF($B603="","",IFERROR(INDEX('작업 Jobs'!$P$3:$P$1002,MATCH($B603,'작업 Jobs'!$A$3:$A$1002,0)),""))</f>
      </c>
    </row>
    <row r="604" spans="7:10" x14ac:dyDescent="0.25">
      <c r="G604" s="42">
        <f>IF($B604="","",IFERROR(INDEX('작업 Jobs'!$D$3:$D$1002,MATCH($B604,'작업 Jobs'!$A$3:$A$1002,0)),"작업 ID 없음"))</f>
      </c>
      <c r="H604" s="41">
        <f>IF($C604="","",IF($D604="CARD",ROUND($C604*'설정 Settings'!$C$34+'설정 Settings'!$C$35,2),0))</f>
      </c>
      <c r="I604" s="42">
        <f>IF($C604="","",IF($C604&gt;'설정 Settings'!$C$36,"$2,000 초과: 은행 한도 확인, 나눠 받기 (F36)",""))</f>
      </c>
      <c r="J604" s="41">
        <f>IF($B604="","",IFERROR(INDEX('작업 Jobs'!$P$3:$P$1002,MATCH($B604,'작업 Jobs'!$A$3:$A$1002,0)),""))</f>
      </c>
    </row>
    <row r="605" spans="7:10" x14ac:dyDescent="0.25">
      <c r="G605" s="42">
        <f>IF($B605="","",IFERROR(INDEX('작업 Jobs'!$D$3:$D$1002,MATCH($B605,'작업 Jobs'!$A$3:$A$1002,0)),"작업 ID 없음"))</f>
      </c>
      <c r="H605" s="41">
        <f>IF($C605="","",IF($D605="CARD",ROUND($C605*'설정 Settings'!$C$34+'설정 Settings'!$C$35,2),0))</f>
      </c>
      <c r="I605" s="42">
        <f>IF($C605="","",IF($C605&gt;'설정 Settings'!$C$36,"$2,000 초과: 은행 한도 확인, 나눠 받기 (F36)",""))</f>
      </c>
      <c r="J605" s="41">
        <f>IF($B605="","",IFERROR(INDEX('작업 Jobs'!$P$3:$P$1002,MATCH($B605,'작업 Jobs'!$A$3:$A$1002,0)),""))</f>
      </c>
    </row>
    <row r="606" spans="7:10" x14ac:dyDescent="0.25">
      <c r="G606" s="42">
        <f>IF($B606="","",IFERROR(INDEX('작업 Jobs'!$D$3:$D$1002,MATCH($B606,'작업 Jobs'!$A$3:$A$1002,0)),"작업 ID 없음"))</f>
      </c>
      <c r="H606" s="41">
        <f>IF($C606="","",IF($D606="CARD",ROUND($C606*'설정 Settings'!$C$34+'설정 Settings'!$C$35,2),0))</f>
      </c>
      <c r="I606" s="42">
        <f>IF($C606="","",IF($C606&gt;'설정 Settings'!$C$36,"$2,000 초과: 은행 한도 확인, 나눠 받기 (F36)",""))</f>
      </c>
      <c r="J606" s="41">
        <f>IF($B606="","",IFERROR(INDEX('작업 Jobs'!$P$3:$P$1002,MATCH($B606,'작업 Jobs'!$A$3:$A$1002,0)),""))</f>
      </c>
    </row>
    <row r="607" spans="7:10" x14ac:dyDescent="0.25">
      <c r="G607" s="42">
        <f>IF($B607="","",IFERROR(INDEX('작업 Jobs'!$D$3:$D$1002,MATCH($B607,'작업 Jobs'!$A$3:$A$1002,0)),"작업 ID 없음"))</f>
      </c>
      <c r="H607" s="41">
        <f>IF($C607="","",IF($D607="CARD",ROUND($C607*'설정 Settings'!$C$34+'설정 Settings'!$C$35,2),0))</f>
      </c>
      <c r="I607" s="42">
        <f>IF($C607="","",IF($C607&gt;'설정 Settings'!$C$36,"$2,000 초과: 은행 한도 확인, 나눠 받기 (F36)",""))</f>
      </c>
      <c r="J607" s="41">
        <f>IF($B607="","",IFERROR(INDEX('작업 Jobs'!$P$3:$P$1002,MATCH($B607,'작업 Jobs'!$A$3:$A$1002,0)),""))</f>
      </c>
    </row>
    <row r="608" spans="7:10" x14ac:dyDescent="0.25">
      <c r="G608" s="42">
        <f>IF($B608="","",IFERROR(INDEX('작업 Jobs'!$D$3:$D$1002,MATCH($B608,'작업 Jobs'!$A$3:$A$1002,0)),"작업 ID 없음"))</f>
      </c>
      <c r="H608" s="41">
        <f>IF($C608="","",IF($D608="CARD",ROUND($C608*'설정 Settings'!$C$34+'설정 Settings'!$C$35,2),0))</f>
      </c>
      <c r="I608" s="42">
        <f>IF($C608="","",IF($C608&gt;'설정 Settings'!$C$36,"$2,000 초과: 은행 한도 확인, 나눠 받기 (F36)",""))</f>
      </c>
      <c r="J608" s="41">
        <f>IF($B608="","",IFERROR(INDEX('작업 Jobs'!$P$3:$P$1002,MATCH($B608,'작업 Jobs'!$A$3:$A$1002,0)),""))</f>
      </c>
    </row>
    <row r="609" spans="7:10" x14ac:dyDescent="0.25">
      <c r="G609" s="42">
        <f>IF($B609="","",IFERROR(INDEX('작업 Jobs'!$D$3:$D$1002,MATCH($B609,'작업 Jobs'!$A$3:$A$1002,0)),"작업 ID 없음"))</f>
      </c>
      <c r="H609" s="41">
        <f>IF($C609="","",IF($D609="CARD",ROUND($C609*'설정 Settings'!$C$34+'설정 Settings'!$C$35,2),0))</f>
      </c>
      <c r="I609" s="42">
        <f>IF($C609="","",IF($C609&gt;'설정 Settings'!$C$36,"$2,000 초과: 은행 한도 확인, 나눠 받기 (F36)",""))</f>
      </c>
      <c r="J609" s="41">
        <f>IF($B609="","",IFERROR(INDEX('작업 Jobs'!$P$3:$P$1002,MATCH($B609,'작업 Jobs'!$A$3:$A$1002,0)),""))</f>
      </c>
    </row>
    <row r="610" spans="7:10" x14ac:dyDescent="0.25">
      <c r="G610" s="42">
        <f>IF($B610="","",IFERROR(INDEX('작업 Jobs'!$D$3:$D$1002,MATCH($B610,'작업 Jobs'!$A$3:$A$1002,0)),"작업 ID 없음"))</f>
      </c>
      <c r="H610" s="41">
        <f>IF($C610="","",IF($D610="CARD",ROUND($C610*'설정 Settings'!$C$34+'설정 Settings'!$C$35,2),0))</f>
      </c>
      <c r="I610" s="42">
        <f>IF($C610="","",IF($C610&gt;'설정 Settings'!$C$36,"$2,000 초과: 은행 한도 확인, 나눠 받기 (F36)",""))</f>
      </c>
      <c r="J610" s="41">
        <f>IF($B610="","",IFERROR(INDEX('작업 Jobs'!$P$3:$P$1002,MATCH($B610,'작업 Jobs'!$A$3:$A$1002,0)),""))</f>
      </c>
    </row>
    <row r="611" spans="7:10" x14ac:dyDescent="0.25">
      <c r="G611" s="42">
        <f>IF($B611="","",IFERROR(INDEX('작업 Jobs'!$D$3:$D$1002,MATCH($B611,'작업 Jobs'!$A$3:$A$1002,0)),"작업 ID 없음"))</f>
      </c>
      <c r="H611" s="41">
        <f>IF($C611="","",IF($D611="CARD",ROUND($C611*'설정 Settings'!$C$34+'설정 Settings'!$C$35,2),0))</f>
      </c>
      <c r="I611" s="42">
        <f>IF($C611="","",IF($C611&gt;'설정 Settings'!$C$36,"$2,000 초과: 은행 한도 확인, 나눠 받기 (F36)",""))</f>
      </c>
      <c r="J611" s="41">
        <f>IF($B611="","",IFERROR(INDEX('작업 Jobs'!$P$3:$P$1002,MATCH($B611,'작업 Jobs'!$A$3:$A$1002,0)),""))</f>
      </c>
    </row>
    <row r="612" spans="7:10" x14ac:dyDescent="0.25">
      <c r="G612" s="42">
        <f>IF($B612="","",IFERROR(INDEX('작업 Jobs'!$D$3:$D$1002,MATCH($B612,'작업 Jobs'!$A$3:$A$1002,0)),"작업 ID 없음"))</f>
      </c>
      <c r="H612" s="41">
        <f>IF($C612="","",IF($D612="CARD",ROUND($C612*'설정 Settings'!$C$34+'설정 Settings'!$C$35,2),0))</f>
      </c>
      <c r="I612" s="42">
        <f>IF($C612="","",IF($C612&gt;'설정 Settings'!$C$36,"$2,000 초과: 은행 한도 확인, 나눠 받기 (F36)",""))</f>
      </c>
      <c r="J612" s="41">
        <f>IF($B612="","",IFERROR(INDEX('작업 Jobs'!$P$3:$P$1002,MATCH($B612,'작업 Jobs'!$A$3:$A$1002,0)),""))</f>
      </c>
    </row>
    <row r="613" spans="7:10" x14ac:dyDescent="0.25">
      <c r="G613" s="42">
        <f>IF($B613="","",IFERROR(INDEX('작업 Jobs'!$D$3:$D$1002,MATCH($B613,'작업 Jobs'!$A$3:$A$1002,0)),"작업 ID 없음"))</f>
      </c>
      <c r="H613" s="41">
        <f>IF($C613="","",IF($D613="CARD",ROUND($C613*'설정 Settings'!$C$34+'설정 Settings'!$C$35,2),0))</f>
      </c>
      <c r="I613" s="42">
        <f>IF($C613="","",IF($C613&gt;'설정 Settings'!$C$36,"$2,000 초과: 은행 한도 확인, 나눠 받기 (F36)",""))</f>
      </c>
      <c r="J613" s="41">
        <f>IF($B613="","",IFERROR(INDEX('작업 Jobs'!$P$3:$P$1002,MATCH($B613,'작업 Jobs'!$A$3:$A$1002,0)),""))</f>
      </c>
    </row>
    <row r="614" spans="7:10" x14ac:dyDescent="0.25">
      <c r="G614" s="42">
        <f>IF($B614="","",IFERROR(INDEX('작업 Jobs'!$D$3:$D$1002,MATCH($B614,'작업 Jobs'!$A$3:$A$1002,0)),"작업 ID 없음"))</f>
      </c>
      <c r="H614" s="41">
        <f>IF($C614="","",IF($D614="CARD",ROUND($C614*'설정 Settings'!$C$34+'설정 Settings'!$C$35,2),0))</f>
      </c>
      <c r="I614" s="42">
        <f>IF($C614="","",IF($C614&gt;'설정 Settings'!$C$36,"$2,000 초과: 은행 한도 확인, 나눠 받기 (F36)",""))</f>
      </c>
      <c r="J614" s="41">
        <f>IF($B614="","",IFERROR(INDEX('작업 Jobs'!$P$3:$P$1002,MATCH($B614,'작업 Jobs'!$A$3:$A$1002,0)),""))</f>
      </c>
    </row>
    <row r="615" spans="7:10" x14ac:dyDescent="0.25">
      <c r="G615" s="42">
        <f>IF($B615="","",IFERROR(INDEX('작업 Jobs'!$D$3:$D$1002,MATCH($B615,'작업 Jobs'!$A$3:$A$1002,0)),"작업 ID 없음"))</f>
      </c>
      <c r="H615" s="41">
        <f>IF($C615="","",IF($D615="CARD",ROUND($C615*'설정 Settings'!$C$34+'설정 Settings'!$C$35,2),0))</f>
      </c>
      <c r="I615" s="42">
        <f>IF($C615="","",IF($C615&gt;'설정 Settings'!$C$36,"$2,000 초과: 은행 한도 확인, 나눠 받기 (F36)",""))</f>
      </c>
      <c r="J615" s="41">
        <f>IF($B615="","",IFERROR(INDEX('작업 Jobs'!$P$3:$P$1002,MATCH($B615,'작업 Jobs'!$A$3:$A$1002,0)),""))</f>
      </c>
    </row>
    <row r="616" spans="7:10" x14ac:dyDescent="0.25">
      <c r="G616" s="42">
        <f>IF($B616="","",IFERROR(INDEX('작업 Jobs'!$D$3:$D$1002,MATCH($B616,'작업 Jobs'!$A$3:$A$1002,0)),"작업 ID 없음"))</f>
      </c>
      <c r="H616" s="41">
        <f>IF($C616="","",IF($D616="CARD",ROUND($C616*'설정 Settings'!$C$34+'설정 Settings'!$C$35,2),0))</f>
      </c>
      <c r="I616" s="42">
        <f>IF($C616="","",IF($C616&gt;'설정 Settings'!$C$36,"$2,000 초과: 은행 한도 확인, 나눠 받기 (F36)",""))</f>
      </c>
      <c r="J616" s="41">
        <f>IF($B616="","",IFERROR(INDEX('작업 Jobs'!$P$3:$P$1002,MATCH($B616,'작업 Jobs'!$A$3:$A$1002,0)),""))</f>
      </c>
    </row>
    <row r="617" spans="7:10" x14ac:dyDescent="0.25">
      <c r="G617" s="42">
        <f>IF($B617="","",IFERROR(INDEX('작업 Jobs'!$D$3:$D$1002,MATCH($B617,'작업 Jobs'!$A$3:$A$1002,0)),"작업 ID 없음"))</f>
      </c>
      <c r="H617" s="41">
        <f>IF($C617="","",IF($D617="CARD",ROUND($C617*'설정 Settings'!$C$34+'설정 Settings'!$C$35,2),0))</f>
      </c>
      <c r="I617" s="42">
        <f>IF($C617="","",IF($C617&gt;'설정 Settings'!$C$36,"$2,000 초과: 은행 한도 확인, 나눠 받기 (F36)",""))</f>
      </c>
      <c r="J617" s="41">
        <f>IF($B617="","",IFERROR(INDEX('작업 Jobs'!$P$3:$P$1002,MATCH($B617,'작업 Jobs'!$A$3:$A$1002,0)),""))</f>
      </c>
    </row>
    <row r="618" spans="7:10" x14ac:dyDescent="0.25">
      <c r="G618" s="42">
        <f>IF($B618="","",IFERROR(INDEX('작업 Jobs'!$D$3:$D$1002,MATCH($B618,'작업 Jobs'!$A$3:$A$1002,0)),"작업 ID 없음"))</f>
      </c>
      <c r="H618" s="41">
        <f>IF($C618="","",IF($D618="CARD",ROUND($C618*'설정 Settings'!$C$34+'설정 Settings'!$C$35,2),0))</f>
      </c>
      <c r="I618" s="42">
        <f>IF($C618="","",IF($C618&gt;'설정 Settings'!$C$36,"$2,000 초과: 은행 한도 확인, 나눠 받기 (F36)",""))</f>
      </c>
      <c r="J618" s="41">
        <f>IF($B618="","",IFERROR(INDEX('작업 Jobs'!$P$3:$P$1002,MATCH($B618,'작업 Jobs'!$A$3:$A$1002,0)),""))</f>
      </c>
    </row>
    <row r="619" spans="7:10" x14ac:dyDescent="0.25">
      <c r="G619" s="42">
        <f>IF($B619="","",IFERROR(INDEX('작업 Jobs'!$D$3:$D$1002,MATCH($B619,'작업 Jobs'!$A$3:$A$1002,0)),"작업 ID 없음"))</f>
      </c>
      <c r="H619" s="41">
        <f>IF($C619="","",IF($D619="CARD",ROUND($C619*'설정 Settings'!$C$34+'설정 Settings'!$C$35,2),0))</f>
      </c>
      <c r="I619" s="42">
        <f>IF($C619="","",IF($C619&gt;'설정 Settings'!$C$36,"$2,000 초과: 은행 한도 확인, 나눠 받기 (F36)",""))</f>
      </c>
      <c r="J619" s="41">
        <f>IF($B619="","",IFERROR(INDEX('작업 Jobs'!$P$3:$P$1002,MATCH($B619,'작업 Jobs'!$A$3:$A$1002,0)),""))</f>
      </c>
    </row>
    <row r="620" spans="7:10" x14ac:dyDescent="0.25">
      <c r="G620" s="42">
        <f>IF($B620="","",IFERROR(INDEX('작업 Jobs'!$D$3:$D$1002,MATCH($B620,'작업 Jobs'!$A$3:$A$1002,0)),"작업 ID 없음"))</f>
      </c>
      <c r="H620" s="41">
        <f>IF($C620="","",IF($D620="CARD",ROUND($C620*'설정 Settings'!$C$34+'설정 Settings'!$C$35,2),0))</f>
      </c>
      <c r="I620" s="42">
        <f>IF($C620="","",IF($C620&gt;'설정 Settings'!$C$36,"$2,000 초과: 은행 한도 확인, 나눠 받기 (F36)",""))</f>
      </c>
      <c r="J620" s="41">
        <f>IF($B620="","",IFERROR(INDEX('작업 Jobs'!$P$3:$P$1002,MATCH($B620,'작업 Jobs'!$A$3:$A$1002,0)),""))</f>
      </c>
    </row>
    <row r="621" spans="7:10" x14ac:dyDescent="0.25">
      <c r="G621" s="42">
        <f>IF($B621="","",IFERROR(INDEX('작업 Jobs'!$D$3:$D$1002,MATCH($B621,'작업 Jobs'!$A$3:$A$1002,0)),"작업 ID 없음"))</f>
      </c>
      <c r="H621" s="41">
        <f>IF($C621="","",IF($D621="CARD",ROUND($C621*'설정 Settings'!$C$34+'설정 Settings'!$C$35,2),0))</f>
      </c>
      <c r="I621" s="42">
        <f>IF($C621="","",IF($C621&gt;'설정 Settings'!$C$36,"$2,000 초과: 은행 한도 확인, 나눠 받기 (F36)",""))</f>
      </c>
      <c r="J621" s="41">
        <f>IF($B621="","",IFERROR(INDEX('작업 Jobs'!$P$3:$P$1002,MATCH($B621,'작업 Jobs'!$A$3:$A$1002,0)),""))</f>
      </c>
    </row>
    <row r="622" spans="7:10" x14ac:dyDescent="0.25">
      <c r="G622" s="42">
        <f>IF($B622="","",IFERROR(INDEX('작업 Jobs'!$D$3:$D$1002,MATCH($B622,'작업 Jobs'!$A$3:$A$1002,0)),"작업 ID 없음"))</f>
      </c>
      <c r="H622" s="41">
        <f>IF($C622="","",IF($D622="CARD",ROUND($C622*'설정 Settings'!$C$34+'설정 Settings'!$C$35,2),0))</f>
      </c>
      <c r="I622" s="42">
        <f>IF($C622="","",IF($C622&gt;'설정 Settings'!$C$36,"$2,000 초과: 은행 한도 확인, 나눠 받기 (F36)",""))</f>
      </c>
      <c r="J622" s="41">
        <f>IF($B622="","",IFERROR(INDEX('작업 Jobs'!$P$3:$P$1002,MATCH($B622,'작업 Jobs'!$A$3:$A$1002,0)),""))</f>
      </c>
    </row>
    <row r="623" spans="7:10" x14ac:dyDescent="0.25">
      <c r="G623" s="42">
        <f>IF($B623="","",IFERROR(INDEX('작업 Jobs'!$D$3:$D$1002,MATCH($B623,'작업 Jobs'!$A$3:$A$1002,0)),"작업 ID 없음"))</f>
      </c>
      <c r="H623" s="41">
        <f>IF($C623="","",IF($D623="CARD",ROUND($C623*'설정 Settings'!$C$34+'설정 Settings'!$C$35,2),0))</f>
      </c>
      <c r="I623" s="42">
        <f>IF($C623="","",IF($C623&gt;'설정 Settings'!$C$36,"$2,000 초과: 은행 한도 확인, 나눠 받기 (F36)",""))</f>
      </c>
      <c r="J623" s="41">
        <f>IF($B623="","",IFERROR(INDEX('작업 Jobs'!$P$3:$P$1002,MATCH($B623,'작업 Jobs'!$A$3:$A$1002,0)),""))</f>
      </c>
    </row>
    <row r="624" spans="7:10" x14ac:dyDescent="0.25">
      <c r="G624" s="42">
        <f>IF($B624="","",IFERROR(INDEX('작업 Jobs'!$D$3:$D$1002,MATCH($B624,'작업 Jobs'!$A$3:$A$1002,0)),"작업 ID 없음"))</f>
      </c>
      <c r="H624" s="41">
        <f>IF($C624="","",IF($D624="CARD",ROUND($C624*'설정 Settings'!$C$34+'설정 Settings'!$C$35,2),0))</f>
      </c>
      <c r="I624" s="42">
        <f>IF($C624="","",IF($C624&gt;'설정 Settings'!$C$36,"$2,000 초과: 은행 한도 확인, 나눠 받기 (F36)",""))</f>
      </c>
      <c r="J624" s="41">
        <f>IF($B624="","",IFERROR(INDEX('작업 Jobs'!$P$3:$P$1002,MATCH($B624,'작업 Jobs'!$A$3:$A$1002,0)),""))</f>
      </c>
    </row>
    <row r="625" spans="7:10" x14ac:dyDescent="0.25">
      <c r="G625" s="42">
        <f>IF($B625="","",IFERROR(INDEX('작업 Jobs'!$D$3:$D$1002,MATCH($B625,'작업 Jobs'!$A$3:$A$1002,0)),"작업 ID 없음"))</f>
      </c>
      <c r="H625" s="41">
        <f>IF($C625="","",IF($D625="CARD",ROUND($C625*'설정 Settings'!$C$34+'설정 Settings'!$C$35,2),0))</f>
      </c>
      <c r="I625" s="42">
        <f>IF($C625="","",IF($C625&gt;'설정 Settings'!$C$36,"$2,000 초과: 은행 한도 확인, 나눠 받기 (F36)",""))</f>
      </c>
      <c r="J625" s="41">
        <f>IF($B625="","",IFERROR(INDEX('작업 Jobs'!$P$3:$P$1002,MATCH($B625,'작업 Jobs'!$A$3:$A$1002,0)),""))</f>
      </c>
    </row>
    <row r="626" spans="7:10" x14ac:dyDescent="0.25">
      <c r="G626" s="42">
        <f>IF($B626="","",IFERROR(INDEX('작업 Jobs'!$D$3:$D$1002,MATCH($B626,'작업 Jobs'!$A$3:$A$1002,0)),"작업 ID 없음"))</f>
      </c>
      <c r="H626" s="41">
        <f>IF($C626="","",IF($D626="CARD",ROUND($C626*'설정 Settings'!$C$34+'설정 Settings'!$C$35,2),0))</f>
      </c>
      <c r="I626" s="42">
        <f>IF($C626="","",IF($C626&gt;'설정 Settings'!$C$36,"$2,000 초과: 은행 한도 확인, 나눠 받기 (F36)",""))</f>
      </c>
      <c r="J626" s="41">
        <f>IF($B626="","",IFERROR(INDEX('작업 Jobs'!$P$3:$P$1002,MATCH($B626,'작업 Jobs'!$A$3:$A$1002,0)),""))</f>
      </c>
    </row>
    <row r="627" spans="7:10" x14ac:dyDescent="0.25">
      <c r="G627" s="42">
        <f>IF($B627="","",IFERROR(INDEX('작업 Jobs'!$D$3:$D$1002,MATCH($B627,'작업 Jobs'!$A$3:$A$1002,0)),"작업 ID 없음"))</f>
      </c>
      <c r="H627" s="41">
        <f>IF($C627="","",IF($D627="CARD",ROUND($C627*'설정 Settings'!$C$34+'설정 Settings'!$C$35,2),0))</f>
      </c>
      <c r="I627" s="42">
        <f>IF($C627="","",IF($C627&gt;'설정 Settings'!$C$36,"$2,000 초과: 은행 한도 확인, 나눠 받기 (F36)",""))</f>
      </c>
      <c r="J627" s="41">
        <f>IF($B627="","",IFERROR(INDEX('작업 Jobs'!$P$3:$P$1002,MATCH($B627,'작업 Jobs'!$A$3:$A$1002,0)),""))</f>
      </c>
    </row>
    <row r="628" spans="7:10" x14ac:dyDescent="0.25">
      <c r="G628" s="42">
        <f>IF($B628="","",IFERROR(INDEX('작업 Jobs'!$D$3:$D$1002,MATCH($B628,'작업 Jobs'!$A$3:$A$1002,0)),"작업 ID 없음"))</f>
      </c>
      <c r="H628" s="41">
        <f>IF($C628="","",IF($D628="CARD",ROUND($C628*'설정 Settings'!$C$34+'설정 Settings'!$C$35,2),0))</f>
      </c>
      <c r="I628" s="42">
        <f>IF($C628="","",IF($C628&gt;'설정 Settings'!$C$36,"$2,000 초과: 은행 한도 확인, 나눠 받기 (F36)",""))</f>
      </c>
      <c r="J628" s="41">
        <f>IF($B628="","",IFERROR(INDEX('작업 Jobs'!$P$3:$P$1002,MATCH($B628,'작업 Jobs'!$A$3:$A$1002,0)),""))</f>
      </c>
    </row>
    <row r="629" spans="7:10" x14ac:dyDescent="0.25">
      <c r="G629" s="42">
        <f>IF($B629="","",IFERROR(INDEX('작업 Jobs'!$D$3:$D$1002,MATCH($B629,'작업 Jobs'!$A$3:$A$1002,0)),"작업 ID 없음"))</f>
      </c>
      <c r="H629" s="41">
        <f>IF($C629="","",IF($D629="CARD",ROUND($C629*'설정 Settings'!$C$34+'설정 Settings'!$C$35,2),0))</f>
      </c>
      <c r="I629" s="42">
        <f>IF($C629="","",IF($C629&gt;'설정 Settings'!$C$36,"$2,000 초과: 은행 한도 확인, 나눠 받기 (F36)",""))</f>
      </c>
      <c r="J629" s="41">
        <f>IF($B629="","",IFERROR(INDEX('작업 Jobs'!$P$3:$P$1002,MATCH($B629,'작업 Jobs'!$A$3:$A$1002,0)),""))</f>
      </c>
    </row>
    <row r="630" spans="7:10" x14ac:dyDescent="0.25">
      <c r="G630" s="42">
        <f>IF($B630="","",IFERROR(INDEX('작업 Jobs'!$D$3:$D$1002,MATCH($B630,'작업 Jobs'!$A$3:$A$1002,0)),"작업 ID 없음"))</f>
      </c>
      <c r="H630" s="41">
        <f>IF($C630="","",IF($D630="CARD",ROUND($C630*'설정 Settings'!$C$34+'설정 Settings'!$C$35,2),0))</f>
      </c>
      <c r="I630" s="42">
        <f>IF($C630="","",IF($C630&gt;'설정 Settings'!$C$36,"$2,000 초과: 은행 한도 확인, 나눠 받기 (F36)",""))</f>
      </c>
      <c r="J630" s="41">
        <f>IF($B630="","",IFERROR(INDEX('작업 Jobs'!$P$3:$P$1002,MATCH($B630,'작업 Jobs'!$A$3:$A$1002,0)),""))</f>
      </c>
    </row>
    <row r="631" spans="7:10" x14ac:dyDescent="0.25">
      <c r="G631" s="42">
        <f>IF($B631="","",IFERROR(INDEX('작업 Jobs'!$D$3:$D$1002,MATCH($B631,'작업 Jobs'!$A$3:$A$1002,0)),"작업 ID 없음"))</f>
      </c>
      <c r="H631" s="41">
        <f>IF($C631="","",IF($D631="CARD",ROUND($C631*'설정 Settings'!$C$34+'설정 Settings'!$C$35,2),0))</f>
      </c>
      <c r="I631" s="42">
        <f>IF($C631="","",IF($C631&gt;'설정 Settings'!$C$36,"$2,000 초과: 은행 한도 확인, 나눠 받기 (F36)",""))</f>
      </c>
      <c r="J631" s="41">
        <f>IF($B631="","",IFERROR(INDEX('작업 Jobs'!$P$3:$P$1002,MATCH($B631,'작업 Jobs'!$A$3:$A$1002,0)),""))</f>
      </c>
    </row>
    <row r="632" spans="7:10" x14ac:dyDescent="0.25">
      <c r="G632" s="42">
        <f>IF($B632="","",IFERROR(INDEX('작업 Jobs'!$D$3:$D$1002,MATCH($B632,'작업 Jobs'!$A$3:$A$1002,0)),"작업 ID 없음"))</f>
      </c>
      <c r="H632" s="41">
        <f>IF($C632="","",IF($D632="CARD",ROUND($C632*'설정 Settings'!$C$34+'설정 Settings'!$C$35,2),0))</f>
      </c>
      <c r="I632" s="42">
        <f>IF($C632="","",IF($C632&gt;'설정 Settings'!$C$36,"$2,000 초과: 은행 한도 확인, 나눠 받기 (F36)",""))</f>
      </c>
      <c r="J632" s="41">
        <f>IF($B632="","",IFERROR(INDEX('작업 Jobs'!$P$3:$P$1002,MATCH($B632,'작업 Jobs'!$A$3:$A$1002,0)),""))</f>
      </c>
    </row>
    <row r="633" spans="7:10" x14ac:dyDescent="0.25">
      <c r="G633" s="42">
        <f>IF($B633="","",IFERROR(INDEX('작업 Jobs'!$D$3:$D$1002,MATCH($B633,'작업 Jobs'!$A$3:$A$1002,0)),"작업 ID 없음"))</f>
      </c>
      <c r="H633" s="41">
        <f>IF($C633="","",IF($D633="CARD",ROUND($C633*'설정 Settings'!$C$34+'설정 Settings'!$C$35,2),0))</f>
      </c>
      <c r="I633" s="42">
        <f>IF($C633="","",IF($C633&gt;'설정 Settings'!$C$36,"$2,000 초과: 은행 한도 확인, 나눠 받기 (F36)",""))</f>
      </c>
      <c r="J633" s="41">
        <f>IF($B633="","",IFERROR(INDEX('작업 Jobs'!$P$3:$P$1002,MATCH($B633,'작업 Jobs'!$A$3:$A$1002,0)),""))</f>
      </c>
    </row>
    <row r="634" spans="7:10" x14ac:dyDescent="0.25">
      <c r="G634" s="42">
        <f>IF($B634="","",IFERROR(INDEX('작업 Jobs'!$D$3:$D$1002,MATCH($B634,'작업 Jobs'!$A$3:$A$1002,0)),"작업 ID 없음"))</f>
      </c>
      <c r="H634" s="41">
        <f>IF($C634="","",IF($D634="CARD",ROUND($C634*'설정 Settings'!$C$34+'설정 Settings'!$C$35,2),0))</f>
      </c>
      <c r="I634" s="42">
        <f>IF($C634="","",IF($C634&gt;'설정 Settings'!$C$36,"$2,000 초과: 은행 한도 확인, 나눠 받기 (F36)",""))</f>
      </c>
      <c r="J634" s="41">
        <f>IF($B634="","",IFERROR(INDEX('작업 Jobs'!$P$3:$P$1002,MATCH($B634,'작업 Jobs'!$A$3:$A$1002,0)),""))</f>
      </c>
    </row>
    <row r="635" spans="7:10" x14ac:dyDescent="0.25">
      <c r="G635" s="42">
        <f>IF($B635="","",IFERROR(INDEX('작업 Jobs'!$D$3:$D$1002,MATCH($B635,'작업 Jobs'!$A$3:$A$1002,0)),"작업 ID 없음"))</f>
      </c>
      <c r="H635" s="41">
        <f>IF($C635="","",IF($D635="CARD",ROUND($C635*'설정 Settings'!$C$34+'설정 Settings'!$C$35,2),0))</f>
      </c>
      <c r="I635" s="42">
        <f>IF($C635="","",IF($C635&gt;'설정 Settings'!$C$36,"$2,000 초과: 은행 한도 확인, 나눠 받기 (F36)",""))</f>
      </c>
      <c r="J635" s="41">
        <f>IF($B635="","",IFERROR(INDEX('작업 Jobs'!$P$3:$P$1002,MATCH($B635,'작업 Jobs'!$A$3:$A$1002,0)),""))</f>
      </c>
    </row>
    <row r="636" spans="7:10" x14ac:dyDescent="0.25">
      <c r="G636" s="42">
        <f>IF($B636="","",IFERROR(INDEX('작업 Jobs'!$D$3:$D$1002,MATCH($B636,'작업 Jobs'!$A$3:$A$1002,0)),"작업 ID 없음"))</f>
      </c>
      <c r="H636" s="41">
        <f>IF($C636="","",IF($D636="CARD",ROUND($C636*'설정 Settings'!$C$34+'설정 Settings'!$C$35,2),0))</f>
      </c>
      <c r="I636" s="42">
        <f>IF($C636="","",IF($C636&gt;'설정 Settings'!$C$36,"$2,000 초과: 은행 한도 확인, 나눠 받기 (F36)",""))</f>
      </c>
      <c r="J636" s="41">
        <f>IF($B636="","",IFERROR(INDEX('작업 Jobs'!$P$3:$P$1002,MATCH($B636,'작업 Jobs'!$A$3:$A$1002,0)),""))</f>
      </c>
    </row>
    <row r="637" spans="7:10" x14ac:dyDescent="0.25">
      <c r="G637" s="42">
        <f>IF($B637="","",IFERROR(INDEX('작업 Jobs'!$D$3:$D$1002,MATCH($B637,'작업 Jobs'!$A$3:$A$1002,0)),"작업 ID 없음"))</f>
      </c>
      <c r="H637" s="41">
        <f>IF($C637="","",IF($D637="CARD",ROUND($C637*'설정 Settings'!$C$34+'설정 Settings'!$C$35,2),0))</f>
      </c>
      <c r="I637" s="42">
        <f>IF($C637="","",IF($C637&gt;'설정 Settings'!$C$36,"$2,000 초과: 은행 한도 확인, 나눠 받기 (F36)",""))</f>
      </c>
      <c r="J637" s="41">
        <f>IF($B637="","",IFERROR(INDEX('작업 Jobs'!$P$3:$P$1002,MATCH($B637,'작업 Jobs'!$A$3:$A$1002,0)),""))</f>
      </c>
    </row>
    <row r="638" spans="7:10" x14ac:dyDescent="0.25">
      <c r="G638" s="42">
        <f>IF($B638="","",IFERROR(INDEX('작업 Jobs'!$D$3:$D$1002,MATCH($B638,'작업 Jobs'!$A$3:$A$1002,0)),"작업 ID 없음"))</f>
      </c>
      <c r="H638" s="41">
        <f>IF($C638="","",IF($D638="CARD",ROUND($C638*'설정 Settings'!$C$34+'설정 Settings'!$C$35,2),0))</f>
      </c>
      <c r="I638" s="42">
        <f>IF($C638="","",IF($C638&gt;'설정 Settings'!$C$36,"$2,000 초과: 은행 한도 확인, 나눠 받기 (F36)",""))</f>
      </c>
      <c r="J638" s="41">
        <f>IF($B638="","",IFERROR(INDEX('작업 Jobs'!$P$3:$P$1002,MATCH($B638,'작업 Jobs'!$A$3:$A$1002,0)),""))</f>
      </c>
    </row>
    <row r="639" spans="7:10" x14ac:dyDescent="0.25">
      <c r="G639" s="42">
        <f>IF($B639="","",IFERROR(INDEX('작업 Jobs'!$D$3:$D$1002,MATCH($B639,'작업 Jobs'!$A$3:$A$1002,0)),"작업 ID 없음"))</f>
      </c>
      <c r="H639" s="41">
        <f>IF($C639="","",IF($D639="CARD",ROUND($C639*'설정 Settings'!$C$34+'설정 Settings'!$C$35,2),0))</f>
      </c>
      <c r="I639" s="42">
        <f>IF($C639="","",IF($C639&gt;'설정 Settings'!$C$36,"$2,000 초과: 은행 한도 확인, 나눠 받기 (F36)",""))</f>
      </c>
      <c r="J639" s="41">
        <f>IF($B639="","",IFERROR(INDEX('작업 Jobs'!$P$3:$P$1002,MATCH($B639,'작업 Jobs'!$A$3:$A$1002,0)),""))</f>
      </c>
    </row>
    <row r="640" spans="7:10" x14ac:dyDescent="0.25">
      <c r="G640" s="42">
        <f>IF($B640="","",IFERROR(INDEX('작업 Jobs'!$D$3:$D$1002,MATCH($B640,'작업 Jobs'!$A$3:$A$1002,0)),"작업 ID 없음"))</f>
      </c>
      <c r="H640" s="41">
        <f>IF($C640="","",IF($D640="CARD",ROUND($C640*'설정 Settings'!$C$34+'설정 Settings'!$C$35,2),0))</f>
      </c>
      <c r="I640" s="42">
        <f>IF($C640="","",IF($C640&gt;'설정 Settings'!$C$36,"$2,000 초과: 은행 한도 확인, 나눠 받기 (F36)",""))</f>
      </c>
      <c r="J640" s="41">
        <f>IF($B640="","",IFERROR(INDEX('작업 Jobs'!$P$3:$P$1002,MATCH($B640,'작업 Jobs'!$A$3:$A$1002,0)),""))</f>
      </c>
    </row>
    <row r="641" spans="7:10" x14ac:dyDescent="0.25">
      <c r="G641" s="42">
        <f>IF($B641="","",IFERROR(INDEX('작업 Jobs'!$D$3:$D$1002,MATCH($B641,'작업 Jobs'!$A$3:$A$1002,0)),"작업 ID 없음"))</f>
      </c>
      <c r="H641" s="41">
        <f>IF($C641="","",IF($D641="CARD",ROUND($C641*'설정 Settings'!$C$34+'설정 Settings'!$C$35,2),0))</f>
      </c>
      <c r="I641" s="42">
        <f>IF($C641="","",IF($C641&gt;'설정 Settings'!$C$36,"$2,000 초과: 은행 한도 확인, 나눠 받기 (F36)",""))</f>
      </c>
      <c r="J641" s="41">
        <f>IF($B641="","",IFERROR(INDEX('작업 Jobs'!$P$3:$P$1002,MATCH($B641,'작업 Jobs'!$A$3:$A$1002,0)),""))</f>
      </c>
    </row>
    <row r="642" spans="7:10" x14ac:dyDescent="0.25">
      <c r="G642" s="42">
        <f>IF($B642="","",IFERROR(INDEX('작업 Jobs'!$D$3:$D$1002,MATCH($B642,'작업 Jobs'!$A$3:$A$1002,0)),"작업 ID 없음"))</f>
      </c>
      <c r="H642" s="41">
        <f>IF($C642="","",IF($D642="CARD",ROUND($C642*'설정 Settings'!$C$34+'설정 Settings'!$C$35,2),0))</f>
      </c>
      <c r="I642" s="42">
        <f>IF($C642="","",IF($C642&gt;'설정 Settings'!$C$36,"$2,000 초과: 은행 한도 확인, 나눠 받기 (F36)",""))</f>
      </c>
      <c r="J642" s="41">
        <f>IF($B642="","",IFERROR(INDEX('작업 Jobs'!$P$3:$P$1002,MATCH($B642,'작업 Jobs'!$A$3:$A$1002,0)),""))</f>
      </c>
    </row>
    <row r="643" spans="7:10" x14ac:dyDescent="0.25">
      <c r="G643" s="42">
        <f>IF($B643="","",IFERROR(INDEX('작업 Jobs'!$D$3:$D$1002,MATCH($B643,'작업 Jobs'!$A$3:$A$1002,0)),"작업 ID 없음"))</f>
      </c>
      <c r="H643" s="41">
        <f>IF($C643="","",IF($D643="CARD",ROUND($C643*'설정 Settings'!$C$34+'설정 Settings'!$C$35,2),0))</f>
      </c>
      <c r="I643" s="42">
        <f>IF($C643="","",IF($C643&gt;'설정 Settings'!$C$36,"$2,000 초과: 은행 한도 확인, 나눠 받기 (F36)",""))</f>
      </c>
      <c r="J643" s="41">
        <f>IF($B643="","",IFERROR(INDEX('작업 Jobs'!$P$3:$P$1002,MATCH($B643,'작업 Jobs'!$A$3:$A$1002,0)),""))</f>
      </c>
    </row>
    <row r="644" spans="7:10" x14ac:dyDescent="0.25">
      <c r="G644" s="42">
        <f>IF($B644="","",IFERROR(INDEX('작업 Jobs'!$D$3:$D$1002,MATCH($B644,'작업 Jobs'!$A$3:$A$1002,0)),"작업 ID 없음"))</f>
      </c>
      <c r="H644" s="41">
        <f>IF($C644="","",IF($D644="CARD",ROUND($C644*'설정 Settings'!$C$34+'설정 Settings'!$C$35,2),0))</f>
      </c>
      <c r="I644" s="42">
        <f>IF($C644="","",IF($C644&gt;'설정 Settings'!$C$36,"$2,000 초과: 은행 한도 확인, 나눠 받기 (F36)",""))</f>
      </c>
      <c r="J644" s="41">
        <f>IF($B644="","",IFERROR(INDEX('작업 Jobs'!$P$3:$P$1002,MATCH($B644,'작업 Jobs'!$A$3:$A$1002,0)),""))</f>
      </c>
    </row>
    <row r="645" spans="7:10" x14ac:dyDescent="0.25">
      <c r="G645" s="42">
        <f>IF($B645="","",IFERROR(INDEX('작업 Jobs'!$D$3:$D$1002,MATCH($B645,'작업 Jobs'!$A$3:$A$1002,0)),"작업 ID 없음"))</f>
      </c>
      <c r="H645" s="41">
        <f>IF($C645="","",IF($D645="CARD",ROUND($C645*'설정 Settings'!$C$34+'설정 Settings'!$C$35,2),0))</f>
      </c>
      <c r="I645" s="42">
        <f>IF($C645="","",IF($C645&gt;'설정 Settings'!$C$36,"$2,000 초과: 은행 한도 확인, 나눠 받기 (F36)",""))</f>
      </c>
      <c r="J645" s="41">
        <f>IF($B645="","",IFERROR(INDEX('작업 Jobs'!$P$3:$P$1002,MATCH($B645,'작업 Jobs'!$A$3:$A$1002,0)),""))</f>
      </c>
    </row>
    <row r="646" spans="7:10" x14ac:dyDescent="0.25">
      <c r="G646" s="42">
        <f>IF($B646="","",IFERROR(INDEX('작업 Jobs'!$D$3:$D$1002,MATCH($B646,'작업 Jobs'!$A$3:$A$1002,0)),"작업 ID 없음"))</f>
      </c>
      <c r="H646" s="41">
        <f>IF($C646="","",IF($D646="CARD",ROUND($C646*'설정 Settings'!$C$34+'설정 Settings'!$C$35,2),0))</f>
      </c>
      <c r="I646" s="42">
        <f>IF($C646="","",IF($C646&gt;'설정 Settings'!$C$36,"$2,000 초과: 은행 한도 확인, 나눠 받기 (F36)",""))</f>
      </c>
      <c r="J646" s="41">
        <f>IF($B646="","",IFERROR(INDEX('작업 Jobs'!$P$3:$P$1002,MATCH($B646,'작업 Jobs'!$A$3:$A$1002,0)),""))</f>
      </c>
    </row>
    <row r="647" spans="7:10" x14ac:dyDescent="0.25">
      <c r="G647" s="42">
        <f>IF($B647="","",IFERROR(INDEX('작업 Jobs'!$D$3:$D$1002,MATCH($B647,'작업 Jobs'!$A$3:$A$1002,0)),"작업 ID 없음"))</f>
      </c>
      <c r="H647" s="41">
        <f>IF($C647="","",IF($D647="CARD",ROUND($C647*'설정 Settings'!$C$34+'설정 Settings'!$C$35,2),0))</f>
      </c>
      <c r="I647" s="42">
        <f>IF($C647="","",IF($C647&gt;'설정 Settings'!$C$36,"$2,000 초과: 은행 한도 확인, 나눠 받기 (F36)",""))</f>
      </c>
      <c r="J647" s="41">
        <f>IF($B647="","",IFERROR(INDEX('작업 Jobs'!$P$3:$P$1002,MATCH($B647,'작업 Jobs'!$A$3:$A$1002,0)),""))</f>
      </c>
    </row>
    <row r="648" spans="7:10" x14ac:dyDescent="0.25">
      <c r="G648" s="42">
        <f>IF($B648="","",IFERROR(INDEX('작업 Jobs'!$D$3:$D$1002,MATCH($B648,'작업 Jobs'!$A$3:$A$1002,0)),"작업 ID 없음"))</f>
      </c>
      <c r="H648" s="41">
        <f>IF($C648="","",IF($D648="CARD",ROUND($C648*'설정 Settings'!$C$34+'설정 Settings'!$C$35,2),0))</f>
      </c>
      <c r="I648" s="42">
        <f>IF($C648="","",IF($C648&gt;'설정 Settings'!$C$36,"$2,000 초과: 은행 한도 확인, 나눠 받기 (F36)",""))</f>
      </c>
      <c r="J648" s="41">
        <f>IF($B648="","",IFERROR(INDEX('작업 Jobs'!$P$3:$P$1002,MATCH($B648,'작업 Jobs'!$A$3:$A$1002,0)),""))</f>
      </c>
    </row>
    <row r="649" spans="7:10" x14ac:dyDescent="0.25">
      <c r="G649" s="42">
        <f>IF($B649="","",IFERROR(INDEX('작업 Jobs'!$D$3:$D$1002,MATCH($B649,'작업 Jobs'!$A$3:$A$1002,0)),"작업 ID 없음"))</f>
      </c>
      <c r="H649" s="41">
        <f>IF($C649="","",IF($D649="CARD",ROUND($C649*'설정 Settings'!$C$34+'설정 Settings'!$C$35,2),0))</f>
      </c>
      <c r="I649" s="42">
        <f>IF($C649="","",IF($C649&gt;'설정 Settings'!$C$36,"$2,000 초과: 은행 한도 확인, 나눠 받기 (F36)",""))</f>
      </c>
      <c r="J649" s="41">
        <f>IF($B649="","",IFERROR(INDEX('작업 Jobs'!$P$3:$P$1002,MATCH($B649,'작업 Jobs'!$A$3:$A$1002,0)),""))</f>
      </c>
    </row>
    <row r="650" spans="7:10" x14ac:dyDescent="0.25">
      <c r="G650" s="42">
        <f>IF($B650="","",IFERROR(INDEX('작업 Jobs'!$D$3:$D$1002,MATCH($B650,'작업 Jobs'!$A$3:$A$1002,0)),"작업 ID 없음"))</f>
      </c>
      <c r="H650" s="41">
        <f>IF($C650="","",IF($D650="CARD",ROUND($C650*'설정 Settings'!$C$34+'설정 Settings'!$C$35,2),0))</f>
      </c>
      <c r="I650" s="42">
        <f>IF($C650="","",IF($C650&gt;'설정 Settings'!$C$36,"$2,000 초과: 은행 한도 확인, 나눠 받기 (F36)",""))</f>
      </c>
      <c r="J650" s="41">
        <f>IF($B650="","",IFERROR(INDEX('작업 Jobs'!$P$3:$P$1002,MATCH($B650,'작업 Jobs'!$A$3:$A$1002,0)),""))</f>
      </c>
    </row>
    <row r="651" spans="7:10" x14ac:dyDescent="0.25">
      <c r="G651" s="42">
        <f>IF($B651="","",IFERROR(INDEX('작업 Jobs'!$D$3:$D$1002,MATCH($B651,'작업 Jobs'!$A$3:$A$1002,0)),"작업 ID 없음"))</f>
      </c>
      <c r="H651" s="41">
        <f>IF($C651="","",IF($D651="CARD",ROUND($C651*'설정 Settings'!$C$34+'설정 Settings'!$C$35,2),0))</f>
      </c>
      <c r="I651" s="42">
        <f>IF($C651="","",IF($C651&gt;'설정 Settings'!$C$36,"$2,000 초과: 은행 한도 확인, 나눠 받기 (F36)",""))</f>
      </c>
      <c r="J651" s="41">
        <f>IF($B651="","",IFERROR(INDEX('작업 Jobs'!$P$3:$P$1002,MATCH($B651,'작업 Jobs'!$A$3:$A$1002,0)),""))</f>
      </c>
    </row>
    <row r="652" spans="7:10" x14ac:dyDescent="0.25">
      <c r="G652" s="42">
        <f>IF($B652="","",IFERROR(INDEX('작업 Jobs'!$D$3:$D$1002,MATCH($B652,'작업 Jobs'!$A$3:$A$1002,0)),"작업 ID 없음"))</f>
      </c>
      <c r="H652" s="41">
        <f>IF($C652="","",IF($D652="CARD",ROUND($C652*'설정 Settings'!$C$34+'설정 Settings'!$C$35,2),0))</f>
      </c>
      <c r="I652" s="42">
        <f>IF($C652="","",IF($C652&gt;'설정 Settings'!$C$36,"$2,000 초과: 은행 한도 확인, 나눠 받기 (F36)",""))</f>
      </c>
      <c r="J652" s="41">
        <f>IF($B652="","",IFERROR(INDEX('작업 Jobs'!$P$3:$P$1002,MATCH($B652,'작업 Jobs'!$A$3:$A$1002,0)),""))</f>
      </c>
    </row>
    <row r="653" spans="7:10" x14ac:dyDescent="0.25">
      <c r="G653" s="42">
        <f>IF($B653="","",IFERROR(INDEX('작업 Jobs'!$D$3:$D$1002,MATCH($B653,'작업 Jobs'!$A$3:$A$1002,0)),"작업 ID 없음"))</f>
      </c>
      <c r="H653" s="41">
        <f>IF($C653="","",IF($D653="CARD",ROUND($C653*'설정 Settings'!$C$34+'설정 Settings'!$C$35,2),0))</f>
      </c>
      <c r="I653" s="42">
        <f>IF($C653="","",IF($C653&gt;'설정 Settings'!$C$36,"$2,000 초과: 은행 한도 확인, 나눠 받기 (F36)",""))</f>
      </c>
      <c r="J653" s="41">
        <f>IF($B653="","",IFERROR(INDEX('작업 Jobs'!$P$3:$P$1002,MATCH($B653,'작업 Jobs'!$A$3:$A$1002,0)),""))</f>
      </c>
    </row>
    <row r="654" spans="7:10" x14ac:dyDescent="0.25">
      <c r="G654" s="42">
        <f>IF($B654="","",IFERROR(INDEX('작업 Jobs'!$D$3:$D$1002,MATCH($B654,'작업 Jobs'!$A$3:$A$1002,0)),"작업 ID 없음"))</f>
      </c>
      <c r="H654" s="41">
        <f>IF($C654="","",IF($D654="CARD",ROUND($C654*'설정 Settings'!$C$34+'설정 Settings'!$C$35,2),0))</f>
      </c>
      <c r="I654" s="42">
        <f>IF($C654="","",IF($C654&gt;'설정 Settings'!$C$36,"$2,000 초과: 은행 한도 확인, 나눠 받기 (F36)",""))</f>
      </c>
      <c r="J654" s="41">
        <f>IF($B654="","",IFERROR(INDEX('작업 Jobs'!$P$3:$P$1002,MATCH($B654,'작업 Jobs'!$A$3:$A$1002,0)),""))</f>
      </c>
    </row>
    <row r="655" spans="7:10" x14ac:dyDescent="0.25">
      <c r="G655" s="42">
        <f>IF($B655="","",IFERROR(INDEX('작업 Jobs'!$D$3:$D$1002,MATCH($B655,'작업 Jobs'!$A$3:$A$1002,0)),"작업 ID 없음"))</f>
      </c>
      <c r="H655" s="41">
        <f>IF($C655="","",IF($D655="CARD",ROUND($C655*'설정 Settings'!$C$34+'설정 Settings'!$C$35,2),0))</f>
      </c>
      <c r="I655" s="42">
        <f>IF($C655="","",IF($C655&gt;'설정 Settings'!$C$36,"$2,000 초과: 은행 한도 확인, 나눠 받기 (F36)",""))</f>
      </c>
      <c r="J655" s="41">
        <f>IF($B655="","",IFERROR(INDEX('작업 Jobs'!$P$3:$P$1002,MATCH($B655,'작업 Jobs'!$A$3:$A$1002,0)),""))</f>
      </c>
    </row>
    <row r="656" spans="7:10" x14ac:dyDescent="0.25">
      <c r="G656" s="42">
        <f>IF($B656="","",IFERROR(INDEX('작업 Jobs'!$D$3:$D$1002,MATCH($B656,'작업 Jobs'!$A$3:$A$1002,0)),"작업 ID 없음"))</f>
      </c>
      <c r="H656" s="41">
        <f>IF($C656="","",IF($D656="CARD",ROUND($C656*'설정 Settings'!$C$34+'설정 Settings'!$C$35,2),0))</f>
      </c>
      <c r="I656" s="42">
        <f>IF($C656="","",IF($C656&gt;'설정 Settings'!$C$36,"$2,000 초과: 은행 한도 확인, 나눠 받기 (F36)",""))</f>
      </c>
      <c r="J656" s="41">
        <f>IF($B656="","",IFERROR(INDEX('작업 Jobs'!$P$3:$P$1002,MATCH($B656,'작업 Jobs'!$A$3:$A$1002,0)),""))</f>
      </c>
    </row>
    <row r="657" spans="7:10" x14ac:dyDescent="0.25">
      <c r="G657" s="42">
        <f>IF($B657="","",IFERROR(INDEX('작업 Jobs'!$D$3:$D$1002,MATCH($B657,'작업 Jobs'!$A$3:$A$1002,0)),"작업 ID 없음"))</f>
      </c>
      <c r="H657" s="41">
        <f>IF($C657="","",IF($D657="CARD",ROUND($C657*'설정 Settings'!$C$34+'설정 Settings'!$C$35,2),0))</f>
      </c>
      <c r="I657" s="42">
        <f>IF($C657="","",IF($C657&gt;'설정 Settings'!$C$36,"$2,000 초과: 은행 한도 확인, 나눠 받기 (F36)",""))</f>
      </c>
      <c r="J657" s="41">
        <f>IF($B657="","",IFERROR(INDEX('작업 Jobs'!$P$3:$P$1002,MATCH($B657,'작업 Jobs'!$A$3:$A$1002,0)),""))</f>
      </c>
    </row>
    <row r="658" spans="7:10" x14ac:dyDescent="0.25">
      <c r="G658" s="42">
        <f>IF($B658="","",IFERROR(INDEX('작업 Jobs'!$D$3:$D$1002,MATCH($B658,'작업 Jobs'!$A$3:$A$1002,0)),"작업 ID 없음"))</f>
      </c>
      <c r="H658" s="41">
        <f>IF($C658="","",IF($D658="CARD",ROUND($C658*'설정 Settings'!$C$34+'설정 Settings'!$C$35,2),0))</f>
      </c>
      <c r="I658" s="42">
        <f>IF($C658="","",IF($C658&gt;'설정 Settings'!$C$36,"$2,000 초과: 은행 한도 확인, 나눠 받기 (F36)",""))</f>
      </c>
      <c r="J658" s="41">
        <f>IF($B658="","",IFERROR(INDEX('작업 Jobs'!$P$3:$P$1002,MATCH($B658,'작업 Jobs'!$A$3:$A$1002,0)),""))</f>
      </c>
    </row>
    <row r="659" spans="7:10" x14ac:dyDescent="0.25">
      <c r="G659" s="42">
        <f>IF($B659="","",IFERROR(INDEX('작업 Jobs'!$D$3:$D$1002,MATCH($B659,'작업 Jobs'!$A$3:$A$1002,0)),"작업 ID 없음"))</f>
      </c>
      <c r="H659" s="41">
        <f>IF($C659="","",IF($D659="CARD",ROUND($C659*'설정 Settings'!$C$34+'설정 Settings'!$C$35,2),0))</f>
      </c>
      <c r="I659" s="42">
        <f>IF($C659="","",IF($C659&gt;'설정 Settings'!$C$36,"$2,000 초과: 은행 한도 확인, 나눠 받기 (F36)",""))</f>
      </c>
      <c r="J659" s="41">
        <f>IF($B659="","",IFERROR(INDEX('작업 Jobs'!$P$3:$P$1002,MATCH($B659,'작업 Jobs'!$A$3:$A$1002,0)),""))</f>
      </c>
    </row>
    <row r="660" spans="7:10" x14ac:dyDescent="0.25">
      <c r="G660" s="42">
        <f>IF($B660="","",IFERROR(INDEX('작업 Jobs'!$D$3:$D$1002,MATCH($B660,'작업 Jobs'!$A$3:$A$1002,0)),"작업 ID 없음"))</f>
      </c>
      <c r="H660" s="41">
        <f>IF($C660="","",IF($D660="CARD",ROUND($C660*'설정 Settings'!$C$34+'설정 Settings'!$C$35,2),0))</f>
      </c>
      <c r="I660" s="42">
        <f>IF($C660="","",IF($C660&gt;'설정 Settings'!$C$36,"$2,000 초과: 은행 한도 확인, 나눠 받기 (F36)",""))</f>
      </c>
      <c r="J660" s="41">
        <f>IF($B660="","",IFERROR(INDEX('작업 Jobs'!$P$3:$P$1002,MATCH($B660,'작업 Jobs'!$A$3:$A$1002,0)),""))</f>
      </c>
    </row>
    <row r="661" spans="7:10" x14ac:dyDescent="0.25">
      <c r="G661" s="42">
        <f>IF($B661="","",IFERROR(INDEX('작업 Jobs'!$D$3:$D$1002,MATCH($B661,'작업 Jobs'!$A$3:$A$1002,0)),"작업 ID 없음"))</f>
      </c>
      <c r="H661" s="41">
        <f>IF($C661="","",IF($D661="CARD",ROUND($C661*'설정 Settings'!$C$34+'설정 Settings'!$C$35,2),0))</f>
      </c>
      <c r="I661" s="42">
        <f>IF($C661="","",IF($C661&gt;'설정 Settings'!$C$36,"$2,000 초과: 은행 한도 확인, 나눠 받기 (F36)",""))</f>
      </c>
      <c r="J661" s="41">
        <f>IF($B661="","",IFERROR(INDEX('작업 Jobs'!$P$3:$P$1002,MATCH($B661,'작업 Jobs'!$A$3:$A$1002,0)),""))</f>
      </c>
    </row>
    <row r="662" spans="7:10" x14ac:dyDescent="0.25">
      <c r="G662" s="42">
        <f>IF($B662="","",IFERROR(INDEX('작업 Jobs'!$D$3:$D$1002,MATCH($B662,'작업 Jobs'!$A$3:$A$1002,0)),"작업 ID 없음"))</f>
      </c>
      <c r="H662" s="41">
        <f>IF($C662="","",IF($D662="CARD",ROUND($C662*'설정 Settings'!$C$34+'설정 Settings'!$C$35,2),0))</f>
      </c>
      <c r="I662" s="42">
        <f>IF($C662="","",IF($C662&gt;'설정 Settings'!$C$36,"$2,000 초과: 은행 한도 확인, 나눠 받기 (F36)",""))</f>
      </c>
      <c r="J662" s="41">
        <f>IF($B662="","",IFERROR(INDEX('작업 Jobs'!$P$3:$P$1002,MATCH($B662,'작업 Jobs'!$A$3:$A$1002,0)),""))</f>
      </c>
    </row>
    <row r="663" spans="7:10" x14ac:dyDescent="0.25">
      <c r="G663" s="42">
        <f>IF($B663="","",IFERROR(INDEX('작업 Jobs'!$D$3:$D$1002,MATCH($B663,'작업 Jobs'!$A$3:$A$1002,0)),"작업 ID 없음"))</f>
      </c>
      <c r="H663" s="41">
        <f>IF($C663="","",IF($D663="CARD",ROUND($C663*'설정 Settings'!$C$34+'설정 Settings'!$C$35,2),0))</f>
      </c>
      <c r="I663" s="42">
        <f>IF($C663="","",IF($C663&gt;'설정 Settings'!$C$36,"$2,000 초과: 은행 한도 확인, 나눠 받기 (F36)",""))</f>
      </c>
      <c r="J663" s="41">
        <f>IF($B663="","",IFERROR(INDEX('작업 Jobs'!$P$3:$P$1002,MATCH($B663,'작업 Jobs'!$A$3:$A$1002,0)),""))</f>
      </c>
    </row>
    <row r="664" spans="7:10" x14ac:dyDescent="0.25">
      <c r="G664" s="42">
        <f>IF($B664="","",IFERROR(INDEX('작업 Jobs'!$D$3:$D$1002,MATCH($B664,'작업 Jobs'!$A$3:$A$1002,0)),"작업 ID 없음"))</f>
      </c>
      <c r="H664" s="41">
        <f>IF($C664="","",IF($D664="CARD",ROUND($C664*'설정 Settings'!$C$34+'설정 Settings'!$C$35,2),0))</f>
      </c>
      <c r="I664" s="42">
        <f>IF($C664="","",IF($C664&gt;'설정 Settings'!$C$36,"$2,000 초과: 은행 한도 확인, 나눠 받기 (F36)",""))</f>
      </c>
      <c r="J664" s="41">
        <f>IF($B664="","",IFERROR(INDEX('작업 Jobs'!$P$3:$P$1002,MATCH($B664,'작업 Jobs'!$A$3:$A$1002,0)),""))</f>
      </c>
    </row>
    <row r="665" spans="7:10" x14ac:dyDescent="0.25">
      <c r="G665" s="42">
        <f>IF($B665="","",IFERROR(INDEX('작업 Jobs'!$D$3:$D$1002,MATCH($B665,'작업 Jobs'!$A$3:$A$1002,0)),"작업 ID 없음"))</f>
      </c>
      <c r="H665" s="41">
        <f>IF($C665="","",IF($D665="CARD",ROUND($C665*'설정 Settings'!$C$34+'설정 Settings'!$C$35,2),0))</f>
      </c>
      <c r="I665" s="42">
        <f>IF($C665="","",IF($C665&gt;'설정 Settings'!$C$36,"$2,000 초과: 은행 한도 확인, 나눠 받기 (F36)",""))</f>
      </c>
      <c r="J665" s="41">
        <f>IF($B665="","",IFERROR(INDEX('작업 Jobs'!$P$3:$P$1002,MATCH($B665,'작업 Jobs'!$A$3:$A$1002,0)),""))</f>
      </c>
    </row>
    <row r="666" spans="7:10" x14ac:dyDescent="0.25">
      <c r="G666" s="42">
        <f>IF($B666="","",IFERROR(INDEX('작업 Jobs'!$D$3:$D$1002,MATCH($B666,'작업 Jobs'!$A$3:$A$1002,0)),"작업 ID 없음"))</f>
      </c>
      <c r="H666" s="41">
        <f>IF($C666="","",IF($D666="CARD",ROUND($C666*'설정 Settings'!$C$34+'설정 Settings'!$C$35,2),0))</f>
      </c>
      <c r="I666" s="42">
        <f>IF($C666="","",IF($C666&gt;'설정 Settings'!$C$36,"$2,000 초과: 은행 한도 확인, 나눠 받기 (F36)",""))</f>
      </c>
      <c r="J666" s="41">
        <f>IF($B666="","",IFERROR(INDEX('작업 Jobs'!$P$3:$P$1002,MATCH($B666,'작업 Jobs'!$A$3:$A$1002,0)),""))</f>
      </c>
    </row>
    <row r="667" spans="7:10" x14ac:dyDescent="0.25">
      <c r="G667" s="42">
        <f>IF($B667="","",IFERROR(INDEX('작업 Jobs'!$D$3:$D$1002,MATCH($B667,'작업 Jobs'!$A$3:$A$1002,0)),"작업 ID 없음"))</f>
      </c>
      <c r="H667" s="41">
        <f>IF($C667="","",IF($D667="CARD",ROUND($C667*'설정 Settings'!$C$34+'설정 Settings'!$C$35,2),0))</f>
      </c>
      <c r="I667" s="42">
        <f>IF($C667="","",IF($C667&gt;'설정 Settings'!$C$36,"$2,000 초과: 은행 한도 확인, 나눠 받기 (F36)",""))</f>
      </c>
      <c r="J667" s="41">
        <f>IF($B667="","",IFERROR(INDEX('작업 Jobs'!$P$3:$P$1002,MATCH($B667,'작업 Jobs'!$A$3:$A$1002,0)),""))</f>
      </c>
    </row>
    <row r="668" spans="7:10" x14ac:dyDescent="0.25">
      <c r="G668" s="42">
        <f>IF($B668="","",IFERROR(INDEX('작업 Jobs'!$D$3:$D$1002,MATCH($B668,'작업 Jobs'!$A$3:$A$1002,0)),"작업 ID 없음"))</f>
      </c>
      <c r="H668" s="41">
        <f>IF($C668="","",IF($D668="CARD",ROUND($C668*'설정 Settings'!$C$34+'설정 Settings'!$C$35,2),0))</f>
      </c>
      <c r="I668" s="42">
        <f>IF($C668="","",IF($C668&gt;'설정 Settings'!$C$36,"$2,000 초과: 은행 한도 확인, 나눠 받기 (F36)",""))</f>
      </c>
      <c r="J668" s="41">
        <f>IF($B668="","",IFERROR(INDEX('작업 Jobs'!$P$3:$P$1002,MATCH($B668,'작업 Jobs'!$A$3:$A$1002,0)),""))</f>
      </c>
    </row>
    <row r="669" spans="7:10" x14ac:dyDescent="0.25">
      <c r="G669" s="42">
        <f>IF($B669="","",IFERROR(INDEX('작업 Jobs'!$D$3:$D$1002,MATCH($B669,'작업 Jobs'!$A$3:$A$1002,0)),"작업 ID 없음"))</f>
      </c>
      <c r="H669" s="41">
        <f>IF($C669="","",IF($D669="CARD",ROUND($C669*'설정 Settings'!$C$34+'설정 Settings'!$C$35,2),0))</f>
      </c>
      <c r="I669" s="42">
        <f>IF($C669="","",IF($C669&gt;'설정 Settings'!$C$36,"$2,000 초과: 은행 한도 확인, 나눠 받기 (F36)",""))</f>
      </c>
      <c r="J669" s="41">
        <f>IF($B669="","",IFERROR(INDEX('작업 Jobs'!$P$3:$P$1002,MATCH($B669,'작업 Jobs'!$A$3:$A$1002,0)),""))</f>
      </c>
    </row>
    <row r="670" spans="7:10" x14ac:dyDescent="0.25">
      <c r="G670" s="42">
        <f>IF($B670="","",IFERROR(INDEX('작업 Jobs'!$D$3:$D$1002,MATCH($B670,'작업 Jobs'!$A$3:$A$1002,0)),"작업 ID 없음"))</f>
      </c>
      <c r="H670" s="41">
        <f>IF($C670="","",IF($D670="CARD",ROUND($C670*'설정 Settings'!$C$34+'설정 Settings'!$C$35,2),0))</f>
      </c>
      <c r="I670" s="42">
        <f>IF($C670="","",IF($C670&gt;'설정 Settings'!$C$36,"$2,000 초과: 은행 한도 확인, 나눠 받기 (F36)",""))</f>
      </c>
      <c r="J670" s="41">
        <f>IF($B670="","",IFERROR(INDEX('작업 Jobs'!$P$3:$P$1002,MATCH($B670,'작업 Jobs'!$A$3:$A$1002,0)),""))</f>
      </c>
    </row>
    <row r="671" spans="7:10" x14ac:dyDescent="0.25">
      <c r="G671" s="42">
        <f>IF($B671="","",IFERROR(INDEX('작업 Jobs'!$D$3:$D$1002,MATCH($B671,'작업 Jobs'!$A$3:$A$1002,0)),"작업 ID 없음"))</f>
      </c>
      <c r="H671" s="41">
        <f>IF($C671="","",IF($D671="CARD",ROUND($C671*'설정 Settings'!$C$34+'설정 Settings'!$C$35,2),0))</f>
      </c>
      <c r="I671" s="42">
        <f>IF($C671="","",IF($C671&gt;'설정 Settings'!$C$36,"$2,000 초과: 은행 한도 확인, 나눠 받기 (F36)",""))</f>
      </c>
      <c r="J671" s="41">
        <f>IF($B671="","",IFERROR(INDEX('작업 Jobs'!$P$3:$P$1002,MATCH($B671,'작업 Jobs'!$A$3:$A$1002,0)),""))</f>
      </c>
    </row>
    <row r="672" spans="7:10" x14ac:dyDescent="0.25">
      <c r="G672" s="42">
        <f>IF($B672="","",IFERROR(INDEX('작업 Jobs'!$D$3:$D$1002,MATCH($B672,'작업 Jobs'!$A$3:$A$1002,0)),"작업 ID 없음"))</f>
      </c>
      <c r="H672" s="41">
        <f>IF($C672="","",IF($D672="CARD",ROUND($C672*'설정 Settings'!$C$34+'설정 Settings'!$C$35,2),0))</f>
      </c>
      <c r="I672" s="42">
        <f>IF($C672="","",IF($C672&gt;'설정 Settings'!$C$36,"$2,000 초과: 은행 한도 확인, 나눠 받기 (F36)",""))</f>
      </c>
      <c r="J672" s="41">
        <f>IF($B672="","",IFERROR(INDEX('작업 Jobs'!$P$3:$P$1002,MATCH($B672,'작업 Jobs'!$A$3:$A$1002,0)),""))</f>
      </c>
    </row>
    <row r="673" spans="7:10" x14ac:dyDescent="0.25">
      <c r="G673" s="42">
        <f>IF($B673="","",IFERROR(INDEX('작업 Jobs'!$D$3:$D$1002,MATCH($B673,'작업 Jobs'!$A$3:$A$1002,0)),"작업 ID 없음"))</f>
      </c>
      <c r="H673" s="41">
        <f>IF($C673="","",IF($D673="CARD",ROUND($C673*'설정 Settings'!$C$34+'설정 Settings'!$C$35,2),0))</f>
      </c>
      <c r="I673" s="42">
        <f>IF($C673="","",IF($C673&gt;'설정 Settings'!$C$36,"$2,000 초과: 은행 한도 확인, 나눠 받기 (F36)",""))</f>
      </c>
      <c r="J673" s="41">
        <f>IF($B673="","",IFERROR(INDEX('작업 Jobs'!$P$3:$P$1002,MATCH($B673,'작업 Jobs'!$A$3:$A$1002,0)),""))</f>
      </c>
    </row>
    <row r="674" spans="7:10" x14ac:dyDescent="0.25">
      <c r="G674" s="42">
        <f>IF($B674="","",IFERROR(INDEX('작업 Jobs'!$D$3:$D$1002,MATCH($B674,'작업 Jobs'!$A$3:$A$1002,0)),"작업 ID 없음"))</f>
      </c>
      <c r="H674" s="41">
        <f>IF($C674="","",IF($D674="CARD",ROUND($C674*'설정 Settings'!$C$34+'설정 Settings'!$C$35,2),0))</f>
      </c>
      <c r="I674" s="42">
        <f>IF($C674="","",IF($C674&gt;'설정 Settings'!$C$36,"$2,000 초과: 은행 한도 확인, 나눠 받기 (F36)",""))</f>
      </c>
      <c r="J674" s="41">
        <f>IF($B674="","",IFERROR(INDEX('작업 Jobs'!$P$3:$P$1002,MATCH($B674,'작업 Jobs'!$A$3:$A$1002,0)),""))</f>
      </c>
    </row>
    <row r="675" spans="7:10" x14ac:dyDescent="0.25">
      <c r="G675" s="42">
        <f>IF($B675="","",IFERROR(INDEX('작업 Jobs'!$D$3:$D$1002,MATCH($B675,'작업 Jobs'!$A$3:$A$1002,0)),"작업 ID 없음"))</f>
      </c>
      <c r="H675" s="41">
        <f>IF($C675="","",IF($D675="CARD",ROUND($C675*'설정 Settings'!$C$34+'설정 Settings'!$C$35,2),0))</f>
      </c>
      <c r="I675" s="42">
        <f>IF($C675="","",IF($C675&gt;'설정 Settings'!$C$36,"$2,000 초과: 은행 한도 확인, 나눠 받기 (F36)",""))</f>
      </c>
      <c r="J675" s="41">
        <f>IF($B675="","",IFERROR(INDEX('작업 Jobs'!$P$3:$P$1002,MATCH($B675,'작업 Jobs'!$A$3:$A$1002,0)),""))</f>
      </c>
    </row>
    <row r="676" spans="7:10" x14ac:dyDescent="0.25">
      <c r="G676" s="42">
        <f>IF($B676="","",IFERROR(INDEX('작업 Jobs'!$D$3:$D$1002,MATCH($B676,'작업 Jobs'!$A$3:$A$1002,0)),"작업 ID 없음"))</f>
      </c>
      <c r="H676" s="41">
        <f>IF($C676="","",IF($D676="CARD",ROUND($C676*'설정 Settings'!$C$34+'설정 Settings'!$C$35,2),0))</f>
      </c>
      <c r="I676" s="42">
        <f>IF($C676="","",IF($C676&gt;'설정 Settings'!$C$36,"$2,000 초과: 은행 한도 확인, 나눠 받기 (F36)",""))</f>
      </c>
      <c r="J676" s="41">
        <f>IF($B676="","",IFERROR(INDEX('작업 Jobs'!$P$3:$P$1002,MATCH($B676,'작업 Jobs'!$A$3:$A$1002,0)),""))</f>
      </c>
    </row>
    <row r="677" spans="7:10" x14ac:dyDescent="0.25">
      <c r="G677" s="42">
        <f>IF($B677="","",IFERROR(INDEX('작업 Jobs'!$D$3:$D$1002,MATCH($B677,'작업 Jobs'!$A$3:$A$1002,0)),"작업 ID 없음"))</f>
      </c>
      <c r="H677" s="41">
        <f>IF($C677="","",IF($D677="CARD",ROUND($C677*'설정 Settings'!$C$34+'설정 Settings'!$C$35,2),0))</f>
      </c>
      <c r="I677" s="42">
        <f>IF($C677="","",IF($C677&gt;'설정 Settings'!$C$36,"$2,000 초과: 은행 한도 확인, 나눠 받기 (F36)",""))</f>
      </c>
      <c r="J677" s="41">
        <f>IF($B677="","",IFERROR(INDEX('작업 Jobs'!$P$3:$P$1002,MATCH($B677,'작업 Jobs'!$A$3:$A$1002,0)),""))</f>
      </c>
    </row>
    <row r="678" spans="7:10" x14ac:dyDescent="0.25">
      <c r="G678" s="42">
        <f>IF($B678="","",IFERROR(INDEX('작업 Jobs'!$D$3:$D$1002,MATCH($B678,'작업 Jobs'!$A$3:$A$1002,0)),"작업 ID 없음"))</f>
      </c>
      <c r="H678" s="41">
        <f>IF($C678="","",IF($D678="CARD",ROUND($C678*'설정 Settings'!$C$34+'설정 Settings'!$C$35,2),0))</f>
      </c>
      <c r="I678" s="42">
        <f>IF($C678="","",IF($C678&gt;'설정 Settings'!$C$36,"$2,000 초과: 은행 한도 확인, 나눠 받기 (F36)",""))</f>
      </c>
      <c r="J678" s="41">
        <f>IF($B678="","",IFERROR(INDEX('작업 Jobs'!$P$3:$P$1002,MATCH($B678,'작업 Jobs'!$A$3:$A$1002,0)),""))</f>
      </c>
    </row>
    <row r="679" spans="7:10" x14ac:dyDescent="0.25">
      <c r="G679" s="42">
        <f>IF($B679="","",IFERROR(INDEX('작업 Jobs'!$D$3:$D$1002,MATCH($B679,'작업 Jobs'!$A$3:$A$1002,0)),"작업 ID 없음"))</f>
      </c>
      <c r="H679" s="41">
        <f>IF($C679="","",IF($D679="CARD",ROUND($C679*'설정 Settings'!$C$34+'설정 Settings'!$C$35,2),0))</f>
      </c>
      <c r="I679" s="42">
        <f>IF($C679="","",IF($C679&gt;'설정 Settings'!$C$36,"$2,000 초과: 은행 한도 확인, 나눠 받기 (F36)",""))</f>
      </c>
      <c r="J679" s="41">
        <f>IF($B679="","",IFERROR(INDEX('작업 Jobs'!$P$3:$P$1002,MATCH($B679,'작업 Jobs'!$A$3:$A$1002,0)),""))</f>
      </c>
    </row>
    <row r="680" spans="7:10" x14ac:dyDescent="0.25">
      <c r="G680" s="42">
        <f>IF($B680="","",IFERROR(INDEX('작업 Jobs'!$D$3:$D$1002,MATCH($B680,'작업 Jobs'!$A$3:$A$1002,0)),"작업 ID 없음"))</f>
      </c>
      <c r="H680" s="41">
        <f>IF($C680="","",IF($D680="CARD",ROUND($C680*'설정 Settings'!$C$34+'설정 Settings'!$C$35,2),0))</f>
      </c>
      <c r="I680" s="42">
        <f>IF($C680="","",IF($C680&gt;'설정 Settings'!$C$36,"$2,000 초과: 은행 한도 확인, 나눠 받기 (F36)",""))</f>
      </c>
      <c r="J680" s="41">
        <f>IF($B680="","",IFERROR(INDEX('작업 Jobs'!$P$3:$P$1002,MATCH($B680,'작업 Jobs'!$A$3:$A$1002,0)),""))</f>
      </c>
    </row>
    <row r="681" spans="7:10" x14ac:dyDescent="0.25">
      <c r="G681" s="42">
        <f>IF($B681="","",IFERROR(INDEX('작업 Jobs'!$D$3:$D$1002,MATCH($B681,'작업 Jobs'!$A$3:$A$1002,0)),"작업 ID 없음"))</f>
      </c>
      <c r="H681" s="41">
        <f>IF($C681="","",IF($D681="CARD",ROUND($C681*'설정 Settings'!$C$34+'설정 Settings'!$C$35,2),0))</f>
      </c>
      <c r="I681" s="42">
        <f>IF($C681="","",IF($C681&gt;'설정 Settings'!$C$36,"$2,000 초과: 은행 한도 확인, 나눠 받기 (F36)",""))</f>
      </c>
      <c r="J681" s="41">
        <f>IF($B681="","",IFERROR(INDEX('작업 Jobs'!$P$3:$P$1002,MATCH($B681,'작업 Jobs'!$A$3:$A$1002,0)),""))</f>
      </c>
    </row>
    <row r="682" spans="7:10" x14ac:dyDescent="0.25">
      <c r="G682" s="42">
        <f>IF($B682="","",IFERROR(INDEX('작업 Jobs'!$D$3:$D$1002,MATCH($B682,'작업 Jobs'!$A$3:$A$1002,0)),"작업 ID 없음"))</f>
      </c>
      <c r="H682" s="41">
        <f>IF($C682="","",IF($D682="CARD",ROUND($C682*'설정 Settings'!$C$34+'설정 Settings'!$C$35,2),0))</f>
      </c>
      <c r="I682" s="42">
        <f>IF($C682="","",IF($C682&gt;'설정 Settings'!$C$36,"$2,000 초과: 은행 한도 확인, 나눠 받기 (F36)",""))</f>
      </c>
      <c r="J682" s="41">
        <f>IF($B682="","",IFERROR(INDEX('작업 Jobs'!$P$3:$P$1002,MATCH($B682,'작업 Jobs'!$A$3:$A$1002,0)),""))</f>
      </c>
    </row>
    <row r="683" spans="7:10" x14ac:dyDescent="0.25">
      <c r="G683" s="42">
        <f>IF($B683="","",IFERROR(INDEX('작업 Jobs'!$D$3:$D$1002,MATCH($B683,'작업 Jobs'!$A$3:$A$1002,0)),"작업 ID 없음"))</f>
      </c>
      <c r="H683" s="41">
        <f>IF($C683="","",IF($D683="CARD",ROUND($C683*'설정 Settings'!$C$34+'설정 Settings'!$C$35,2),0))</f>
      </c>
      <c r="I683" s="42">
        <f>IF($C683="","",IF($C683&gt;'설정 Settings'!$C$36,"$2,000 초과: 은행 한도 확인, 나눠 받기 (F36)",""))</f>
      </c>
      <c r="J683" s="41">
        <f>IF($B683="","",IFERROR(INDEX('작업 Jobs'!$P$3:$P$1002,MATCH($B683,'작업 Jobs'!$A$3:$A$1002,0)),""))</f>
      </c>
    </row>
    <row r="684" spans="7:10" x14ac:dyDescent="0.25">
      <c r="G684" s="42">
        <f>IF($B684="","",IFERROR(INDEX('작업 Jobs'!$D$3:$D$1002,MATCH($B684,'작업 Jobs'!$A$3:$A$1002,0)),"작업 ID 없음"))</f>
      </c>
      <c r="H684" s="41">
        <f>IF($C684="","",IF($D684="CARD",ROUND($C684*'설정 Settings'!$C$34+'설정 Settings'!$C$35,2),0))</f>
      </c>
      <c r="I684" s="42">
        <f>IF($C684="","",IF($C684&gt;'설정 Settings'!$C$36,"$2,000 초과: 은행 한도 확인, 나눠 받기 (F36)",""))</f>
      </c>
      <c r="J684" s="41">
        <f>IF($B684="","",IFERROR(INDEX('작업 Jobs'!$P$3:$P$1002,MATCH($B684,'작업 Jobs'!$A$3:$A$1002,0)),""))</f>
      </c>
    </row>
    <row r="685" spans="7:10" x14ac:dyDescent="0.25">
      <c r="G685" s="42">
        <f>IF($B685="","",IFERROR(INDEX('작업 Jobs'!$D$3:$D$1002,MATCH($B685,'작업 Jobs'!$A$3:$A$1002,0)),"작업 ID 없음"))</f>
      </c>
      <c r="H685" s="41">
        <f>IF($C685="","",IF($D685="CARD",ROUND($C685*'설정 Settings'!$C$34+'설정 Settings'!$C$35,2),0))</f>
      </c>
      <c r="I685" s="42">
        <f>IF($C685="","",IF($C685&gt;'설정 Settings'!$C$36,"$2,000 초과: 은행 한도 확인, 나눠 받기 (F36)",""))</f>
      </c>
      <c r="J685" s="41">
        <f>IF($B685="","",IFERROR(INDEX('작업 Jobs'!$P$3:$P$1002,MATCH($B685,'작업 Jobs'!$A$3:$A$1002,0)),""))</f>
      </c>
    </row>
    <row r="686" spans="7:10" x14ac:dyDescent="0.25">
      <c r="G686" s="42">
        <f>IF($B686="","",IFERROR(INDEX('작업 Jobs'!$D$3:$D$1002,MATCH($B686,'작업 Jobs'!$A$3:$A$1002,0)),"작업 ID 없음"))</f>
      </c>
      <c r="H686" s="41">
        <f>IF($C686="","",IF($D686="CARD",ROUND($C686*'설정 Settings'!$C$34+'설정 Settings'!$C$35,2),0))</f>
      </c>
      <c r="I686" s="42">
        <f>IF($C686="","",IF($C686&gt;'설정 Settings'!$C$36,"$2,000 초과: 은행 한도 확인, 나눠 받기 (F36)",""))</f>
      </c>
      <c r="J686" s="41">
        <f>IF($B686="","",IFERROR(INDEX('작업 Jobs'!$P$3:$P$1002,MATCH($B686,'작업 Jobs'!$A$3:$A$1002,0)),""))</f>
      </c>
    </row>
    <row r="687" spans="7:10" x14ac:dyDescent="0.25">
      <c r="G687" s="42">
        <f>IF($B687="","",IFERROR(INDEX('작업 Jobs'!$D$3:$D$1002,MATCH($B687,'작업 Jobs'!$A$3:$A$1002,0)),"작업 ID 없음"))</f>
      </c>
      <c r="H687" s="41">
        <f>IF($C687="","",IF($D687="CARD",ROUND($C687*'설정 Settings'!$C$34+'설정 Settings'!$C$35,2),0))</f>
      </c>
      <c r="I687" s="42">
        <f>IF($C687="","",IF($C687&gt;'설정 Settings'!$C$36,"$2,000 초과: 은행 한도 확인, 나눠 받기 (F36)",""))</f>
      </c>
      <c r="J687" s="41">
        <f>IF($B687="","",IFERROR(INDEX('작업 Jobs'!$P$3:$P$1002,MATCH($B687,'작업 Jobs'!$A$3:$A$1002,0)),""))</f>
      </c>
    </row>
    <row r="688" spans="7:10" x14ac:dyDescent="0.25">
      <c r="G688" s="42">
        <f>IF($B688="","",IFERROR(INDEX('작업 Jobs'!$D$3:$D$1002,MATCH($B688,'작업 Jobs'!$A$3:$A$1002,0)),"작업 ID 없음"))</f>
      </c>
      <c r="H688" s="41">
        <f>IF($C688="","",IF($D688="CARD",ROUND($C688*'설정 Settings'!$C$34+'설정 Settings'!$C$35,2),0))</f>
      </c>
      <c r="I688" s="42">
        <f>IF($C688="","",IF($C688&gt;'설정 Settings'!$C$36,"$2,000 초과: 은행 한도 확인, 나눠 받기 (F36)",""))</f>
      </c>
      <c r="J688" s="41">
        <f>IF($B688="","",IFERROR(INDEX('작업 Jobs'!$P$3:$P$1002,MATCH($B688,'작업 Jobs'!$A$3:$A$1002,0)),""))</f>
      </c>
    </row>
    <row r="689" spans="7:10" x14ac:dyDescent="0.25">
      <c r="G689" s="42">
        <f>IF($B689="","",IFERROR(INDEX('작업 Jobs'!$D$3:$D$1002,MATCH($B689,'작업 Jobs'!$A$3:$A$1002,0)),"작업 ID 없음"))</f>
      </c>
      <c r="H689" s="41">
        <f>IF($C689="","",IF($D689="CARD",ROUND($C689*'설정 Settings'!$C$34+'설정 Settings'!$C$35,2),0))</f>
      </c>
      <c r="I689" s="42">
        <f>IF($C689="","",IF($C689&gt;'설정 Settings'!$C$36,"$2,000 초과: 은행 한도 확인, 나눠 받기 (F36)",""))</f>
      </c>
      <c r="J689" s="41">
        <f>IF($B689="","",IFERROR(INDEX('작업 Jobs'!$P$3:$P$1002,MATCH($B689,'작업 Jobs'!$A$3:$A$1002,0)),""))</f>
      </c>
    </row>
    <row r="690" spans="7:10" x14ac:dyDescent="0.25">
      <c r="G690" s="42">
        <f>IF($B690="","",IFERROR(INDEX('작업 Jobs'!$D$3:$D$1002,MATCH($B690,'작업 Jobs'!$A$3:$A$1002,0)),"작업 ID 없음"))</f>
      </c>
      <c r="H690" s="41">
        <f>IF($C690="","",IF($D690="CARD",ROUND($C690*'설정 Settings'!$C$34+'설정 Settings'!$C$35,2),0))</f>
      </c>
      <c r="I690" s="42">
        <f>IF($C690="","",IF($C690&gt;'설정 Settings'!$C$36,"$2,000 초과: 은행 한도 확인, 나눠 받기 (F36)",""))</f>
      </c>
      <c r="J690" s="41">
        <f>IF($B690="","",IFERROR(INDEX('작업 Jobs'!$P$3:$P$1002,MATCH($B690,'작업 Jobs'!$A$3:$A$1002,0)),""))</f>
      </c>
    </row>
    <row r="691" spans="7:10" x14ac:dyDescent="0.25">
      <c r="G691" s="42">
        <f>IF($B691="","",IFERROR(INDEX('작업 Jobs'!$D$3:$D$1002,MATCH($B691,'작업 Jobs'!$A$3:$A$1002,0)),"작업 ID 없음"))</f>
      </c>
      <c r="H691" s="41">
        <f>IF($C691="","",IF($D691="CARD",ROUND($C691*'설정 Settings'!$C$34+'설정 Settings'!$C$35,2),0))</f>
      </c>
      <c r="I691" s="42">
        <f>IF($C691="","",IF($C691&gt;'설정 Settings'!$C$36,"$2,000 초과: 은행 한도 확인, 나눠 받기 (F36)",""))</f>
      </c>
      <c r="J691" s="41">
        <f>IF($B691="","",IFERROR(INDEX('작업 Jobs'!$P$3:$P$1002,MATCH($B691,'작업 Jobs'!$A$3:$A$1002,0)),""))</f>
      </c>
    </row>
    <row r="692" spans="7:10" x14ac:dyDescent="0.25">
      <c r="G692" s="42">
        <f>IF($B692="","",IFERROR(INDEX('작업 Jobs'!$D$3:$D$1002,MATCH($B692,'작업 Jobs'!$A$3:$A$1002,0)),"작업 ID 없음"))</f>
      </c>
      <c r="H692" s="41">
        <f>IF($C692="","",IF($D692="CARD",ROUND($C692*'설정 Settings'!$C$34+'설정 Settings'!$C$35,2),0))</f>
      </c>
      <c r="I692" s="42">
        <f>IF($C692="","",IF($C692&gt;'설정 Settings'!$C$36,"$2,000 초과: 은행 한도 확인, 나눠 받기 (F36)",""))</f>
      </c>
      <c r="J692" s="41">
        <f>IF($B692="","",IFERROR(INDEX('작업 Jobs'!$P$3:$P$1002,MATCH($B692,'작업 Jobs'!$A$3:$A$1002,0)),""))</f>
      </c>
    </row>
    <row r="693" spans="7:10" x14ac:dyDescent="0.25">
      <c r="G693" s="42">
        <f>IF($B693="","",IFERROR(INDEX('작업 Jobs'!$D$3:$D$1002,MATCH($B693,'작업 Jobs'!$A$3:$A$1002,0)),"작업 ID 없음"))</f>
      </c>
      <c r="H693" s="41">
        <f>IF($C693="","",IF($D693="CARD",ROUND($C693*'설정 Settings'!$C$34+'설정 Settings'!$C$35,2),0))</f>
      </c>
      <c r="I693" s="42">
        <f>IF($C693="","",IF($C693&gt;'설정 Settings'!$C$36,"$2,000 초과: 은행 한도 확인, 나눠 받기 (F36)",""))</f>
      </c>
      <c r="J693" s="41">
        <f>IF($B693="","",IFERROR(INDEX('작업 Jobs'!$P$3:$P$1002,MATCH($B693,'작업 Jobs'!$A$3:$A$1002,0)),""))</f>
      </c>
    </row>
    <row r="694" spans="7:10" x14ac:dyDescent="0.25">
      <c r="G694" s="42">
        <f>IF($B694="","",IFERROR(INDEX('작업 Jobs'!$D$3:$D$1002,MATCH($B694,'작업 Jobs'!$A$3:$A$1002,0)),"작업 ID 없음"))</f>
      </c>
      <c r="H694" s="41">
        <f>IF($C694="","",IF($D694="CARD",ROUND($C694*'설정 Settings'!$C$34+'설정 Settings'!$C$35,2),0))</f>
      </c>
      <c r="I694" s="42">
        <f>IF($C694="","",IF($C694&gt;'설정 Settings'!$C$36,"$2,000 초과: 은행 한도 확인, 나눠 받기 (F36)",""))</f>
      </c>
      <c r="J694" s="41">
        <f>IF($B694="","",IFERROR(INDEX('작업 Jobs'!$P$3:$P$1002,MATCH($B694,'작업 Jobs'!$A$3:$A$1002,0)),""))</f>
      </c>
    </row>
    <row r="695" spans="7:10" x14ac:dyDescent="0.25">
      <c r="G695" s="42">
        <f>IF($B695="","",IFERROR(INDEX('작업 Jobs'!$D$3:$D$1002,MATCH($B695,'작업 Jobs'!$A$3:$A$1002,0)),"작업 ID 없음"))</f>
      </c>
      <c r="H695" s="41">
        <f>IF($C695="","",IF($D695="CARD",ROUND($C695*'설정 Settings'!$C$34+'설정 Settings'!$C$35,2),0))</f>
      </c>
      <c r="I695" s="42">
        <f>IF($C695="","",IF($C695&gt;'설정 Settings'!$C$36,"$2,000 초과: 은행 한도 확인, 나눠 받기 (F36)",""))</f>
      </c>
      <c r="J695" s="41">
        <f>IF($B695="","",IFERROR(INDEX('작업 Jobs'!$P$3:$P$1002,MATCH($B695,'작업 Jobs'!$A$3:$A$1002,0)),""))</f>
      </c>
    </row>
    <row r="696" spans="7:10" x14ac:dyDescent="0.25">
      <c r="G696" s="42">
        <f>IF($B696="","",IFERROR(INDEX('작업 Jobs'!$D$3:$D$1002,MATCH($B696,'작업 Jobs'!$A$3:$A$1002,0)),"작업 ID 없음"))</f>
      </c>
      <c r="H696" s="41">
        <f>IF($C696="","",IF($D696="CARD",ROUND($C696*'설정 Settings'!$C$34+'설정 Settings'!$C$35,2),0))</f>
      </c>
      <c r="I696" s="42">
        <f>IF($C696="","",IF($C696&gt;'설정 Settings'!$C$36,"$2,000 초과: 은행 한도 확인, 나눠 받기 (F36)",""))</f>
      </c>
      <c r="J696" s="41">
        <f>IF($B696="","",IFERROR(INDEX('작업 Jobs'!$P$3:$P$1002,MATCH($B696,'작업 Jobs'!$A$3:$A$1002,0)),""))</f>
      </c>
    </row>
    <row r="697" spans="7:10" x14ac:dyDescent="0.25">
      <c r="G697" s="42">
        <f>IF($B697="","",IFERROR(INDEX('작업 Jobs'!$D$3:$D$1002,MATCH($B697,'작업 Jobs'!$A$3:$A$1002,0)),"작업 ID 없음"))</f>
      </c>
      <c r="H697" s="41">
        <f>IF($C697="","",IF($D697="CARD",ROUND($C697*'설정 Settings'!$C$34+'설정 Settings'!$C$35,2),0))</f>
      </c>
      <c r="I697" s="42">
        <f>IF($C697="","",IF($C697&gt;'설정 Settings'!$C$36,"$2,000 초과: 은행 한도 확인, 나눠 받기 (F36)",""))</f>
      </c>
      <c r="J697" s="41">
        <f>IF($B697="","",IFERROR(INDEX('작업 Jobs'!$P$3:$P$1002,MATCH($B697,'작업 Jobs'!$A$3:$A$1002,0)),""))</f>
      </c>
    </row>
    <row r="698" spans="7:10" x14ac:dyDescent="0.25">
      <c r="G698" s="42">
        <f>IF($B698="","",IFERROR(INDEX('작업 Jobs'!$D$3:$D$1002,MATCH($B698,'작업 Jobs'!$A$3:$A$1002,0)),"작업 ID 없음"))</f>
      </c>
      <c r="H698" s="41">
        <f>IF($C698="","",IF($D698="CARD",ROUND($C698*'설정 Settings'!$C$34+'설정 Settings'!$C$35,2),0))</f>
      </c>
      <c r="I698" s="42">
        <f>IF($C698="","",IF($C698&gt;'설정 Settings'!$C$36,"$2,000 초과: 은행 한도 확인, 나눠 받기 (F36)",""))</f>
      </c>
      <c r="J698" s="41">
        <f>IF($B698="","",IFERROR(INDEX('작업 Jobs'!$P$3:$P$1002,MATCH($B698,'작업 Jobs'!$A$3:$A$1002,0)),""))</f>
      </c>
    </row>
    <row r="699" spans="7:10" x14ac:dyDescent="0.25">
      <c r="G699" s="42">
        <f>IF($B699="","",IFERROR(INDEX('작업 Jobs'!$D$3:$D$1002,MATCH($B699,'작업 Jobs'!$A$3:$A$1002,0)),"작업 ID 없음"))</f>
      </c>
      <c r="H699" s="41">
        <f>IF($C699="","",IF($D699="CARD",ROUND($C699*'설정 Settings'!$C$34+'설정 Settings'!$C$35,2),0))</f>
      </c>
      <c r="I699" s="42">
        <f>IF($C699="","",IF($C699&gt;'설정 Settings'!$C$36,"$2,000 초과: 은행 한도 확인, 나눠 받기 (F36)",""))</f>
      </c>
      <c r="J699" s="41">
        <f>IF($B699="","",IFERROR(INDEX('작업 Jobs'!$P$3:$P$1002,MATCH($B699,'작업 Jobs'!$A$3:$A$1002,0)),""))</f>
      </c>
    </row>
    <row r="700" spans="7:10" x14ac:dyDescent="0.25">
      <c r="G700" s="42">
        <f>IF($B700="","",IFERROR(INDEX('작업 Jobs'!$D$3:$D$1002,MATCH($B700,'작업 Jobs'!$A$3:$A$1002,0)),"작업 ID 없음"))</f>
      </c>
      <c r="H700" s="41">
        <f>IF($C700="","",IF($D700="CARD",ROUND($C700*'설정 Settings'!$C$34+'설정 Settings'!$C$35,2),0))</f>
      </c>
      <c r="I700" s="42">
        <f>IF($C700="","",IF($C700&gt;'설정 Settings'!$C$36,"$2,000 초과: 은행 한도 확인, 나눠 받기 (F36)",""))</f>
      </c>
      <c r="J700" s="41">
        <f>IF($B700="","",IFERROR(INDEX('작업 Jobs'!$P$3:$P$1002,MATCH($B700,'작업 Jobs'!$A$3:$A$1002,0)),""))</f>
      </c>
    </row>
    <row r="701" spans="7:10" x14ac:dyDescent="0.25">
      <c r="G701" s="42">
        <f>IF($B701="","",IFERROR(INDEX('작업 Jobs'!$D$3:$D$1002,MATCH($B701,'작업 Jobs'!$A$3:$A$1002,0)),"작업 ID 없음"))</f>
      </c>
      <c r="H701" s="41">
        <f>IF($C701="","",IF($D701="CARD",ROUND($C701*'설정 Settings'!$C$34+'설정 Settings'!$C$35,2),0))</f>
      </c>
      <c r="I701" s="42">
        <f>IF($C701="","",IF($C701&gt;'설정 Settings'!$C$36,"$2,000 초과: 은행 한도 확인, 나눠 받기 (F36)",""))</f>
      </c>
      <c r="J701" s="41">
        <f>IF($B701="","",IFERROR(INDEX('작업 Jobs'!$P$3:$P$1002,MATCH($B701,'작업 Jobs'!$A$3:$A$1002,0)),""))</f>
      </c>
    </row>
    <row r="702" spans="7:10" x14ac:dyDescent="0.25">
      <c r="G702" s="42">
        <f>IF($B702="","",IFERROR(INDEX('작업 Jobs'!$D$3:$D$1002,MATCH($B702,'작업 Jobs'!$A$3:$A$1002,0)),"작업 ID 없음"))</f>
      </c>
      <c r="H702" s="41">
        <f>IF($C702="","",IF($D702="CARD",ROUND($C702*'설정 Settings'!$C$34+'설정 Settings'!$C$35,2),0))</f>
      </c>
      <c r="I702" s="42">
        <f>IF($C702="","",IF($C702&gt;'설정 Settings'!$C$36,"$2,000 초과: 은행 한도 확인, 나눠 받기 (F36)",""))</f>
      </c>
      <c r="J702" s="41">
        <f>IF($B702="","",IFERROR(INDEX('작업 Jobs'!$P$3:$P$1002,MATCH($B702,'작업 Jobs'!$A$3:$A$1002,0)),""))</f>
      </c>
    </row>
    <row r="703" spans="7:10" x14ac:dyDescent="0.25">
      <c r="G703" s="42">
        <f>IF($B703="","",IFERROR(INDEX('작업 Jobs'!$D$3:$D$1002,MATCH($B703,'작업 Jobs'!$A$3:$A$1002,0)),"작업 ID 없음"))</f>
      </c>
      <c r="H703" s="41">
        <f>IF($C703="","",IF($D703="CARD",ROUND($C703*'설정 Settings'!$C$34+'설정 Settings'!$C$35,2),0))</f>
      </c>
      <c r="I703" s="42">
        <f>IF($C703="","",IF($C703&gt;'설정 Settings'!$C$36,"$2,000 초과: 은행 한도 확인, 나눠 받기 (F36)",""))</f>
      </c>
      <c r="J703" s="41">
        <f>IF($B703="","",IFERROR(INDEX('작업 Jobs'!$P$3:$P$1002,MATCH($B703,'작업 Jobs'!$A$3:$A$1002,0)),""))</f>
      </c>
    </row>
    <row r="704" spans="7:10" x14ac:dyDescent="0.25">
      <c r="G704" s="42">
        <f>IF($B704="","",IFERROR(INDEX('작업 Jobs'!$D$3:$D$1002,MATCH($B704,'작업 Jobs'!$A$3:$A$1002,0)),"작업 ID 없음"))</f>
      </c>
      <c r="H704" s="41">
        <f>IF($C704="","",IF($D704="CARD",ROUND($C704*'설정 Settings'!$C$34+'설정 Settings'!$C$35,2),0))</f>
      </c>
      <c r="I704" s="42">
        <f>IF($C704="","",IF($C704&gt;'설정 Settings'!$C$36,"$2,000 초과: 은행 한도 확인, 나눠 받기 (F36)",""))</f>
      </c>
      <c r="J704" s="41">
        <f>IF($B704="","",IFERROR(INDEX('작업 Jobs'!$P$3:$P$1002,MATCH($B704,'작업 Jobs'!$A$3:$A$1002,0)),""))</f>
      </c>
    </row>
    <row r="705" spans="7:10" x14ac:dyDescent="0.25">
      <c r="G705" s="42">
        <f>IF($B705="","",IFERROR(INDEX('작업 Jobs'!$D$3:$D$1002,MATCH($B705,'작업 Jobs'!$A$3:$A$1002,0)),"작업 ID 없음"))</f>
      </c>
      <c r="H705" s="41">
        <f>IF($C705="","",IF($D705="CARD",ROUND($C705*'설정 Settings'!$C$34+'설정 Settings'!$C$35,2),0))</f>
      </c>
      <c r="I705" s="42">
        <f>IF($C705="","",IF($C705&gt;'설정 Settings'!$C$36,"$2,000 초과: 은행 한도 확인, 나눠 받기 (F36)",""))</f>
      </c>
      <c r="J705" s="41">
        <f>IF($B705="","",IFERROR(INDEX('작업 Jobs'!$P$3:$P$1002,MATCH($B705,'작업 Jobs'!$A$3:$A$1002,0)),""))</f>
      </c>
    </row>
    <row r="706" spans="7:10" x14ac:dyDescent="0.25">
      <c r="G706" s="42">
        <f>IF($B706="","",IFERROR(INDEX('작업 Jobs'!$D$3:$D$1002,MATCH($B706,'작업 Jobs'!$A$3:$A$1002,0)),"작업 ID 없음"))</f>
      </c>
      <c r="H706" s="41">
        <f>IF($C706="","",IF($D706="CARD",ROUND($C706*'설정 Settings'!$C$34+'설정 Settings'!$C$35,2),0))</f>
      </c>
      <c r="I706" s="42">
        <f>IF($C706="","",IF($C706&gt;'설정 Settings'!$C$36,"$2,000 초과: 은행 한도 확인, 나눠 받기 (F36)",""))</f>
      </c>
      <c r="J706" s="41">
        <f>IF($B706="","",IFERROR(INDEX('작업 Jobs'!$P$3:$P$1002,MATCH($B706,'작업 Jobs'!$A$3:$A$1002,0)),""))</f>
      </c>
    </row>
    <row r="707" spans="7:10" x14ac:dyDescent="0.25">
      <c r="G707" s="42">
        <f>IF($B707="","",IFERROR(INDEX('작업 Jobs'!$D$3:$D$1002,MATCH($B707,'작업 Jobs'!$A$3:$A$1002,0)),"작업 ID 없음"))</f>
      </c>
      <c r="H707" s="41">
        <f>IF($C707="","",IF($D707="CARD",ROUND($C707*'설정 Settings'!$C$34+'설정 Settings'!$C$35,2),0))</f>
      </c>
      <c r="I707" s="42">
        <f>IF($C707="","",IF($C707&gt;'설정 Settings'!$C$36,"$2,000 초과: 은행 한도 확인, 나눠 받기 (F36)",""))</f>
      </c>
      <c r="J707" s="41">
        <f>IF($B707="","",IFERROR(INDEX('작업 Jobs'!$P$3:$P$1002,MATCH($B707,'작업 Jobs'!$A$3:$A$1002,0)),""))</f>
      </c>
    </row>
    <row r="708" spans="7:10" x14ac:dyDescent="0.25">
      <c r="G708" s="42">
        <f>IF($B708="","",IFERROR(INDEX('작업 Jobs'!$D$3:$D$1002,MATCH($B708,'작업 Jobs'!$A$3:$A$1002,0)),"작업 ID 없음"))</f>
      </c>
      <c r="H708" s="41">
        <f>IF($C708="","",IF($D708="CARD",ROUND($C708*'설정 Settings'!$C$34+'설정 Settings'!$C$35,2),0))</f>
      </c>
      <c r="I708" s="42">
        <f>IF($C708="","",IF($C708&gt;'설정 Settings'!$C$36,"$2,000 초과: 은행 한도 확인, 나눠 받기 (F36)",""))</f>
      </c>
      <c r="J708" s="41">
        <f>IF($B708="","",IFERROR(INDEX('작업 Jobs'!$P$3:$P$1002,MATCH($B708,'작업 Jobs'!$A$3:$A$1002,0)),""))</f>
      </c>
    </row>
    <row r="709" spans="7:10" x14ac:dyDescent="0.25">
      <c r="G709" s="42">
        <f>IF($B709="","",IFERROR(INDEX('작업 Jobs'!$D$3:$D$1002,MATCH($B709,'작업 Jobs'!$A$3:$A$1002,0)),"작업 ID 없음"))</f>
      </c>
      <c r="H709" s="41">
        <f>IF($C709="","",IF($D709="CARD",ROUND($C709*'설정 Settings'!$C$34+'설정 Settings'!$C$35,2),0))</f>
      </c>
      <c r="I709" s="42">
        <f>IF($C709="","",IF($C709&gt;'설정 Settings'!$C$36,"$2,000 초과: 은행 한도 확인, 나눠 받기 (F36)",""))</f>
      </c>
      <c r="J709" s="41">
        <f>IF($B709="","",IFERROR(INDEX('작업 Jobs'!$P$3:$P$1002,MATCH($B709,'작업 Jobs'!$A$3:$A$1002,0)),""))</f>
      </c>
    </row>
    <row r="710" spans="7:10" x14ac:dyDescent="0.25">
      <c r="G710" s="42">
        <f>IF($B710="","",IFERROR(INDEX('작업 Jobs'!$D$3:$D$1002,MATCH($B710,'작업 Jobs'!$A$3:$A$1002,0)),"작업 ID 없음"))</f>
      </c>
      <c r="H710" s="41">
        <f>IF($C710="","",IF($D710="CARD",ROUND($C710*'설정 Settings'!$C$34+'설정 Settings'!$C$35,2),0))</f>
      </c>
      <c r="I710" s="42">
        <f>IF($C710="","",IF($C710&gt;'설정 Settings'!$C$36,"$2,000 초과: 은행 한도 확인, 나눠 받기 (F36)",""))</f>
      </c>
      <c r="J710" s="41">
        <f>IF($B710="","",IFERROR(INDEX('작업 Jobs'!$P$3:$P$1002,MATCH($B710,'작업 Jobs'!$A$3:$A$1002,0)),""))</f>
      </c>
    </row>
    <row r="711" spans="7:10" x14ac:dyDescent="0.25">
      <c r="G711" s="42">
        <f>IF($B711="","",IFERROR(INDEX('작업 Jobs'!$D$3:$D$1002,MATCH($B711,'작업 Jobs'!$A$3:$A$1002,0)),"작업 ID 없음"))</f>
      </c>
      <c r="H711" s="41">
        <f>IF($C711="","",IF($D711="CARD",ROUND($C711*'설정 Settings'!$C$34+'설정 Settings'!$C$35,2),0))</f>
      </c>
      <c r="I711" s="42">
        <f>IF($C711="","",IF($C711&gt;'설정 Settings'!$C$36,"$2,000 초과: 은행 한도 확인, 나눠 받기 (F36)",""))</f>
      </c>
      <c r="J711" s="41">
        <f>IF($B711="","",IFERROR(INDEX('작업 Jobs'!$P$3:$P$1002,MATCH($B711,'작업 Jobs'!$A$3:$A$1002,0)),""))</f>
      </c>
    </row>
    <row r="712" spans="7:10" x14ac:dyDescent="0.25">
      <c r="G712" s="42">
        <f>IF($B712="","",IFERROR(INDEX('작업 Jobs'!$D$3:$D$1002,MATCH($B712,'작업 Jobs'!$A$3:$A$1002,0)),"작업 ID 없음"))</f>
      </c>
      <c r="H712" s="41">
        <f>IF($C712="","",IF($D712="CARD",ROUND($C712*'설정 Settings'!$C$34+'설정 Settings'!$C$35,2),0))</f>
      </c>
      <c r="I712" s="42">
        <f>IF($C712="","",IF($C712&gt;'설정 Settings'!$C$36,"$2,000 초과: 은행 한도 확인, 나눠 받기 (F36)",""))</f>
      </c>
      <c r="J712" s="41">
        <f>IF($B712="","",IFERROR(INDEX('작업 Jobs'!$P$3:$P$1002,MATCH($B712,'작업 Jobs'!$A$3:$A$1002,0)),""))</f>
      </c>
    </row>
    <row r="713" spans="7:10" x14ac:dyDescent="0.25">
      <c r="G713" s="42">
        <f>IF($B713="","",IFERROR(INDEX('작업 Jobs'!$D$3:$D$1002,MATCH($B713,'작업 Jobs'!$A$3:$A$1002,0)),"작업 ID 없음"))</f>
      </c>
      <c r="H713" s="41">
        <f>IF($C713="","",IF($D713="CARD",ROUND($C713*'설정 Settings'!$C$34+'설정 Settings'!$C$35,2),0))</f>
      </c>
      <c r="I713" s="42">
        <f>IF($C713="","",IF($C713&gt;'설정 Settings'!$C$36,"$2,000 초과: 은행 한도 확인, 나눠 받기 (F36)",""))</f>
      </c>
      <c r="J713" s="41">
        <f>IF($B713="","",IFERROR(INDEX('작업 Jobs'!$P$3:$P$1002,MATCH($B713,'작업 Jobs'!$A$3:$A$1002,0)),""))</f>
      </c>
    </row>
    <row r="714" spans="7:10" x14ac:dyDescent="0.25">
      <c r="G714" s="42">
        <f>IF($B714="","",IFERROR(INDEX('작업 Jobs'!$D$3:$D$1002,MATCH($B714,'작업 Jobs'!$A$3:$A$1002,0)),"작업 ID 없음"))</f>
      </c>
      <c r="H714" s="41">
        <f>IF($C714="","",IF($D714="CARD",ROUND($C714*'설정 Settings'!$C$34+'설정 Settings'!$C$35,2),0))</f>
      </c>
      <c r="I714" s="42">
        <f>IF($C714="","",IF($C714&gt;'설정 Settings'!$C$36,"$2,000 초과: 은행 한도 확인, 나눠 받기 (F36)",""))</f>
      </c>
      <c r="J714" s="41">
        <f>IF($B714="","",IFERROR(INDEX('작업 Jobs'!$P$3:$P$1002,MATCH($B714,'작업 Jobs'!$A$3:$A$1002,0)),""))</f>
      </c>
    </row>
    <row r="715" spans="7:10" x14ac:dyDescent="0.25">
      <c r="G715" s="42">
        <f>IF($B715="","",IFERROR(INDEX('작업 Jobs'!$D$3:$D$1002,MATCH($B715,'작업 Jobs'!$A$3:$A$1002,0)),"작업 ID 없음"))</f>
      </c>
      <c r="H715" s="41">
        <f>IF($C715="","",IF($D715="CARD",ROUND($C715*'설정 Settings'!$C$34+'설정 Settings'!$C$35,2),0))</f>
      </c>
      <c r="I715" s="42">
        <f>IF($C715="","",IF($C715&gt;'설정 Settings'!$C$36,"$2,000 초과: 은행 한도 확인, 나눠 받기 (F36)",""))</f>
      </c>
      <c r="J715" s="41">
        <f>IF($B715="","",IFERROR(INDEX('작업 Jobs'!$P$3:$P$1002,MATCH($B715,'작업 Jobs'!$A$3:$A$1002,0)),""))</f>
      </c>
    </row>
    <row r="716" spans="7:10" x14ac:dyDescent="0.25">
      <c r="G716" s="42">
        <f>IF($B716="","",IFERROR(INDEX('작업 Jobs'!$D$3:$D$1002,MATCH($B716,'작업 Jobs'!$A$3:$A$1002,0)),"작업 ID 없음"))</f>
      </c>
      <c r="H716" s="41">
        <f>IF($C716="","",IF($D716="CARD",ROUND($C716*'설정 Settings'!$C$34+'설정 Settings'!$C$35,2),0))</f>
      </c>
      <c r="I716" s="42">
        <f>IF($C716="","",IF($C716&gt;'설정 Settings'!$C$36,"$2,000 초과: 은행 한도 확인, 나눠 받기 (F36)",""))</f>
      </c>
      <c r="J716" s="41">
        <f>IF($B716="","",IFERROR(INDEX('작업 Jobs'!$P$3:$P$1002,MATCH($B716,'작업 Jobs'!$A$3:$A$1002,0)),""))</f>
      </c>
    </row>
    <row r="717" spans="7:10" x14ac:dyDescent="0.25">
      <c r="G717" s="42">
        <f>IF($B717="","",IFERROR(INDEX('작업 Jobs'!$D$3:$D$1002,MATCH($B717,'작업 Jobs'!$A$3:$A$1002,0)),"작업 ID 없음"))</f>
      </c>
      <c r="H717" s="41">
        <f>IF($C717="","",IF($D717="CARD",ROUND($C717*'설정 Settings'!$C$34+'설정 Settings'!$C$35,2),0))</f>
      </c>
      <c r="I717" s="42">
        <f>IF($C717="","",IF($C717&gt;'설정 Settings'!$C$36,"$2,000 초과: 은행 한도 확인, 나눠 받기 (F36)",""))</f>
      </c>
      <c r="J717" s="41">
        <f>IF($B717="","",IFERROR(INDEX('작업 Jobs'!$P$3:$P$1002,MATCH($B717,'작업 Jobs'!$A$3:$A$1002,0)),""))</f>
      </c>
    </row>
    <row r="718" spans="7:10" x14ac:dyDescent="0.25">
      <c r="G718" s="42">
        <f>IF($B718="","",IFERROR(INDEX('작업 Jobs'!$D$3:$D$1002,MATCH($B718,'작업 Jobs'!$A$3:$A$1002,0)),"작업 ID 없음"))</f>
      </c>
      <c r="H718" s="41">
        <f>IF($C718="","",IF($D718="CARD",ROUND($C718*'설정 Settings'!$C$34+'설정 Settings'!$C$35,2),0))</f>
      </c>
      <c r="I718" s="42">
        <f>IF($C718="","",IF($C718&gt;'설정 Settings'!$C$36,"$2,000 초과: 은행 한도 확인, 나눠 받기 (F36)",""))</f>
      </c>
      <c r="J718" s="41">
        <f>IF($B718="","",IFERROR(INDEX('작업 Jobs'!$P$3:$P$1002,MATCH($B718,'작업 Jobs'!$A$3:$A$1002,0)),""))</f>
      </c>
    </row>
    <row r="719" spans="7:10" x14ac:dyDescent="0.25">
      <c r="G719" s="42">
        <f>IF($B719="","",IFERROR(INDEX('작업 Jobs'!$D$3:$D$1002,MATCH($B719,'작업 Jobs'!$A$3:$A$1002,0)),"작업 ID 없음"))</f>
      </c>
      <c r="H719" s="41">
        <f>IF($C719="","",IF($D719="CARD",ROUND($C719*'설정 Settings'!$C$34+'설정 Settings'!$C$35,2),0))</f>
      </c>
      <c r="I719" s="42">
        <f>IF($C719="","",IF($C719&gt;'설정 Settings'!$C$36,"$2,000 초과: 은행 한도 확인, 나눠 받기 (F36)",""))</f>
      </c>
      <c r="J719" s="41">
        <f>IF($B719="","",IFERROR(INDEX('작업 Jobs'!$P$3:$P$1002,MATCH($B719,'작업 Jobs'!$A$3:$A$1002,0)),""))</f>
      </c>
    </row>
    <row r="720" spans="7:10" x14ac:dyDescent="0.25">
      <c r="G720" s="42">
        <f>IF($B720="","",IFERROR(INDEX('작업 Jobs'!$D$3:$D$1002,MATCH($B720,'작업 Jobs'!$A$3:$A$1002,0)),"작업 ID 없음"))</f>
      </c>
      <c r="H720" s="41">
        <f>IF($C720="","",IF($D720="CARD",ROUND($C720*'설정 Settings'!$C$34+'설정 Settings'!$C$35,2),0))</f>
      </c>
      <c r="I720" s="42">
        <f>IF($C720="","",IF($C720&gt;'설정 Settings'!$C$36,"$2,000 초과: 은행 한도 확인, 나눠 받기 (F36)",""))</f>
      </c>
      <c r="J720" s="41">
        <f>IF($B720="","",IFERROR(INDEX('작업 Jobs'!$P$3:$P$1002,MATCH($B720,'작업 Jobs'!$A$3:$A$1002,0)),""))</f>
      </c>
    </row>
    <row r="721" spans="7:10" x14ac:dyDescent="0.25">
      <c r="G721" s="42">
        <f>IF($B721="","",IFERROR(INDEX('작업 Jobs'!$D$3:$D$1002,MATCH($B721,'작업 Jobs'!$A$3:$A$1002,0)),"작업 ID 없음"))</f>
      </c>
      <c r="H721" s="41">
        <f>IF($C721="","",IF($D721="CARD",ROUND($C721*'설정 Settings'!$C$34+'설정 Settings'!$C$35,2),0))</f>
      </c>
      <c r="I721" s="42">
        <f>IF($C721="","",IF($C721&gt;'설정 Settings'!$C$36,"$2,000 초과: 은행 한도 확인, 나눠 받기 (F36)",""))</f>
      </c>
      <c r="J721" s="41">
        <f>IF($B721="","",IFERROR(INDEX('작업 Jobs'!$P$3:$P$1002,MATCH($B721,'작업 Jobs'!$A$3:$A$1002,0)),""))</f>
      </c>
    </row>
    <row r="722" spans="7:10" x14ac:dyDescent="0.25">
      <c r="G722" s="42">
        <f>IF($B722="","",IFERROR(INDEX('작업 Jobs'!$D$3:$D$1002,MATCH($B722,'작업 Jobs'!$A$3:$A$1002,0)),"작업 ID 없음"))</f>
      </c>
      <c r="H722" s="41">
        <f>IF($C722="","",IF($D722="CARD",ROUND($C722*'설정 Settings'!$C$34+'설정 Settings'!$C$35,2),0))</f>
      </c>
      <c r="I722" s="42">
        <f>IF($C722="","",IF($C722&gt;'설정 Settings'!$C$36,"$2,000 초과: 은행 한도 확인, 나눠 받기 (F36)",""))</f>
      </c>
      <c r="J722" s="41">
        <f>IF($B722="","",IFERROR(INDEX('작업 Jobs'!$P$3:$P$1002,MATCH($B722,'작업 Jobs'!$A$3:$A$1002,0)),""))</f>
      </c>
    </row>
    <row r="723" spans="7:10" x14ac:dyDescent="0.25">
      <c r="G723" s="42">
        <f>IF($B723="","",IFERROR(INDEX('작업 Jobs'!$D$3:$D$1002,MATCH($B723,'작업 Jobs'!$A$3:$A$1002,0)),"작업 ID 없음"))</f>
      </c>
      <c r="H723" s="41">
        <f>IF($C723="","",IF($D723="CARD",ROUND($C723*'설정 Settings'!$C$34+'설정 Settings'!$C$35,2),0))</f>
      </c>
      <c r="I723" s="42">
        <f>IF($C723="","",IF($C723&gt;'설정 Settings'!$C$36,"$2,000 초과: 은행 한도 확인, 나눠 받기 (F36)",""))</f>
      </c>
      <c r="J723" s="41">
        <f>IF($B723="","",IFERROR(INDEX('작업 Jobs'!$P$3:$P$1002,MATCH($B723,'작업 Jobs'!$A$3:$A$1002,0)),""))</f>
      </c>
    </row>
    <row r="724" spans="7:10" x14ac:dyDescent="0.25">
      <c r="G724" s="42">
        <f>IF($B724="","",IFERROR(INDEX('작업 Jobs'!$D$3:$D$1002,MATCH($B724,'작업 Jobs'!$A$3:$A$1002,0)),"작업 ID 없음"))</f>
      </c>
      <c r="H724" s="41">
        <f>IF($C724="","",IF($D724="CARD",ROUND($C724*'설정 Settings'!$C$34+'설정 Settings'!$C$35,2),0))</f>
      </c>
      <c r="I724" s="42">
        <f>IF($C724="","",IF($C724&gt;'설정 Settings'!$C$36,"$2,000 초과: 은행 한도 확인, 나눠 받기 (F36)",""))</f>
      </c>
      <c r="J724" s="41">
        <f>IF($B724="","",IFERROR(INDEX('작업 Jobs'!$P$3:$P$1002,MATCH($B724,'작업 Jobs'!$A$3:$A$1002,0)),""))</f>
      </c>
    </row>
    <row r="725" spans="7:10" x14ac:dyDescent="0.25">
      <c r="G725" s="42">
        <f>IF($B725="","",IFERROR(INDEX('작업 Jobs'!$D$3:$D$1002,MATCH($B725,'작업 Jobs'!$A$3:$A$1002,0)),"작업 ID 없음"))</f>
      </c>
      <c r="H725" s="41">
        <f>IF($C725="","",IF($D725="CARD",ROUND($C725*'설정 Settings'!$C$34+'설정 Settings'!$C$35,2),0))</f>
      </c>
      <c r="I725" s="42">
        <f>IF($C725="","",IF($C725&gt;'설정 Settings'!$C$36,"$2,000 초과: 은행 한도 확인, 나눠 받기 (F36)",""))</f>
      </c>
      <c r="J725" s="41">
        <f>IF($B725="","",IFERROR(INDEX('작업 Jobs'!$P$3:$P$1002,MATCH($B725,'작업 Jobs'!$A$3:$A$1002,0)),""))</f>
      </c>
    </row>
    <row r="726" spans="7:10" x14ac:dyDescent="0.25">
      <c r="G726" s="42">
        <f>IF($B726="","",IFERROR(INDEX('작업 Jobs'!$D$3:$D$1002,MATCH($B726,'작업 Jobs'!$A$3:$A$1002,0)),"작업 ID 없음"))</f>
      </c>
      <c r="H726" s="41">
        <f>IF($C726="","",IF($D726="CARD",ROUND($C726*'설정 Settings'!$C$34+'설정 Settings'!$C$35,2),0))</f>
      </c>
      <c r="I726" s="42">
        <f>IF($C726="","",IF($C726&gt;'설정 Settings'!$C$36,"$2,000 초과: 은행 한도 확인, 나눠 받기 (F36)",""))</f>
      </c>
      <c r="J726" s="41">
        <f>IF($B726="","",IFERROR(INDEX('작업 Jobs'!$P$3:$P$1002,MATCH($B726,'작업 Jobs'!$A$3:$A$1002,0)),""))</f>
      </c>
    </row>
    <row r="727" spans="7:10" x14ac:dyDescent="0.25">
      <c r="G727" s="42">
        <f>IF($B727="","",IFERROR(INDEX('작업 Jobs'!$D$3:$D$1002,MATCH($B727,'작업 Jobs'!$A$3:$A$1002,0)),"작업 ID 없음"))</f>
      </c>
      <c r="H727" s="41">
        <f>IF($C727="","",IF($D727="CARD",ROUND($C727*'설정 Settings'!$C$34+'설정 Settings'!$C$35,2),0))</f>
      </c>
      <c r="I727" s="42">
        <f>IF($C727="","",IF($C727&gt;'설정 Settings'!$C$36,"$2,000 초과: 은행 한도 확인, 나눠 받기 (F36)",""))</f>
      </c>
      <c r="J727" s="41">
        <f>IF($B727="","",IFERROR(INDEX('작업 Jobs'!$P$3:$P$1002,MATCH($B727,'작업 Jobs'!$A$3:$A$1002,0)),""))</f>
      </c>
    </row>
    <row r="728" spans="7:10" x14ac:dyDescent="0.25">
      <c r="G728" s="42">
        <f>IF($B728="","",IFERROR(INDEX('작업 Jobs'!$D$3:$D$1002,MATCH($B728,'작업 Jobs'!$A$3:$A$1002,0)),"작업 ID 없음"))</f>
      </c>
      <c r="H728" s="41">
        <f>IF($C728="","",IF($D728="CARD",ROUND($C728*'설정 Settings'!$C$34+'설정 Settings'!$C$35,2),0))</f>
      </c>
      <c r="I728" s="42">
        <f>IF($C728="","",IF($C728&gt;'설정 Settings'!$C$36,"$2,000 초과: 은행 한도 확인, 나눠 받기 (F36)",""))</f>
      </c>
      <c r="J728" s="41">
        <f>IF($B728="","",IFERROR(INDEX('작업 Jobs'!$P$3:$P$1002,MATCH($B728,'작업 Jobs'!$A$3:$A$1002,0)),""))</f>
      </c>
    </row>
    <row r="729" spans="7:10" x14ac:dyDescent="0.25">
      <c r="G729" s="42">
        <f>IF($B729="","",IFERROR(INDEX('작업 Jobs'!$D$3:$D$1002,MATCH($B729,'작업 Jobs'!$A$3:$A$1002,0)),"작업 ID 없음"))</f>
      </c>
      <c r="H729" s="41">
        <f>IF($C729="","",IF($D729="CARD",ROUND($C729*'설정 Settings'!$C$34+'설정 Settings'!$C$35,2),0))</f>
      </c>
      <c r="I729" s="42">
        <f>IF($C729="","",IF($C729&gt;'설정 Settings'!$C$36,"$2,000 초과: 은행 한도 확인, 나눠 받기 (F36)",""))</f>
      </c>
      <c r="J729" s="41">
        <f>IF($B729="","",IFERROR(INDEX('작업 Jobs'!$P$3:$P$1002,MATCH($B729,'작업 Jobs'!$A$3:$A$1002,0)),""))</f>
      </c>
    </row>
    <row r="730" spans="7:10" x14ac:dyDescent="0.25">
      <c r="G730" s="42">
        <f>IF($B730="","",IFERROR(INDEX('작업 Jobs'!$D$3:$D$1002,MATCH($B730,'작업 Jobs'!$A$3:$A$1002,0)),"작업 ID 없음"))</f>
      </c>
      <c r="H730" s="41">
        <f>IF($C730="","",IF($D730="CARD",ROUND($C730*'설정 Settings'!$C$34+'설정 Settings'!$C$35,2),0))</f>
      </c>
      <c r="I730" s="42">
        <f>IF($C730="","",IF($C730&gt;'설정 Settings'!$C$36,"$2,000 초과: 은행 한도 확인, 나눠 받기 (F36)",""))</f>
      </c>
      <c r="J730" s="41">
        <f>IF($B730="","",IFERROR(INDEX('작업 Jobs'!$P$3:$P$1002,MATCH($B730,'작업 Jobs'!$A$3:$A$1002,0)),""))</f>
      </c>
    </row>
    <row r="731" spans="7:10" x14ac:dyDescent="0.25">
      <c r="G731" s="42">
        <f>IF($B731="","",IFERROR(INDEX('작업 Jobs'!$D$3:$D$1002,MATCH($B731,'작업 Jobs'!$A$3:$A$1002,0)),"작업 ID 없음"))</f>
      </c>
      <c r="H731" s="41">
        <f>IF($C731="","",IF($D731="CARD",ROUND($C731*'설정 Settings'!$C$34+'설정 Settings'!$C$35,2),0))</f>
      </c>
      <c r="I731" s="42">
        <f>IF($C731="","",IF($C731&gt;'설정 Settings'!$C$36,"$2,000 초과: 은행 한도 확인, 나눠 받기 (F36)",""))</f>
      </c>
      <c r="J731" s="41">
        <f>IF($B731="","",IFERROR(INDEX('작업 Jobs'!$P$3:$P$1002,MATCH($B731,'작업 Jobs'!$A$3:$A$1002,0)),""))</f>
      </c>
    </row>
    <row r="732" spans="7:10" x14ac:dyDescent="0.25">
      <c r="G732" s="42">
        <f>IF($B732="","",IFERROR(INDEX('작업 Jobs'!$D$3:$D$1002,MATCH($B732,'작업 Jobs'!$A$3:$A$1002,0)),"작업 ID 없음"))</f>
      </c>
      <c r="H732" s="41">
        <f>IF($C732="","",IF($D732="CARD",ROUND($C732*'설정 Settings'!$C$34+'설정 Settings'!$C$35,2),0))</f>
      </c>
      <c r="I732" s="42">
        <f>IF($C732="","",IF($C732&gt;'설정 Settings'!$C$36,"$2,000 초과: 은행 한도 확인, 나눠 받기 (F36)",""))</f>
      </c>
      <c r="J732" s="41">
        <f>IF($B732="","",IFERROR(INDEX('작업 Jobs'!$P$3:$P$1002,MATCH($B732,'작업 Jobs'!$A$3:$A$1002,0)),""))</f>
      </c>
    </row>
    <row r="733" spans="7:10" x14ac:dyDescent="0.25">
      <c r="G733" s="42">
        <f>IF($B733="","",IFERROR(INDEX('작업 Jobs'!$D$3:$D$1002,MATCH($B733,'작업 Jobs'!$A$3:$A$1002,0)),"작업 ID 없음"))</f>
      </c>
      <c r="H733" s="41">
        <f>IF($C733="","",IF($D733="CARD",ROUND($C733*'설정 Settings'!$C$34+'설정 Settings'!$C$35,2),0))</f>
      </c>
      <c r="I733" s="42">
        <f>IF($C733="","",IF($C733&gt;'설정 Settings'!$C$36,"$2,000 초과: 은행 한도 확인, 나눠 받기 (F36)",""))</f>
      </c>
      <c r="J733" s="41">
        <f>IF($B733="","",IFERROR(INDEX('작업 Jobs'!$P$3:$P$1002,MATCH($B733,'작업 Jobs'!$A$3:$A$1002,0)),""))</f>
      </c>
    </row>
    <row r="734" spans="7:10" x14ac:dyDescent="0.25">
      <c r="G734" s="42">
        <f>IF($B734="","",IFERROR(INDEX('작업 Jobs'!$D$3:$D$1002,MATCH($B734,'작업 Jobs'!$A$3:$A$1002,0)),"작업 ID 없음"))</f>
      </c>
      <c r="H734" s="41">
        <f>IF($C734="","",IF($D734="CARD",ROUND($C734*'설정 Settings'!$C$34+'설정 Settings'!$C$35,2),0))</f>
      </c>
      <c r="I734" s="42">
        <f>IF($C734="","",IF($C734&gt;'설정 Settings'!$C$36,"$2,000 초과: 은행 한도 확인, 나눠 받기 (F36)",""))</f>
      </c>
      <c r="J734" s="41">
        <f>IF($B734="","",IFERROR(INDEX('작업 Jobs'!$P$3:$P$1002,MATCH($B734,'작업 Jobs'!$A$3:$A$1002,0)),""))</f>
      </c>
    </row>
    <row r="735" spans="7:10" x14ac:dyDescent="0.25">
      <c r="G735" s="42">
        <f>IF($B735="","",IFERROR(INDEX('작업 Jobs'!$D$3:$D$1002,MATCH($B735,'작업 Jobs'!$A$3:$A$1002,0)),"작업 ID 없음"))</f>
      </c>
      <c r="H735" s="41">
        <f>IF($C735="","",IF($D735="CARD",ROUND($C735*'설정 Settings'!$C$34+'설정 Settings'!$C$35,2),0))</f>
      </c>
      <c r="I735" s="42">
        <f>IF($C735="","",IF($C735&gt;'설정 Settings'!$C$36,"$2,000 초과: 은행 한도 확인, 나눠 받기 (F36)",""))</f>
      </c>
      <c r="J735" s="41">
        <f>IF($B735="","",IFERROR(INDEX('작업 Jobs'!$P$3:$P$1002,MATCH($B735,'작업 Jobs'!$A$3:$A$1002,0)),""))</f>
      </c>
    </row>
    <row r="736" spans="7:10" x14ac:dyDescent="0.25">
      <c r="G736" s="42">
        <f>IF($B736="","",IFERROR(INDEX('작업 Jobs'!$D$3:$D$1002,MATCH($B736,'작업 Jobs'!$A$3:$A$1002,0)),"작업 ID 없음"))</f>
      </c>
      <c r="H736" s="41">
        <f>IF($C736="","",IF($D736="CARD",ROUND($C736*'설정 Settings'!$C$34+'설정 Settings'!$C$35,2),0))</f>
      </c>
      <c r="I736" s="42">
        <f>IF($C736="","",IF($C736&gt;'설정 Settings'!$C$36,"$2,000 초과: 은행 한도 확인, 나눠 받기 (F36)",""))</f>
      </c>
      <c r="J736" s="41">
        <f>IF($B736="","",IFERROR(INDEX('작업 Jobs'!$P$3:$P$1002,MATCH($B736,'작업 Jobs'!$A$3:$A$1002,0)),""))</f>
      </c>
    </row>
    <row r="737" spans="7:10" x14ac:dyDescent="0.25">
      <c r="G737" s="42">
        <f>IF($B737="","",IFERROR(INDEX('작업 Jobs'!$D$3:$D$1002,MATCH($B737,'작업 Jobs'!$A$3:$A$1002,0)),"작업 ID 없음"))</f>
      </c>
      <c r="H737" s="41">
        <f>IF($C737="","",IF($D737="CARD",ROUND($C737*'설정 Settings'!$C$34+'설정 Settings'!$C$35,2),0))</f>
      </c>
      <c r="I737" s="42">
        <f>IF($C737="","",IF($C737&gt;'설정 Settings'!$C$36,"$2,000 초과: 은행 한도 확인, 나눠 받기 (F36)",""))</f>
      </c>
      <c r="J737" s="41">
        <f>IF($B737="","",IFERROR(INDEX('작업 Jobs'!$P$3:$P$1002,MATCH($B737,'작업 Jobs'!$A$3:$A$1002,0)),""))</f>
      </c>
    </row>
    <row r="738" spans="7:10" x14ac:dyDescent="0.25">
      <c r="G738" s="42">
        <f>IF($B738="","",IFERROR(INDEX('작업 Jobs'!$D$3:$D$1002,MATCH($B738,'작업 Jobs'!$A$3:$A$1002,0)),"작업 ID 없음"))</f>
      </c>
      <c r="H738" s="41">
        <f>IF($C738="","",IF($D738="CARD",ROUND($C738*'설정 Settings'!$C$34+'설정 Settings'!$C$35,2),0))</f>
      </c>
      <c r="I738" s="42">
        <f>IF($C738="","",IF($C738&gt;'설정 Settings'!$C$36,"$2,000 초과: 은행 한도 확인, 나눠 받기 (F36)",""))</f>
      </c>
      <c r="J738" s="41">
        <f>IF($B738="","",IFERROR(INDEX('작업 Jobs'!$P$3:$P$1002,MATCH($B738,'작업 Jobs'!$A$3:$A$1002,0)),""))</f>
      </c>
    </row>
    <row r="739" spans="7:10" x14ac:dyDescent="0.25">
      <c r="G739" s="42">
        <f>IF($B739="","",IFERROR(INDEX('작업 Jobs'!$D$3:$D$1002,MATCH($B739,'작업 Jobs'!$A$3:$A$1002,0)),"작업 ID 없음"))</f>
      </c>
      <c r="H739" s="41">
        <f>IF($C739="","",IF($D739="CARD",ROUND($C739*'설정 Settings'!$C$34+'설정 Settings'!$C$35,2),0))</f>
      </c>
      <c r="I739" s="42">
        <f>IF($C739="","",IF($C739&gt;'설정 Settings'!$C$36,"$2,000 초과: 은행 한도 확인, 나눠 받기 (F36)",""))</f>
      </c>
      <c r="J739" s="41">
        <f>IF($B739="","",IFERROR(INDEX('작업 Jobs'!$P$3:$P$1002,MATCH($B739,'작업 Jobs'!$A$3:$A$1002,0)),""))</f>
      </c>
    </row>
    <row r="740" spans="7:10" x14ac:dyDescent="0.25">
      <c r="G740" s="42">
        <f>IF($B740="","",IFERROR(INDEX('작업 Jobs'!$D$3:$D$1002,MATCH($B740,'작업 Jobs'!$A$3:$A$1002,0)),"작업 ID 없음"))</f>
      </c>
      <c r="H740" s="41">
        <f>IF($C740="","",IF($D740="CARD",ROUND($C740*'설정 Settings'!$C$34+'설정 Settings'!$C$35,2),0))</f>
      </c>
      <c r="I740" s="42">
        <f>IF($C740="","",IF($C740&gt;'설정 Settings'!$C$36,"$2,000 초과: 은행 한도 확인, 나눠 받기 (F36)",""))</f>
      </c>
      <c r="J740" s="41">
        <f>IF($B740="","",IFERROR(INDEX('작업 Jobs'!$P$3:$P$1002,MATCH($B740,'작업 Jobs'!$A$3:$A$1002,0)),""))</f>
      </c>
    </row>
    <row r="741" spans="7:10" x14ac:dyDescent="0.25">
      <c r="G741" s="42">
        <f>IF($B741="","",IFERROR(INDEX('작업 Jobs'!$D$3:$D$1002,MATCH($B741,'작업 Jobs'!$A$3:$A$1002,0)),"작업 ID 없음"))</f>
      </c>
      <c r="H741" s="41">
        <f>IF($C741="","",IF($D741="CARD",ROUND($C741*'설정 Settings'!$C$34+'설정 Settings'!$C$35,2),0))</f>
      </c>
      <c r="I741" s="42">
        <f>IF($C741="","",IF($C741&gt;'설정 Settings'!$C$36,"$2,000 초과: 은행 한도 확인, 나눠 받기 (F36)",""))</f>
      </c>
      <c r="J741" s="41">
        <f>IF($B741="","",IFERROR(INDEX('작업 Jobs'!$P$3:$P$1002,MATCH($B741,'작업 Jobs'!$A$3:$A$1002,0)),""))</f>
      </c>
    </row>
    <row r="742" spans="7:10" x14ac:dyDescent="0.25">
      <c r="G742" s="42">
        <f>IF($B742="","",IFERROR(INDEX('작업 Jobs'!$D$3:$D$1002,MATCH($B742,'작업 Jobs'!$A$3:$A$1002,0)),"작업 ID 없음"))</f>
      </c>
      <c r="H742" s="41">
        <f>IF($C742="","",IF($D742="CARD",ROUND($C742*'설정 Settings'!$C$34+'설정 Settings'!$C$35,2),0))</f>
      </c>
      <c r="I742" s="42">
        <f>IF($C742="","",IF($C742&gt;'설정 Settings'!$C$36,"$2,000 초과: 은행 한도 확인, 나눠 받기 (F36)",""))</f>
      </c>
      <c r="J742" s="41">
        <f>IF($B742="","",IFERROR(INDEX('작업 Jobs'!$P$3:$P$1002,MATCH($B742,'작업 Jobs'!$A$3:$A$1002,0)),""))</f>
      </c>
    </row>
    <row r="743" spans="7:10" x14ac:dyDescent="0.25">
      <c r="G743" s="42">
        <f>IF($B743="","",IFERROR(INDEX('작업 Jobs'!$D$3:$D$1002,MATCH($B743,'작업 Jobs'!$A$3:$A$1002,0)),"작업 ID 없음"))</f>
      </c>
      <c r="H743" s="41">
        <f>IF($C743="","",IF($D743="CARD",ROUND($C743*'설정 Settings'!$C$34+'설정 Settings'!$C$35,2),0))</f>
      </c>
      <c r="I743" s="42">
        <f>IF($C743="","",IF($C743&gt;'설정 Settings'!$C$36,"$2,000 초과: 은행 한도 확인, 나눠 받기 (F36)",""))</f>
      </c>
      <c r="J743" s="41">
        <f>IF($B743="","",IFERROR(INDEX('작업 Jobs'!$P$3:$P$1002,MATCH($B743,'작업 Jobs'!$A$3:$A$1002,0)),""))</f>
      </c>
    </row>
    <row r="744" spans="7:10" x14ac:dyDescent="0.25">
      <c r="G744" s="42">
        <f>IF($B744="","",IFERROR(INDEX('작업 Jobs'!$D$3:$D$1002,MATCH($B744,'작업 Jobs'!$A$3:$A$1002,0)),"작업 ID 없음"))</f>
      </c>
      <c r="H744" s="41">
        <f>IF($C744="","",IF($D744="CARD",ROUND($C744*'설정 Settings'!$C$34+'설정 Settings'!$C$35,2),0))</f>
      </c>
      <c r="I744" s="42">
        <f>IF($C744="","",IF($C744&gt;'설정 Settings'!$C$36,"$2,000 초과: 은행 한도 확인, 나눠 받기 (F36)",""))</f>
      </c>
      <c r="J744" s="41">
        <f>IF($B744="","",IFERROR(INDEX('작업 Jobs'!$P$3:$P$1002,MATCH($B744,'작업 Jobs'!$A$3:$A$1002,0)),""))</f>
      </c>
    </row>
    <row r="745" spans="7:10" x14ac:dyDescent="0.25">
      <c r="G745" s="42">
        <f>IF($B745="","",IFERROR(INDEX('작업 Jobs'!$D$3:$D$1002,MATCH($B745,'작업 Jobs'!$A$3:$A$1002,0)),"작업 ID 없음"))</f>
      </c>
      <c r="H745" s="41">
        <f>IF($C745="","",IF($D745="CARD",ROUND($C745*'설정 Settings'!$C$34+'설정 Settings'!$C$35,2),0))</f>
      </c>
      <c r="I745" s="42">
        <f>IF($C745="","",IF($C745&gt;'설정 Settings'!$C$36,"$2,000 초과: 은행 한도 확인, 나눠 받기 (F36)",""))</f>
      </c>
      <c r="J745" s="41">
        <f>IF($B745="","",IFERROR(INDEX('작업 Jobs'!$P$3:$P$1002,MATCH($B745,'작업 Jobs'!$A$3:$A$1002,0)),""))</f>
      </c>
    </row>
    <row r="746" spans="7:10" x14ac:dyDescent="0.25">
      <c r="G746" s="42">
        <f>IF($B746="","",IFERROR(INDEX('작업 Jobs'!$D$3:$D$1002,MATCH($B746,'작업 Jobs'!$A$3:$A$1002,0)),"작업 ID 없음"))</f>
      </c>
      <c r="H746" s="41">
        <f>IF($C746="","",IF($D746="CARD",ROUND($C746*'설정 Settings'!$C$34+'설정 Settings'!$C$35,2),0))</f>
      </c>
      <c r="I746" s="42">
        <f>IF($C746="","",IF($C746&gt;'설정 Settings'!$C$36,"$2,000 초과: 은행 한도 확인, 나눠 받기 (F36)",""))</f>
      </c>
      <c r="J746" s="41">
        <f>IF($B746="","",IFERROR(INDEX('작업 Jobs'!$P$3:$P$1002,MATCH($B746,'작업 Jobs'!$A$3:$A$1002,0)),""))</f>
      </c>
    </row>
    <row r="747" spans="7:10" x14ac:dyDescent="0.25">
      <c r="G747" s="42">
        <f>IF($B747="","",IFERROR(INDEX('작업 Jobs'!$D$3:$D$1002,MATCH($B747,'작업 Jobs'!$A$3:$A$1002,0)),"작업 ID 없음"))</f>
      </c>
      <c r="H747" s="41">
        <f>IF($C747="","",IF($D747="CARD",ROUND($C747*'설정 Settings'!$C$34+'설정 Settings'!$C$35,2),0))</f>
      </c>
      <c r="I747" s="42">
        <f>IF($C747="","",IF($C747&gt;'설정 Settings'!$C$36,"$2,000 초과: 은행 한도 확인, 나눠 받기 (F36)",""))</f>
      </c>
      <c r="J747" s="41">
        <f>IF($B747="","",IFERROR(INDEX('작업 Jobs'!$P$3:$P$1002,MATCH($B747,'작업 Jobs'!$A$3:$A$1002,0)),""))</f>
      </c>
    </row>
    <row r="748" spans="7:10" x14ac:dyDescent="0.25">
      <c r="G748" s="42">
        <f>IF($B748="","",IFERROR(INDEX('작업 Jobs'!$D$3:$D$1002,MATCH($B748,'작업 Jobs'!$A$3:$A$1002,0)),"작업 ID 없음"))</f>
      </c>
      <c r="H748" s="41">
        <f>IF($C748="","",IF($D748="CARD",ROUND($C748*'설정 Settings'!$C$34+'설정 Settings'!$C$35,2),0))</f>
      </c>
      <c r="I748" s="42">
        <f>IF($C748="","",IF($C748&gt;'설정 Settings'!$C$36,"$2,000 초과: 은행 한도 확인, 나눠 받기 (F36)",""))</f>
      </c>
      <c r="J748" s="41">
        <f>IF($B748="","",IFERROR(INDEX('작업 Jobs'!$P$3:$P$1002,MATCH($B748,'작업 Jobs'!$A$3:$A$1002,0)),""))</f>
      </c>
    </row>
    <row r="749" spans="7:10" x14ac:dyDescent="0.25">
      <c r="G749" s="42">
        <f>IF($B749="","",IFERROR(INDEX('작업 Jobs'!$D$3:$D$1002,MATCH($B749,'작업 Jobs'!$A$3:$A$1002,0)),"작업 ID 없음"))</f>
      </c>
      <c r="H749" s="41">
        <f>IF($C749="","",IF($D749="CARD",ROUND($C749*'설정 Settings'!$C$34+'설정 Settings'!$C$35,2),0))</f>
      </c>
      <c r="I749" s="42">
        <f>IF($C749="","",IF($C749&gt;'설정 Settings'!$C$36,"$2,000 초과: 은행 한도 확인, 나눠 받기 (F36)",""))</f>
      </c>
      <c r="J749" s="41">
        <f>IF($B749="","",IFERROR(INDEX('작업 Jobs'!$P$3:$P$1002,MATCH($B749,'작업 Jobs'!$A$3:$A$1002,0)),""))</f>
      </c>
    </row>
    <row r="750" spans="7:10" x14ac:dyDescent="0.25">
      <c r="G750" s="42">
        <f>IF($B750="","",IFERROR(INDEX('작업 Jobs'!$D$3:$D$1002,MATCH($B750,'작업 Jobs'!$A$3:$A$1002,0)),"작업 ID 없음"))</f>
      </c>
      <c r="H750" s="41">
        <f>IF($C750="","",IF($D750="CARD",ROUND($C750*'설정 Settings'!$C$34+'설정 Settings'!$C$35,2),0))</f>
      </c>
      <c r="I750" s="42">
        <f>IF($C750="","",IF($C750&gt;'설정 Settings'!$C$36,"$2,000 초과: 은행 한도 확인, 나눠 받기 (F36)",""))</f>
      </c>
      <c r="J750" s="41">
        <f>IF($B750="","",IFERROR(INDEX('작업 Jobs'!$P$3:$P$1002,MATCH($B750,'작업 Jobs'!$A$3:$A$1002,0)),""))</f>
      </c>
    </row>
    <row r="751" spans="7:10" x14ac:dyDescent="0.25">
      <c r="G751" s="42">
        <f>IF($B751="","",IFERROR(INDEX('작업 Jobs'!$D$3:$D$1002,MATCH($B751,'작업 Jobs'!$A$3:$A$1002,0)),"작업 ID 없음"))</f>
      </c>
      <c r="H751" s="41">
        <f>IF($C751="","",IF($D751="CARD",ROUND($C751*'설정 Settings'!$C$34+'설정 Settings'!$C$35,2),0))</f>
      </c>
      <c r="I751" s="42">
        <f>IF($C751="","",IF($C751&gt;'설정 Settings'!$C$36,"$2,000 초과: 은행 한도 확인, 나눠 받기 (F36)",""))</f>
      </c>
      <c r="J751" s="41">
        <f>IF($B751="","",IFERROR(INDEX('작업 Jobs'!$P$3:$P$1002,MATCH($B751,'작업 Jobs'!$A$3:$A$1002,0)),""))</f>
      </c>
    </row>
    <row r="752" spans="7:10" x14ac:dyDescent="0.25">
      <c r="G752" s="42">
        <f>IF($B752="","",IFERROR(INDEX('작업 Jobs'!$D$3:$D$1002,MATCH($B752,'작업 Jobs'!$A$3:$A$1002,0)),"작업 ID 없음"))</f>
      </c>
      <c r="H752" s="41">
        <f>IF($C752="","",IF($D752="CARD",ROUND($C752*'설정 Settings'!$C$34+'설정 Settings'!$C$35,2),0))</f>
      </c>
      <c r="I752" s="42">
        <f>IF($C752="","",IF($C752&gt;'설정 Settings'!$C$36,"$2,000 초과: 은행 한도 확인, 나눠 받기 (F36)",""))</f>
      </c>
      <c r="J752" s="41">
        <f>IF($B752="","",IFERROR(INDEX('작업 Jobs'!$P$3:$P$1002,MATCH($B752,'작업 Jobs'!$A$3:$A$1002,0)),""))</f>
      </c>
    </row>
    <row r="753" spans="7:10" x14ac:dyDescent="0.25">
      <c r="G753" s="42">
        <f>IF($B753="","",IFERROR(INDEX('작업 Jobs'!$D$3:$D$1002,MATCH($B753,'작업 Jobs'!$A$3:$A$1002,0)),"작업 ID 없음"))</f>
      </c>
      <c r="H753" s="41">
        <f>IF($C753="","",IF($D753="CARD",ROUND($C753*'설정 Settings'!$C$34+'설정 Settings'!$C$35,2),0))</f>
      </c>
      <c r="I753" s="42">
        <f>IF($C753="","",IF($C753&gt;'설정 Settings'!$C$36,"$2,000 초과: 은행 한도 확인, 나눠 받기 (F36)",""))</f>
      </c>
      <c r="J753" s="41">
        <f>IF($B753="","",IFERROR(INDEX('작업 Jobs'!$P$3:$P$1002,MATCH($B753,'작업 Jobs'!$A$3:$A$1002,0)),""))</f>
      </c>
    </row>
    <row r="754" spans="7:10" x14ac:dyDescent="0.25">
      <c r="G754" s="42">
        <f>IF($B754="","",IFERROR(INDEX('작업 Jobs'!$D$3:$D$1002,MATCH($B754,'작업 Jobs'!$A$3:$A$1002,0)),"작업 ID 없음"))</f>
      </c>
      <c r="H754" s="41">
        <f>IF($C754="","",IF($D754="CARD",ROUND($C754*'설정 Settings'!$C$34+'설정 Settings'!$C$35,2),0))</f>
      </c>
      <c r="I754" s="42">
        <f>IF($C754="","",IF($C754&gt;'설정 Settings'!$C$36,"$2,000 초과: 은행 한도 확인, 나눠 받기 (F36)",""))</f>
      </c>
      <c r="J754" s="41">
        <f>IF($B754="","",IFERROR(INDEX('작업 Jobs'!$P$3:$P$1002,MATCH($B754,'작업 Jobs'!$A$3:$A$1002,0)),""))</f>
      </c>
    </row>
    <row r="755" spans="7:10" x14ac:dyDescent="0.25">
      <c r="G755" s="42">
        <f>IF($B755="","",IFERROR(INDEX('작업 Jobs'!$D$3:$D$1002,MATCH($B755,'작업 Jobs'!$A$3:$A$1002,0)),"작업 ID 없음"))</f>
      </c>
      <c r="H755" s="41">
        <f>IF($C755="","",IF($D755="CARD",ROUND($C755*'설정 Settings'!$C$34+'설정 Settings'!$C$35,2),0))</f>
      </c>
      <c r="I755" s="42">
        <f>IF($C755="","",IF($C755&gt;'설정 Settings'!$C$36,"$2,000 초과: 은행 한도 확인, 나눠 받기 (F36)",""))</f>
      </c>
      <c r="J755" s="41">
        <f>IF($B755="","",IFERROR(INDEX('작업 Jobs'!$P$3:$P$1002,MATCH($B755,'작업 Jobs'!$A$3:$A$1002,0)),""))</f>
      </c>
    </row>
    <row r="756" spans="7:10" x14ac:dyDescent="0.25">
      <c r="G756" s="42">
        <f>IF($B756="","",IFERROR(INDEX('작업 Jobs'!$D$3:$D$1002,MATCH($B756,'작업 Jobs'!$A$3:$A$1002,0)),"작업 ID 없음"))</f>
      </c>
      <c r="H756" s="41">
        <f>IF($C756="","",IF($D756="CARD",ROUND($C756*'설정 Settings'!$C$34+'설정 Settings'!$C$35,2),0))</f>
      </c>
      <c r="I756" s="42">
        <f>IF($C756="","",IF($C756&gt;'설정 Settings'!$C$36,"$2,000 초과: 은행 한도 확인, 나눠 받기 (F36)",""))</f>
      </c>
      <c r="J756" s="41">
        <f>IF($B756="","",IFERROR(INDEX('작업 Jobs'!$P$3:$P$1002,MATCH($B756,'작업 Jobs'!$A$3:$A$1002,0)),""))</f>
      </c>
    </row>
    <row r="757" spans="7:10" x14ac:dyDescent="0.25">
      <c r="G757" s="42">
        <f>IF($B757="","",IFERROR(INDEX('작업 Jobs'!$D$3:$D$1002,MATCH($B757,'작업 Jobs'!$A$3:$A$1002,0)),"작업 ID 없음"))</f>
      </c>
      <c r="H757" s="41">
        <f>IF($C757="","",IF($D757="CARD",ROUND($C757*'설정 Settings'!$C$34+'설정 Settings'!$C$35,2),0))</f>
      </c>
      <c r="I757" s="42">
        <f>IF($C757="","",IF($C757&gt;'설정 Settings'!$C$36,"$2,000 초과: 은행 한도 확인, 나눠 받기 (F36)",""))</f>
      </c>
      <c r="J757" s="41">
        <f>IF($B757="","",IFERROR(INDEX('작업 Jobs'!$P$3:$P$1002,MATCH($B757,'작업 Jobs'!$A$3:$A$1002,0)),""))</f>
      </c>
    </row>
    <row r="758" spans="7:10" x14ac:dyDescent="0.25">
      <c r="G758" s="42">
        <f>IF($B758="","",IFERROR(INDEX('작업 Jobs'!$D$3:$D$1002,MATCH($B758,'작업 Jobs'!$A$3:$A$1002,0)),"작업 ID 없음"))</f>
      </c>
      <c r="H758" s="41">
        <f>IF($C758="","",IF($D758="CARD",ROUND($C758*'설정 Settings'!$C$34+'설정 Settings'!$C$35,2),0))</f>
      </c>
      <c r="I758" s="42">
        <f>IF($C758="","",IF($C758&gt;'설정 Settings'!$C$36,"$2,000 초과: 은행 한도 확인, 나눠 받기 (F36)",""))</f>
      </c>
      <c r="J758" s="41">
        <f>IF($B758="","",IFERROR(INDEX('작업 Jobs'!$P$3:$P$1002,MATCH($B758,'작업 Jobs'!$A$3:$A$1002,0)),""))</f>
      </c>
    </row>
    <row r="759" spans="7:10" x14ac:dyDescent="0.25">
      <c r="G759" s="42">
        <f>IF($B759="","",IFERROR(INDEX('작업 Jobs'!$D$3:$D$1002,MATCH($B759,'작업 Jobs'!$A$3:$A$1002,0)),"작업 ID 없음"))</f>
      </c>
      <c r="H759" s="41">
        <f>IF($C759="","",IF($D759="CARD",ROUND($C759*'설정 Settings'!$C$34+'설정 Settings'!$C$35,2),0))</f>
      </c>
      <c r="I759" s="42">
        <f>IF($C759="","",IF($C759&gt;'설정 Settings'!$C$36,"$2,000 초과: 은행 한도 확인, 나눠 받기 (F36)",""))</f>
      </c>
      <c r="J759" s="41">
        <f>IF($B759="","",IFERROR(INDEX('작업 Jobs'!$P$3:$P$1002,MATCH($B759,'작업 Jobs'!$A$3:$A$1002,0)),""))</f>
      </c>
    </row>
    <row r="760" spans="7:10" x14ac:dyDescent="0.25">
      <c r="G760" s="42">
        <f>IF($B760="","",IFERROR(INDEX('작업 Jobs'!$D$3:$D$1002,MATCH($B760,'작업 Jobs'!$A$3:$A$1002,0)),"작업 ID 없음"))</f>
      </c>
      <c r="H760" s="41">
        <f>IF($C760="","",IF($D760="CARD",ROUND($C760*'설정 Settings'!$C$34+'설정 Settings'!$C$35,2),0))</f>
      </c>
      <c r="I760" s="42">
        <f>IF($C760="","",IF($C760&gt;'설정 Settings'!$C$36,"$2,000 초과: 은행 한도 확인, 나눠 받기 (F36)",""))</f>
      </c>
      <c r="J760" s="41">
        <f>IF($B760="","",IFERROR(INDEX('작업 Jobs'!$P$3:$P$1002,MATCH($B760,'작업 Jobs'!$A$3:$A$1002,0)),""))</f>
      </c>
    </row>
    <row r="761" spans="7:10" x14ac:dyDescent="0.25">
      <c r="G761" s="42">
        <f>IF($B761="","",IFERROR(INDEX('작업 Jobs'!$D$3:$D$1002,MATCH($B761,'작업 Jobs'!$A$3:$A$1002,0)),"작업 ID 없음"))</f>
      </c>
      <c r="H761" s="41">
        <f>IF($C761="","",IF($D761="CARD",ROUND($C761*'설정 Settings'!$C$34+'설정 Settings'!$C$35,2),0))</f>
      </c>
      <c r="I761" s="42">
        <f>IF($C761="","",IF($C761&gt;'설정 Settings'!$C$36,"$2,000 초과: 은행 한도 확인, 나눠 받기 (F36)",""))</f>
      </c>
      <c r="J761" s="41">
        <f>IF($B761="","",IFERROR(INDEX('작업 Jobs'!$P$3:$P$1002,MATCH($B761,'작업 Jobs'!$A$3:$A$1002,0)),""))</f>
      </c>
    </row>
    <row r="762" spans="7:10" x14ac:dyDescent="0.25">
      <c r="G762" s="42">
        <f>IF($B762="","",IFERROR(INDEX('작업 Jobs'!$D$3:$D$1002,MATCH($B762,'작업 Jobs'!$A$3:$A$1002,0)),"작업 ID 없음"))</f>
      </c>
      <c r="H762" s="41">
        <f>IF($C762="","",IF($D762="CARD",ROUND($C762*'설정 Settings'!$C$34+'설정 Settings'!$C$35,2),0))</f>
      </c>
      <c r="I762" s="42">
        <f>IF($C762="","",IF($C762&gt;'설정 Settings'!$C$36,"$2,000 초과: 은행 한도 확인, 나눠 받기 (F36)",""))</f>
      </c>
      <c r="J762" s="41">
        <f>IF($B762="","",IFERROR(INDEX('작업 Jobs'!$P$3:$P$1002,MATCH($B762,'작업 Jobs'!$A$3:$A$1002,0)),""))</f>
      </c>
    </row>
    <row r="763" spans="7:10" x14ac:dyDescent="0.25">
      <c r="G763" s="42">
        <f>IF($B763="","",IFERROR(INDEX('작업 Jobs'!$D$3:$D$1002,MATCH($B763,'작업 Jobs'!$A$3:$A$1002,0)),"작업 ID 없음"))</f>
      </c>
      <c r="H763" s="41">
        <f>IF($C763="","",IF($D763="CARD",ROUND($C763*'설정 Settings'!$C$34+'설정 Settings'!$C$35,2),0))</f>
      </c>
      <c r="I763" s="42">
        <f>IF($C763="","",IF($C763&gt;'설정 Settings'!$C$36,"$2,000 초과: 은행 한도 확인, 나눠 받기 (F36)",""))</f>
      </c>
      <c r="J763" s="41">
        <f>IF($B763="","",IFERROR(INDEX('작업 Jobs'!$P$3:$P$1002,MATCH($B763,'작업 Jobs'!$A$3:$A$1002,0)),""))</f>
      </c>
    </row>
    <row r="764" spans="7:10" x14ac:dyDescent="0.25">
      <c r="G764" s="42">
        <f>IF($B764="","",IFERROR(INDEX('작업 Jobs'!$D$3:$D$1002,MATCH($B764,'작업 Jobs'!$A$3:$A$1002,0)),"작업 ID 없음"))</f>
      </c>
      <c r="H764" s="41">
        <f>IF($C764="","",IF($D764="CARD",ROUND($C764*'설정 Settings'!$C$34+'설정 Settings'!$C$35,2),0))</f>
      </c>
      <c r="I764" s="42">
        <f>IF($C764="","",IF($C764&gt;'설정 Settings'!$C$36,"$2,000 초과: 은행 한도 확인, 나눠 받기 (F36)",""))</f>
      </c>
      <c r="J764" s="41">
        <f>IF($B764="","",IFERROR(INDEX('작업 Jobs'!$P$3:$P$1002,MATCH($B764,'작업 Jobs'!$A$3:$A$1002,0)),""))</f>
      </c>
    </row>
    <row r="765" spans="7:10" x14ac:dyDescent="0.25">
      <c r="G765" s="42">
        <f>IF($B765="","",IFERROR(INDEX('작업 Jobs'!$D$3:$D$1002,MATCH($B765,'작업 Jobs'!$A$3:$A$1002,0)),"작업 ID 없음"))</f>
      </c>
      <c r="H765" s="41">
        <f>IF($C765="","",IF($D765="CARD",ROUND($C765*'설정 Settings'!$C$34+'설정 Settings'!$C$35,2),0))</f>
      </c>
      <c r="I765" s="42">
        <f>IF($C765="","",IF($C765&gt;'설정 Settings'!$C$36,"$2,000 초과: 은행 한도 확인, 나눠 받기 (F36)",""))</f>
      </c>
      <c r="J765" s="41">
        <f>IF($B765="","",IFERROR(INDEX('작업 Jobs'!$P$3:$P$1002,MATCH($B765,'작업 Jobs'!$A$3:$A$1002,0)),""))</f>
      </c>
    </row>
    <row r="766" spans="7:10" x14ac:dyDescent="0.25">
      <c r="G766" s="42">
        <f>IF($B766="","",IFERROR(INDEX('작업 Jobs'!$D$3:$D$1002,MATCH($B766,'작업 Jobs'!$A$3:$A$1002,0)),"작업 ID 없음"))</f>
      </c>
      <c r="H766" s="41">
        <f>IF($C766="","",IF($D766="CARD",ROUND($C766*'설정 Settings'!$C$34+'설정 Settings'!$C$35,2),0))</f>
      </c>
      <c r="I766" s="42">
        <f>IF($C766="","",IF($C766&gt;'설정 Settings'!$C$36,"$2,000 초과: 은행 한도 확인, 나눠 받기 (F36)",""))</f>
      </c>
      <c r="J766" s="41">
        <f>IF($B766="","",IFERROR(INDEX('작업 Jobs'!$P$3:$P$1002,MATCH($B766,'작업 Jobs'!$A$3:$A$1002,0)),""))</f>
      </c>
    </row>
    <row r="767" spans="7:10" x14ac:dyDescent="0.25">
      <c r="G767" s="42">
        <f>IF($B767="","",IFERROR(INDEX('작업 Jobs'!$D$3:$D$1002,MATCH($B767,'작업 Jobs'!$A$3:$A$1002,0)),"작업 ID 없음"))</f>
      </c>
      <c r="H767" s="41">
        <f>IF($C767="","",IF($D767="CARD",ROUND($C767*'설정 Settings'!$C$34+'설정 Settings'!$C$35,2),0))</f>
      </c>
      <c r="I767" s="42">
        <f>IF($C767="","",IF($C767&gt;'설정 Settings'!$C$36,"$2,000 초과: 은행 한도 확인, 나눠 받기 (F36)",""))</f>
      </c>
      <c r="J767" s="41">
        <f>IF($B767="","",IFERROR(INDEX('작업 Jobs'!$P$3:$P$1002,MATCH($B767,'작업 Jobs'!$A$3:$A$1002,0)),""))</f>
      </c>
    </row>
    <row r="768" spans="7:10" x14ac:dyDescent="0.25">
      <c r="G768" s="42">
        <f>IF($B768="","",IFERROR(INDEX('작업 Jobs'!$D$3:$D$1002,MATCH($B768,'작업 Jobs'!$A$3:$A$1002,0)),"작업 ID 없음"))</f>
      </c>
      <c r="H768" s="41">
        <f>IF($C768="","",IF($D768="CARD",ROUND($C768*'설정 Settings'!$C$34+'설정 Settings'!$C$35,2),0))</f>
      </c>
      <c r="I768" s="42">
        <f>IF($C768="","",IF($C768&gt;'설정 Settings'!$C$36,"$2,000 초과: 은행 한도 확인, 나눠 받기 (F36)",""))</f>
      </c>
      <c r="J768" s="41">
        <f>IF($B768="","",IFERROR(INDEX('작업 Jobs'!$P$3:$P$1002,MATCH($B768,'작업 Jobs'!$A$3:$A$1002,0)),""))</f>
      </c>
    </row>
    <row r="769" spans="7:10" x14ac:dyDescent="0.25">
      <c r="G769" s="42">
        <f>IF($B769="","",IFERROR(INDEX('작업 Jobs'!$D$3:$D$1002,MATCH($B769,'작업 Jobs'!$A$3:$A$1002,0)),"작업 ID 없음"))</f>
      </c>
      <c r="H769" s="41">
        <f>IF($C769="","",IF($D769="CARD",ROUND($C769*'설정 Settings'!$C$34+'설정 Settings'!$C$35,2),0))</f>
      </c>
      <c r="I769" s="42">
        <f>IF($C769="","",IF($C769&gt;'설정 Settings'!$C$36,"$2,000 초과: 은행 한도 확인, 나눠 받기 (F36)",""))</f>
      </c>
      <c r="J769" s="41">
        <f>IF($B769="","",IFERROR(INDEX('작업 Jobs'!$P$3:$P$1002,MATCH($B769,'작업 Jobs'!$A$3:$A$1002,0)),""))</f>
      </c>
    </row>
    <row r="770" spans="7:10" x14ac:dyDescent="0.25">
      <c r="G770" s="42">
        <f>IF($B770="","",IFERROR(INDEX('작업 Jobs'!$D$3:$D$1002,MATCH($B770,'작업 Jobs'!$A$3:$A$1002,0)),"작업 ID 없음"))</f>
      </c>
      <c r="H770" s="41">
        <f>IF($C770="","",IF($D770="CARD",ROUND($C770*'설정 Settings'!$C$34+'설정 Settings'!$C$35,2),0))</f>
      </c>
      <c r="I770" s="42">
        <f>IF($C770="","",IF($C770&gt;'설정 Settings'!$C$36,"$2,000 초과: 은행 한도 확인, 나눠 받기 (F36)",""))</f>
      </c>
      <c r="J770" s="41">
        <f>IF($B770="","",IFERROR(INDEX('작업 Jobs'!$P$3:$P$1002,MATCH($B770,'작업 Jobs'!$A$3:$A$1002,0)),""))</f>
      </c>
    </row>
    <row r="771" spans="7:10" x14ac:dyDescent="0.25">
      <c r="G771" s="42">
        <f>IF($B771="","",IFERROR(INDEX('작업 Jobs'!$D$3:$D$1002,MATCH($B771,'작업 Jobs'!$A$3:$A$1002,0)),"작업 ID 없음"))</f>
      </c>
      <c r="H771" s="41">
        <f>IF($C771="","",IF($D771="CARD",ROUND($C771*'설정 Settings'!$C$34+'설정 Settings'!$C$35,2),0))</f>
      </c>
      <c r="I771" s="42">
        <f>IF($C771="","",IF($C771&gt;'설정 Settings'!$C$36,"$2,000 초과: 은행 한도 확인, 나눠 받기 (F36)",""))</f>
      </c>
      <c r="J771" s="41">
        <f>IF($B771="","",IFERROR(INDEX('작업 Jobs'!$P$3:$P$1002,MATCH($B771,'작업 Jobs'!$A$3:$A$1002,0)),""))</f>
      </c>
    </row>
    <row r="772" spans="7:10" x14ac:dyDescent="0.25">
      <c r="G772" s="42">
        <f>IF($B772="","",IFERROR(INDEX('작업 Jobs'!$D$3:$D$1002,MATCH($B772,'작업 Jobs'!$A$3:$A$1002,0)),"작업 ID 없음"))</f>
      </c>
      <c r="H772" s="41">
        <f>IF($C772="","",IF($D772="CARD",ROUND($C772*'설정 Settings'!$C$34+'설정 Settings'!$C$35,2),0))</f>
      </c>
      <c r="I772" s="42">
        <f>IF($C772="","",IF($C772&gt;'설정 Settings'!$C$36,"$2,000 초과: 은행 한도 확인, 나눠 받기 (F36)",""))</f>
      </c>
      <c r="J772" s="41">
        <f>IF($B772="","",IFERROR(INDEX('작업 Jobs'!$P$3:$P$1002,MATCH($B772,'작업 Jobs'!$A$3:$A$1002,0)),""))</f>
      </c>
    </row>
    <row r="773" spans="7:10" x14ac:dyDescent="0.25">
      <c r="G773" s="42">
        <f>IF($B773="","",IFERROR(INDEX('작업 Jobs'!$D$3:$D$1002,MATCH($B773,'작업 Jobs'!$A$3:$A$1002,0)),"작업 ID 없음"))</f>
      </c>
      <c r="H773" s="41">
        <f>IF($C773="","",IF($D773="CARD",ROUND($C773*'설정 Settings'!$C$34+'설정 Settings'!$C$35,2),0))</f>
      </c>
      <c r="I773" s="42">
        <f>IF($C773="","",IF($C773&gt;'설정 Settings'!$C$36,"$2,000 초과: 은행 한도 확인, 나눠 받기 (F36)",""))</f>
      </c>
      <c r="J773" s="41">
        <f>IF($B773="","",IFERROR(INDEX('작업 Jobs'!$P$3:$P$1002,MATCH($B773,'작업 Jobs'!$A$3:$A$1002,0)),""))</f>
      </c>
    </row>
    <row r="774" spans="7:10" x14ac:dyDescent="0.25">
      <c r="G774" s="42">
        <f>IF($B774="","",IFERROR(INDEX('작업 Jobs'!$D$3:$D$1002,MATCH($B774,'작업 Jobs'!$A$3:$A$1002,0)),"작업 ID 없음"))</f>
      </c>
      <c r="H774" s="41">
        <f>IF($C774="","",IF($D774="CARD",ROUND($C774*'설정 Settings'!$C$34+'설정 Settings'!$C$35,2),0))</f>
      </c>
      <c r="I774" s="42">
        <f>IF($C774="","",IF($C774&gt;'설정 Settings'!$C$36,"$2,000 초과: 은행 한도 확인, 나눠 받기 (F36)",""))</f>
      </c>
      <c r="J774" s="41">
        <f>IF($B774="","",IFERROR(INDEX('작업 Jobs'!$P$3:$P$1002,MATCH($B774,'작업 Jobs'!$A$3:$A$1002,0)),""))</f>
      </c>
    </row>
    <row r="775" spans="7:10" x14ac:dyDescent="0.25">
      <c r="G775" s="42">
        <f>IF($B775="","",IFERROR(INDEX('작업 Jobs'!$D$3:$D$1002,MATCH($B775,'작업 Jobs'!$A$3:$A$1002,0)),"작업 ID 없음"))</f>
      </c>
      <c r="H775" s="41">
        <f>IF($C775="","",IF($D775="CARD",ROUND($C775*'설정 Settings'!$C$34+'설정 Settings'!$C$35,2),0))</f>
      </c>
      <c r="I775" s="42">
        <f>IF($C775="","",IF($C775&gt;'설정 Settings'!$C$36,"$2,000 초과: 은행 한도 확인, 나눠 받기 (F36)",""))</f>
      </c>
      <c r="J775" s="41">
        <f>IF($B775="","",IFERROR(INDEX('작업 Jobs'!$P$3:$P$1002,MATCH($B775,'작업 Jobs'!$A$3:$A$1002,0)),""))</f>
      </c>
    </row>
    <row r="776" spans="7:10" x14ac:dyDescent="0.25">
      <c r="G776" s="42">
        <f>IF($B776="","",IFERROR(INDEX('작업 Jobs'!$D$3:$D$1002,MATCH($B776,'작업 Jobs'!$A$3:$A$1002,0)),"작업 ID 없음"))</f>
      </c>
      <c r="H776" s="41">
        <f>IF($C776="","",IF($D776="CARD",ROUND($C776*'설정 Settings'!$C$34+'설정 Settings'!$C$35,2),0))</f>
      </c>
      <c r="I776" s="42">
        <f>IF($C776="","",IF($C776&gt;'설정 Settings'!$C$36,"$2,000 초과: 은행 한도 확인, 나눠 받기 (F36)",""))</f>
      </c>
      <c r="J776" s="41">
        <f>IF($B776="","",IFERROR(INDEX('작업 Jobs'!$P$3:$P$1002,MATCH($B776,'작업 Jobs'!$A$3:$A$1002,0)),""))</f>
      </c>
    </row>
    <row r="777" spans="7:10" x14ac:dyDescent="0.25">
      <c r="G777" s="42">
        <f>IF($B777="","",IFERROR(INDEX('작업 Jobs'!$D$3:$D$1002,MATCH($B777,'작업 Jobs'!$A$3:$A$1002,0)),"작업 ID 없음"))</f>
      </c>
      <c r="H777" s="41">
        <f>IF($C777="","",IF($D777="CARD",ROUND($C777*'설정 Settings'!$C$34+'설정 Settings'!$C$35,2),0))</f>
      </c>
      <c r="I777" s="42">
        <f>IF($C777="","",IF($C777&gt;'설정 Settings'!$C$36,"$2,000 초과: 은행 한도 확인, 나눠 받기 (F36)",""))</f>
      </c>
      <c r="J777" s="41">
        <f>IF($B777="","",IFERROR(INDEX('작업 Jobs'!$P$3:$P$1002,MATCH($B777,'작업 Jobs'!$A$3:$A$1002,0)),""))</f>
      </c>
    </row>
    <row r="778" spans="7:10" x14ac:dyDescent="0.25">
      <c r="G778" s="42">
        <f>IF($B778="","",IFERROR(INDEX('작업 Jobs'!$D$3:$D$1002,MATCH($B778,'작업 Jobs'!$A$3:$A$1002,0)),"작업 ID 없음"))</f>
      </c>
      <c r="H778" s="41">
        <f>IF($C778="","",IF($D778="CARD",ROUND($C778*'설정 Settings'!$C$34+'설정 Settings'!$C$35,2),0))</f>
      </c>
      <c r="I778" s="42">
        <f>IF($C778="","",IF($C778&gt;'설정 Settings'!$C$36,"$2,000 초과: 은행 한도 확인, 나눠 받기 (F36)",""))</f>
      </c>
      <c r="J778" s="41">
        <f>IF($B778="","",IFERROR(INDEX('작업 Jobs'!$P$3:$P$1002,MATCH($B778,'작업 Jobs'!$A$3:$A$1002,0)),""))</f>
      </c>
    </row>
    <row r="779" spans="7:10" x14ac:dyDescent="0.25">
      <c r="G779" s="42">
        <f>IF($B779="","",IFERROR(INDEX('작업 Jobs'!$D$3:$D$1002,MATCH($B779,'작업 Jobs'!$A$3:$A$1002,0)),"작업 ID 없음"))</f>
      </c>
      <c r="H779" s="41">
        <f>IF($C779="","",IF($D779="CARD",ROUND($C779*'설정 Settings'!$C$34+'설정 Settings'!$C$35,2),0))</f>
      </c>
      <c r="I779" s="42">
        <f>IF($C779="","",IF($C779&gt;'설정 Settings'!$C$36,"$2,000 초과: 은행 한도 확인, 나눠 받기 (F36)",""))</f>
      </c>
      <c r="J779" s="41">
        <f>IF($B779="","",IFERROR(INDEX('작업 Jobs'!$P$3:$P$1002,MATCH($B779,'작업 Jobs'!$A$3:$A$1002,0)),""))</f>
      </c>
    </row>
    <row r="780" spans="7:10" x14ac:dyDescent="0.25">
      <c r="G780" s="42">
        <f>IF($B780="","",IFERROR(INDEX('작업 Jobs'!$D$3:$D$1002,MATCH($B780,'작업 Jobs'!$A$3:$A$1002,0)),"작업 ID 없음"))</f>
      </c>
      <c r="H780" s="41">
        <f>IF($C780="","",IF($D780="CARD",ROUND($C780*'설정 Settings'!$C$34+'설정 Settings'!$C$35,2),0))</f>
      </c>
      <c r="I780" s="42">
        <f>IF($C780="","",IF($C780&gt;'설정 Settings'!$C$36,"$2,000 초과: 은행 한도 확인, 나눠 받기 (F36)",""))</f>
      </c>
      <c r="J780" s="41">
        <f>IF($B780="","",IFERROR(INDEX('작업 Jobs'!$P$3:$P$1002,MATCH($B780,'작업 Jobs'!$A$3:$A$1002,0)),""))</f>
      </c>
    </row>
    <row r="781" spans="7:10" x14ac:dyDescent="0.25">
      <c r="G781" s="42">
        <f>IF($B781="","",IFERROR(INDEX('작업 Jobs'!$D$3:$D$1002,MATCH($B781,'작업 Jobs'!$A$3:$A$1002,0)),"작업 ID 없음"))</f>
      </c>
      <c r="H781" s="41">
        <f>IF($C781="","",IF($D781="CARD",ROUND($C781*'설정 Settings'!$C$34+'설정 Settings'!$C$35,2),0))</f>
      </c>
      <c r="I781" s="42">
        <f>IF($C781="","",IF($C781&gt;'설정 Settings'!$C$36,"$2,000 초과: 은행 한도 확인, 나눠 받기 (F36)",""))</f>
      </c>
      <c r="J781" s="41">
        <f>IF($B781="","",IFERROR(INDEX('작업 Jobs'!$P$3:$P$1002,MATCH($B781,'작업 Jobs'!$A$3:$A$1002,0)),""))</f>
      </c>
    </row>
    <row r="782" spans="7:10" x14ac:dyDescent="0.25">
      <c r="G782" s="42">
        <f>IF($B782="","",IFERROR(INDEX('작업 Jobs'!$D$3:$D$1002,MATCH($B782,'작업 Jobs'!$A$3:$A$1002,0)),"작업 ID 없음"))</f>
      </c>
      <c r="H782" s="41">
        <f>IF($C782="","",IF($D782="CARD",ROUND($C782*'설정 Settings'!$C$34+'설정 Settings'!$C$35,2),0))</f>
      </c>
      <c r="I782" s="42">
        <f>IF($C782="","",IF($C782&gt;'설정 Settings'!$C$36,"$2,000 초과: 은행 한도 확인, 나눠 받기 (F36)",""))</f>
      </c>
      <c r="J782" s="41">
        <f>IF($B782="","",IFERROR(INDEX('작업 Jobs'!$P$3:$P$1002,MATCH($B782,'작업 Jobs'!$A$3:$A$1002,0)),""))</f>
      </c>
    </row>
    <row r="783" spans="7:10" x14ac:dyDescent="0.25">
      <c r="G783" s="42">
        <f>IF($B783="","",IFERROR(INDEX('작업 Jobs'!$D$3:$D$1002,MATCH($B783,'작업 Jobs'!$A$3:$A$1002,0)),"작업 ID 없음"))</f>
      </c>
      <c r="H783" s="41">
        <f>IF($C783="","",IF($D783="CARD",ROUND($C783*'설정 Settings'!$C$34+'설정 Settings'!$C$35,2),0))</f>
      </c>
      <c r="I783" s="42">
        <f>IF($C783="","",IF($C783&gt;'설정 Settings'!$C$36,"$2,000 초과: 은행 한도 확인, 나눠 받기 (F36)",""))</f>
      </c>
      <c r="J783" s="41">
        <f>IF($B783="","",IFERROR(INDEX('작업 Jobs'!$P$3:$P$1002,MATCH($B783,'작업 Jobs'!$A$3:$A$1002,0)),""))</f>
      </c>
    </row>
    <row r="784" spans="7:10" x14ac:dyDescent="0.25">
      <c r="G784" s="42">
        <f>IF($B784="","",IFERROR(INDEX('작업 Jobs'!$D$3:$D$1002,MATCH($B784,'작업 Jobs'!$A$3:$A$1002,0)),"작업 ID 없음"))</f>
      </c>
      <c r="H784" s="41">
        <f>IF($C784="","",IF($D784="CARD",ROUND($C784*'설정 Settings'!$C$34+'설정 Settings'!$C$35,2),0))</f>
      </c>
      <c r="I784" s="42">
        <f>IF($C784="","",IF($C784&gt;'설정 Settings'!$C$36,"$2,000 초과: 은행 한도 확인, 나눠 받기 (F36)",""))</f>
      </c>
      <c r="J784" s="41">
        <f>IF($B784="","",IFERROR(INDEX('작업 Jobs'!$P$3:$P$1002,MATCH($B784,'작업 Jobs'!$A$3:$A$1002,0)),""))</f>
      </c>
    </row>
    <row r="785" spans="7:10" x14ac:dyDescent="0.25">
      <c r="G785" s="42">
        <f>IF($B785="","",IFERROR(INDEX('작업 Jobs'!$D$3:$D$1002,MATCH($B785,'작업 Jobs'!$A$3:$A$1002,0)),"작업 ID 없음"))</f>
      </c>
      <c r="H785" s="41">
        <f>IF($C785="","",IF($D785="CARD",ROUND($C785*'설정 Settings'!$C$34+'설정 Settings'!$C$35,2),0))</f>
      </c>
      <c r="I785" s="42">
        <f>IF($C785="","",IF($C785&gt;'설정 Settings'!$C$36,"$2,000 초과: 은행 한도 확인, 나눠 받기 (F36)",""))</f>
      </c>
      <c r="J785" s="41">
        <f>IF($B785="","",IFERROR(INDEX('작업 Jobs'!$P$3:$P$1002,MATCH($B785,'작업 Jobs'!$A$3:$A$1002,0)),""))</f>
      </c>
    </row>
    <row r="786" spans="7:10" x14ac:dyDescent="0.25">
      <c r="G786" s="42">
        <f>IF($B786="","",IFERROR(INDEX('작업 Jobs'!$D$3:$D$1002,MATCH($B786,'작업 Jobs'!$A$3:$A$1002,0)),"작업 ID 없음"))</f>
      </c>
      <c r="H786" s="41">
        <f>IF($C786="","",IF($D786="CARD",ROUND($C786*'설정 Settings'!$C$34+'설정 Settings'!$C$35,2),0))</f>
      </c>
      <c r="I786" s="42">
        <f>IF($C786="","",IF($C786&gt;'설정 Settings'!$C$36,"$2,000 초과: 은행 한도 확인, 나눠 받기 (F36)",""))</f>
      </c>
      <c r="J786" s="41">
        <f>IF($B786="","",IFERROR(INDEX('작업 Jobs'!$P$3:$P$1002,MATCH($B786,'작업 Jobs'!$A$3:$A$1002,0)),""))</f>
      </c>
    </row>
    <row r="787" spans="7:10" x14ac:dyDescent="0.25">
      <c r="G787" s="42">
        <f>IF($B787="","",IFERROR(INDEX('작업 Jobs'!$D$3:$D$1002,MATCH($B787,'작업 Jobs'!$A$3:$A$1002,0)),"작업 ID 없음"))</f>
      </c>
      <c r="H787" s="41">
        <f>IF($C787="","",IF($D787="CARD",ROUND($C787*'설정 Settings'!$C$34+'설정 Settings'!$C$35,2),0))</f>
      </c>
      <c r="I787" s="42">
        <f>IF($C787="","",IF($C787&gt;'설정 Settings'!$C$36,"$2,000 초과: 은행 한도 확인, 나눠 받기 (F36)",""))</f>
      </c>
      <c r="J787" s="41">
        <f>IF($B787="","",IFERROR(INDEX('작업 Jobs'!$P$3:$P$1002,MATCH($B787,'작업 Jobs'!$A$3:$A$1002,0)),""))</f>
      </c>
    </row>
    <row r="788" spans="7:10" x14ac:dyDescent="0.25">
      <c r="G788" s="42">
        <f>IF($B788="","",IFERROR(INDEX('작업 Jobs'!$D$3:$D$1002,MATCH($B788,'작업 Jobs'!$A$3:$A$1002,0)),"작업 ID 없음"))</f>
      </c>
      <c r="H788" s="41">
        <f>IF($C788="","",IF($D788="CARD",ROUND($C788*'설정 Settings'!$C$34+'설정 Settings'!$C$35,2),0))</f>
      </c>
      <c r="I788" s="42">
        <f>IF($C788="","",IF($C788&gt;'설정 Settings'!$C$36,"$2,000 초과: 은행 한도 확인, 나눠 받기 (F36)",""))</f>
      </c>
      <c r="J788" s="41">
        <f>IF($B788="","",IFERROR(INDEX('작업 Jobs'!$P$3:$P$1002,MATCH($B788,'작업 Jobs'!$A$3:$A$1002,0)),""))</f>
      </c>
    </row>
    <row r="789" spans="7:10" x14ac:dyDescent="0.25">
      <c r="G789" s="42">
        <f>IF($B789="","",IFERROR(INDEX('작업 Jobs'!$D$3:$D$1002,MATCH($B789,'작업 Jobs'!$A$3:$A$1002,0)),"작업 ID 없음"))</f>
      </c>
      <c r="H789" s="41">
        <f>IF($C789="","",IF($D789="CARD",ROUND($C789*'설정 Settings'!$C$34+'설정 Settings'!$C$35,2),0))</f>
      </c>
      <c r="I789" s="42">
        <f>IF($C789="","",IF($C789&gt;'설정 Settings'!$C$36,"$2,000 초과: 은행 한도 확인, 나눠 받기 (F36)",""))</f>
      </c>
      <c r="J789" s="41">
        <f>IF($B789="","",IFERROR(INDEX('작업 Jobs'!$P$3:$P$1002,MATCH($B789,'작업 Jobs'!$A$3:$A$1002,0)),""))</f>
      </c>
    </row>
    <row r="790" spans="7:10" x14ac:dyDescent="0.25">
      <c r="G790" s="42">
        <f>IF($B790="","",IFERROR(INDEX('작업 Jobs'!$D$3:$D$1002,MATCH($B790,'작업 Jobs'!$A$3:$A$1002,0)),"작업 ID 없음"))</f>
      </c>
      <c r="H790" s="41">
        <f>IF($C790="","",IF($D790="CARD",ROUND($C790*'설정 Settings'!$C$34+'설정 Settings'!$C$35,2),0))</f>
      </c>
      <c r="I790" s="42">
        <f>IF($C790="","",IF($C790&gt;'설정 Settings'!$C$36,"$2,000 초과: 은행 한도 확인, 나눠 받기 (F36)",""))</f>
      </c>
      <c r="J790" s="41">
        <f>IF($B790="","",IFERROR(INDEX('작업 Jobs'!$P$3:$P$1002,MATCH($B790,'작업 Jobs'!$A$3:$A$1002,0)),""))</f>
      </c>
    </row>
    <row r="791" spans="7:10" x14ac:dyDescent="0.25">
      <c r="G791" s="42">
        <f>IF($B791="","",IFERROR(INDEX('작업 Jobs'!$D$3:$D$1002,MATCH($B791,'작업 Jobs'!$A$3:$A$1002,0)),"작업 ID 없음"))</f>
      </c>
      <c r="H791" s="41">
        <f>IF($C791="","",IF($D791="CARD",ROUND($C791*'설정 Settings'!$C$34+'설정 Settings'!$C$35,2),0))</f>
      </c>
      <c r="I791" s="42">
        <f>IF($C791="","",IF($C791&gt;'설정 Settings'!$C$36,"$2,000 초과: 은행 한도 확인, 나눠 받기 (F36)",""))</f>
      </c>
      <c r="J791" s="41">
        <f>IF($B791="","",IFERROR(INDEX('작업 Jobs'!$P$3:$P$1002,MATCH($B791,'작업 Jobs'!$A$3:$A$1002,0)),""))</f>
      </c>
    </row>
    <row r="792" spans="7:10" x14ac:dyDescent="0.25">
      <c r="G792" s="42">
        <f>IF($B792="","",IFERROR(INDEX('작업 Jobs'!$D$3:$D$1002,MATCH($B792,'작업 Jobs'!$A$3:$A$1002,0)),"작업 ID 없음"))</f>
      </c>
      <c r="H792" s="41">
        <f>IF($C792="","",IF($D792="CARD",ROUND($C792*'설정 Settings'!$C$34+'설정 Settings'!$C$35,2),0))</f>
      </c>
      <c r="I792" s="42">
        <f>IF($C792="","",IF($C792&gt;'설정 Settings'!$C$36,"$2,000 초과: 은행 한도 확인, 나눠 받기 (F36)",""))</f>
      </c>
      <c r="J792" s="41">
        <f>IF($B792="","",IFERROR(INDEX('작업 Jobs'!$P$3:$P$1002,MATCH($B792,'작업 Jobs'!$A$3:$A$1002,0)),""))</f>
      </c>
    </row>
    <row r="793" spans="7:10" x14ac:dyDescent="0.25">
      <c r="G793" s="42">
        <f>IF($B793="","",IFERROR(INDEX('작업 Jobs'!$D$3:$D$1002,MATCH($B793,'작업 Jobs'!$A$3:$A$1002,0)),"작업 ID 없음"))</f>
      </c>
      <c r="H793" s="41">
        <f>IF($C793="","",IF($D793="CARD",ROUND($C793*'설정 Settings'!$C$34+'설정 Settings'!$C$35,2),0))</f>
      </c>
      <c r="I793" s="42">
        <f>IF($C793="","",IF($C793&gt;'설정 Settings'!$C$36,"$2,000 초과: 은행 한도 확인, 나눠 받기 (F36)",""))</f>
      </c>
      <c r="J793" s="41">
        <f>IF($B793="","",IFERROR(INDEX('작업 Jobs'!$P$3:$P$1002,MATCH($B793,'작업 Jobs'!$A$3:$A$1002,0)),""))</f>
      </c>
    </row>
    <row r="794" spans="7:10" x14ac:dyDescent="0.25">
      <c r="G794" s="42">
        <f>IF($B794="","",IFERROR(INDEX('작업 Jobs'!$D$3:$D$1002,MATCH($B794,'작업 Jobs'!$A$3:$A$1002,0)),"작업 ID 없음"))</f>
      </c>
      <c r="H794" s="41">
        <f>IF($C794="","",IF($D794="CARD",ROUND($C794*'설정 Settings'!$C$34+'설정 Settings'!$C$35,2),0))</f>
      </c>
      <c r="I794" s="42">
        <f>IF($C794="","",IF($C794&gt;'설정 Settings'!$C$36,"$2,000 초과: 은행 한도 확인, 나눠 받기 (F36)",""))</f>
      </c>
      <c r="J794" s="41">
        <f>IF($B794="","",IFERROR(INDEX('작업 Jobs'!$P$3:$P$1002,MATCH($B794,'작업 Jobs'!$A$3:$A$1002,0)),""))</f>
      </c>
    </row>
    <row r="795" spans="7:10" x14ac:dyDescent="0.25">
      <c r="G795" s="42">
        <f>IF($B795="","",IFERROR(INDEX('작업 Jobs'!$D$3:$D$1002,MATCH($B795,'작업 Jobs'!$A$3:$A$1002,0)),"작업 ID 없음"))</f>
      </c>
      <c r="H795" s="41">
        <f>IF($C795="","",IF($D795="CARD",ROUND($C795*'설정 Settings'!$C$34+'설정 Settings'!$C$35,2),0))</f>
      </c>
      <c r="I795" s="42">
        <f>IF($C795="","",IF($C795&gt;'설정 Settings'!$C$36,"$2,000 초과: 은행 한도 확인, 나눠 받기 (F36)",""))</f>
      </c>
      <c r="J795" s="41">
        <f>IF($B795="","",IFERROR(INDEX('작업 Jobs'!$P$3:$P$1002,MATCH($B795,'작업 Jobs'!$A$3:$A$1002,0)),""))</f>
      </c>
    </row>
    <row r="796" spans="7:10" x14ac:dyDescent="0.25">
      <c r="G796" s="42">
        <f>IF($B796="","",IFERROR(INDEX('작업 Jobs'!$D$3:$D$1002,MATCH($B796,'작업 Jobs'!$A$3:$A$1002,0)),"작업 ID 없음"))</f>
      </c>
      <c r="H796" s="41">
        <f>IF($C796="","",IF($D796="CARD",ROUND($C796*'설정 Settings'!$C$34+'설정 Settings'!$C$35,2),0))</f>
      </c>
      <c r="I796" s="42">
        <f>IF($C796="","",IF($C796&gt;'설정 Settings'!$C$36,"$2,000 초과: 은행 한도 확인, 나눠 받기 (F36)",""))</f>
      </c>
      <c r="J796" s="41">
        <f>IF($B796="","",IFERROR(INDEX('작업 Jobs'!$P$3:$P$1002,MATCH($B796,'작업 Jobs'!$A$3:$A$1002,0)),""))</f>
      </c>
    </row>
    <row r="797" spans="7:10" x14ac:dyDescent="0.25">
      <c r="G797" s="42">
        <f>IF($B797="","",IFERROR(INDEX('작업 Jobs'!$D$3:$D$1002,MATCH($B797,'작업 Jobs'!$A$3:$A$1002,0)),"작업 ID 없음"))</f>
      </c>
      <c r="H797" s="41">
        <f>IF($C797="","",IF($D797="CARD",ROUND($C797*'설정 Settings'!$C$34+'설정 Settings'!$C$35,2),0))</f>
      </c>
      <c r="I797" s="42">
        <f>IF($C797="","",IF($C797&gt;'설정 Settings'!$C$36,"$2,000 초과: 은행 한도 확인, 나눠 받기 (F36)",""))</f>
      </c>
      <c r="J797" s="41">
        <f>IF($B797="","",IFERROR(INDEX('작업 Jobs'!$P$3:$P$1002,MATCH($B797,'작업 Jobs'!$A$3:$A$1002,0)),""))</f>
      </c>
    </row>
    <row r="798" spans="7:10" x14ac:dyDescent="0.25">
      <c r="G798" s="42">
        <f>IF($B798="","",IFERROR(INDEX('작업 Jobs'!$D$3:$D$1002,MATCH($B798,'작업 Jobs'!$A$3:$A$1002,0)),"작업 ID 없음"))</f>
      </c>
      <c r="H798" s="41">
        <f>IF($C798="","",IF($D798="CARD",ROUND($C798*'설정 Settings'!$C$34+'설정 Settings'!$C$35,2),0))</f>
      </c>
      <c r="I798" s="42">
        <f>IF($C798="","",IF($C798&gt;'설정 Settings'!$C$36,"$2,000 초과: 은행 한도 확인, 나눠 받기 (F36)",""))</f>
      </c>
      <c r="J798" s="41">
        <f>IF($B798="","",IFERROR(INDEX('작업 Jobs'!$P$3:$P$1002,MATCH($B798,'작업 Jobs'!$A$3:$A$1002,0)),""))</f>
      </c>
    </row>
    <row r="799" spans="7:10" x14ac:dyDescent="0.25">
      <c r="G799" s="42">
        <f>IF($B799="","",IFERROR(INDEX('작업 Jobs'!$D$3:$D$1002,MATCH($B799,'작업 Jobs'!$A$3:$A$1002,0)),"작업 ID 없음"))</f>
      </c>
      <c r="H799" s="41">
        <f>IF($C799="","",IF($D799="CARD",ROUND($C799*'설정 Settings'!$C$34+'설정 Settings'!$C$35,2),0))</f>
      </c>
      <c r="I799" s="42">
        <f>IF($C799="","",IF($C799&gt;'설정 Settings'!$C$36,"$2,000 초과: 은행 한도 확인, 나눠 받기 (F36)",""))</f>
      </c>
      <c r="J799" s="41">
        <f>IF($B799="","",IFERROR(INDEX('작업 Jobs'!$P$3:$P$1002,MATCH($B799,'작업 Jobs'!$A$3:$A$1002,0)),""))</f>
      </c>
    </row>
    <row r="800" spans="7:10" x14ac:dyDescent="0.25">
      <c r="G800" s="42">
        <f>IF($B800="","",IFERROR(INDEX('작업 Jobs'!$D$3:$D$1002,MATCH($B800,'작업 Jobs'!$A$3:$A$1002,0)),"작업 ID 없음"))</f>
      </c>
      <c r="H800" s="41">
        <f>IF($C800="","",IF($D800="CARD",ROUND($C800*'설정 Settings'!$C$34+'설정 Settings'!$C$35,2),0))</f>
      </c>
      <c r="I800" s="42">
        <f>IF($C800="","",IF($C800&gt;'설정 Settings'!$C$36,"$2,000 초과: 은행 한도 확인, 나눠 받기 (F36)",""))</f>
      </c>
      <c r="J800" s="41">
        <f>IF($B800="","",IFERROR(INDEX('작업 Jobs'!$P$3:$P$1002,MATCH($B800,'작업 Jobs'!$A$3:$A$1002,0)),""))</f>
      </c>
    </row>
    <row r="801" spans="7:10" x14ac:dyDescent="0.25">
      <c r="G801" s="42">
        <f>IF($B801="","",IFERROR(INDEX('작업 Jobs'!$D$3:$D$1002,MATCH($B801,'작업 Jobs'!$A$3:$A$1002,0)),"작업 ID 없음"))</f>
      </c>
      <c r="H801" s="41">
        <f>IF($C801="","",IF($D801="CARD",ROUND($C801*'설정 Settings'!$C$34+'설정 Settings'!$C$35,2),0))</f>
      </c>
      <c r="I801" s="42">
        <f>IF($C801="","",IF($C801&gt;'설정 Settings'!$C$36,"$2,000 초과: 은행 한도 확인, 나눠 받기 (F36)",""))</f>
      </c>
      <c r="J801" s="41">
        <f>IF($B801="","",IFERROR(INDEX('작업 Jobs'!$P$3:$P$1002,MATCH($B801,'작업 Jobs'!$A$3:$A$1002,0)),""))</f>
      </c>
    </row>
    <row r="802" spans="7:10" x14ac:dyDescent="0.25">
      <c r="G802" s="42">
        <f>IF($B802="","",IFERROR(INDEX('작업 Jobs'!$D$3:$D$1002,MATCH($B802,'작업 Jobs'!$A$3:$A$1002,0)),"작업 ID 없음"))</f>
      </c>
      <c r="H802" s="41">
        <f>IF($C802="","",IF($D802="CARD",ROUND($C802*'설정 Settings'!$C$34+'설정 Settings'!$C$35,2),0))</f>
      </c>
      <c r="I802" s="42">
        <f>IF($C802="","",IF($C802&gt;'설정 Settings'!$C$36,"$2,000 초과: 은행 한도 확인, 나눠 받기 (F36)",""))</f>
      </c>
      <c r="J802" s="41">
        <f>IF($B802="","",IFERROR(INDEX('작업 Jobs'!$P$3:$P$1002,MATCH($B802,'작업 Jobs'!$A$3:$A$1002,0)),""))</f>
      </c>
    </row>
    <row r="803" spans="7:10" x14ac:dyDescent="0.25">
      <c r="G803" s="42">
        <f>IF($B803="","",IFERROR(INDEX('작업 Jobs'!$D$3:$D$1002,MATCH($B803,'작업 Jobs'!$A$3:$A$1002,0)),"작업 ID 없음"))</f>
      </c>
      <c r="H803" s="41">
        <f>IF($C803="","",IF($D803="CARD",ROUND($C803*'설정 Settings'!$C$34+'설정 Settings'!$C$35,2),0))</f>
      </c>
      <c r="I803" s="42">
        <f>IF($C803="","",IF($C803&gt;'설정 Settings'!$C$36,"$2,000 초과: 은행 한도 확인, 나눠 받기 (F36)",""))</f>
      </c>
      <c r="J803" s="41">
        <f>IF($B803="","",IFERROR(INDEX('작업 Jobs'!$P$3:$P$1002,MATCH($B803,'작업 Jobs'!$A$3:$A$1002,0)),""))</f>
      </c>
    </row>
    <row r="804" spans="7:10" x14ac:dyDescent="0.25">
      <c r="G804" s="42">
        <f>IF($B804="","",IFERROR(INDEX('작업 Jobs'!$D$3:$D$1002,MATCH($B804,'작업 Jobs'!$A$3:$A$1002,0)),"작업 ID 없음"))</f>
      </c>
      <c r="H804" s="41">
        <f>IF($C804="","",IF($D804="CARD",ROUND($C804*'설정 Settings'!$C$34+'설정 Settings'!$C$35,2),0))</f>
      </c>
      <c r="I804" s="42">
        <f>IF($C804="","",IF($C804&gt;'설정 Settings'!$C$36,"$2,000 초과: 은행 한도 확인, 나눠 받기 (F36)",""))</f>
      </c>
      <c r="J804" s="41">
        <f>IF($B804="","",IFERROR(INDEX('작업 Jobs'!$P$3:$P$1002,MATCH($B804,'작업 Jobs'!$A$3:$A$1002,0)),""))</f>
      </c>
    </row>
    <row r="805" spans="7:10" x14ac:dyDescent="0.25">
      <c r="G805" s="42">
        <f>IF($B805="","",IFERROR(INDEX('작업 Jobs'!$D$3:$D$1002,MATCH($B805,'작업 Jobs'!$A$3:$A$1002,0)),"작업 ID 없음"))</f>
      </c>
      <c r="H805" s="41">
        <f>IF($C805="","",IF($D805="CARD",ROUND($C805*'설정 Settings'!$C$34+'설정 Settings'!$C$35,2),0))</f>
      </c>
      <c r="I805" s="42">
        <f>IF($C805="","",IF($C805&gt;'설정 Settings'!$C$36,"$2,000 초과: 은행 한도 확인, 나눠 받기 (F36)",""))</f>
      </c>
      <c r="J805" s="41">
        <f>IF($B805="","",IFERROR(INDEX('작업 Jobs'!$P$3:$P$1002,MATCH($B805,'작업 Jobs'!$A$3:$A$1002,0)),""))</f>
      </c>
    </row>
    <row r="806" spans="7:10" x14ac:dyDescent="0.25">
      <c r="G806" s="42">
        <f>IF($B806="","",IFERROR(INDEX('작업 Jobs'!$D$3:$D$1002,MATCH($B806,'작업 Jobs'!$A$3:$A$1002,0)),"작업 ID 없음"))</f>
      </c>
      <c r="H806" s="41">
        <f>IF($C806="","",IF($D806="CARD",ROUND($C806*'설정 Settings'!$C$34+'설정 Settings'!$C$35,2),0))</f>
      </c>
      <c r="I806" s="42">
        <f>IF($C806="","",IF($C806&gt;'설정 Settings'!$C$36,"$2,000 초과: 은행 한도 확인, 나눠 받기 (F36)",""))</f>
      </c>
      <c r="J806" s="41">
        <f>IF($B806="","",IFERROR(INDEX('작업 Jobs'!$P$3:$P$1002,MATCH($B806,'작업 Jobs'!$A$3:$A$1002,0)),""))</f>
      </c>
    </row>
    <row r="807" spans="7:10" x14ac:dyDescent="0.25">
      <c r="G807" s="42">
        <f>IF($B807="","",IFERROR(INDEX('작업 Jobs'!$D$3:$D$1002,MATCH($B807,'작업 Jobs'!$A$3:$A$1002,0)),"작업 ID 없음"))</f>
      </c>
      <c r="H807" s="41">
        <f>IF($C807="","",IF($D807="CARD",ROUND($C807*'설정 Settings'!$C$34+'설정 Settings'!$C$35,2),0))</f>
      </c>
      <c r="I807" s="42">
        <f>IF($C807="","",IF($C807&gt;'설정 Settings'!$C$36,"$2,000 초과: 은행 한도 확인, 나눠 받기 (F36)",""))</f>
      </c>
      <c r="J807" s="41">
        <f>IF($B807="","",IFERROR(INDEX('작업 Jobs'!$P$3:$P$1002,MATCH($B807,'작업 Jobs'!$A$3:$A$1002,0)),""))</f>
      </c>
    </row>
    <row r="808" spans="7:10" x14ac:dyDescent="0.25">
      <c r="G808" s="42">
        <f>IF($B808="","",IFERROR(INDEX('작업 Jobs'!$D$3:$D$1002,MATCH($B808,'작업 Jobs'!$A$3:$A$1002,0)),"작업 ID 없음"))</f>
      </c>
      <c r="H808" s="41">
        <f>IF($C808="","",IF($D808="CARD",ROUND($C808*'설정 Settings'!$C$34+'설정 Settings'!$C$35,2),0))</f>
      </c>
      <c r="I808" s="42">
        <f>IF($C808="","",IF($C808&gt;'설정 Settings'!$C$36,"$2,000 초과: 은행 한도 확인, 나눠 받기 (F36)",""))</f>
      </c>
      <c r="J808" s="41">
        <f>IF($B808="","",IFERROR(INDEX('작업 Jobs'!$P$3:$P$1002,MATCH($B808,'작업 Jobs'!$A$3:$A$1002,0)),""))</f>
      </c>
    </row>
    <row r="809" spans="7:10" x14ac:dyDescent="0.25">
      <c r="G809" s="42">
        <f>IF($B809="","",IFERROR(INDEX('작업 Jobs'!$D$3:$D$1002,MATCH($B809,'작업 Jobs'!$A$3:$A$1002,0)),"작업 ID 없음"))</f>
      </c>
      <c r="H809" s="41">
        <f>IF($C809="","",IF($D809="CARD",ROUND($C809*'설정 Settings'!$C$34+'설정 Settings'!$C$35,2),0))</f>
      </c>
      <c r="I809" s="42">
        <f>IF($C809="","",IF($C809&gt;'설정 Settings'!$C$36,"$2,000 초과: 은행 한도 확인, 나눠 받기 (F36)",""))</f>
      </c>
      <c r="J809" s="41">
        <f>IF($B809="","",IFERROR(INDEX('작업 Jobs'!$P$3:$P$1002,MATCH($B809,'작업 Jobs'!$A$3:$A$1002,0)),""))</f>
      </c>
    </row>
    <row r="810" spans="7:10" x14ac:dyDescent="0.25">
      <c r="G810" s="42">
        <f>IF($B810="","",IFERROR(INDEX('작업 Jobs'!$D$3:$D$1002,MATCH($B810,'작업 Jobs'!$A$3:$A$1002,0)),"작업 ID 없음"))</f>
      </c>
      <c r="H810" s="41">
        <f>IF($C810="","",IF($D810="CARD",ROUND($C810*'설정 Settings'!$C$34+'설정 Settings'!$C$35,2),0))</f>
      </c>
      <c r="I810" s="42">
        <f>IF($C810="","",IF($C810&gt;'설정 Settings'!$C$36,"$2,000 초과: 은행 한도 확인, 나눠 받기 (F36)",""))</f>
      </c>
      <c r="J810" s="41">
        <f>IF($B810="","",IFERROR(INDEX('작업 Jobs'!$P$3:$P$1002,MATCH($B810,'작업 Jobs'!$A$3:$A$1002,0)),""))</f>
      </c>
    </row>
    <row r="811" spans="7:10" x14ac:dyDescent="0.25">
      <c r="G811" s="42">
        <f>IF($B811="","",IFERROR(INDEX('작업 Jobs'!$D$3:$D$1002,MATCH($B811,'작업 Jobs'!$A$3:$A$1002,0)),"작업 ID 없음"))</f>
      </c>
      <c r="H811" s="41">
        <f>IF($C811="","",IF($D811="CARD",ROUND($C811*'설정 Settings'!$C$34+'설정 Settings'!$C$35,2),0))</f>
      </c>
      <c r="I811" s="42">
        <f>IF($C811="","",IF($C811&gt;'설정 Settings'!$C$36,"$2,000 초과: 은행 한도 확인, 나눠 받기 (F36)",""))</f>
      </c>
      <c r="J811" s="41">
        <f>IF($B811="","",IFERROR(INDEX('작업 Jobs'!$P$3:$P$1002,MATCH($B811,'작업 Jobs'!$A$3:$A$1002,0)),""))</f>
      </c>
    </row>
    <row r="812" spans="7:10" x14ac:dyDescent="0.25">
      <c r="G812" s="42">
        <f>IF($B812="","",IFERROR(INDEX('작업 Jobs'!$D$3:$D$1002,MATCH($B812,'작업 Jobs'!$A$3:$A$1002,0)),"작업 ID 없음"))</f>
      </c>
      <c r="H812" s="41">
        <f>IF($C812="","",IF($D812="CARD",ROUND($C812*'설정 Settings'!$C$34+'설정 Settings'!$C$35,2),0))</f>
      </c>
      <c r="I812" s="42">
        <f>IF($C812="","",IF($C812&gt;'설정 Settings'!$C$36,"$2,000 초과: 은행 한도 확인, 나눠 받기 (F36)",""))</f>
      </c>
      <c r="J812" s="41">
        <f>IF($B812="","",IFERROR(INDEX('작업 Jobs'!$P$3:$P$1002,MATCH($B812,'작업 Jobs'!$A$3:$A$1002,0)),""))</f>
      </c>
    </row>
    <row r="813" spans="7:10" x14ac:dyDescent="0.25">
      <c r="G813" s="42">
        <f>IF($B813="","",IFERROR(INDEX('작업 Jobs'!$D$3:$D$1002,MATCH($B813,'작업 Jobs'!$A$3:$A$1002,0)),"작업 ID 없음"))</f>
      </c>
      <c r="H813" s="41">
        <f>IF($C813="","",IF($D813="CARD",ROUND($C813*'설정 Settings'!$C$34+'설정 Settings'!$C$35,2),0))</f>
      </c>
      <c r="I813" s="42">
        <f>IF($C813="","",IF($C813&gt;'설정 Settings'!$C$36,"$2,000 초과: 은행 한도 확인, 나눠 받기 (F36)",""))</f>
      </c>
      <c r="J813" s="41">
        <f>IF($B813="","",IFERROR(INDEX('작업 Jobs'!$P$3:$P$1002,MATCH($B813,'작업 Jobs'!$A$3:$A$1002,0)),""))</f>
      </c>
    </row>
    <row r="814" spans="7:10" x14ac:dyDescent="0.25">
      <c r="G814" s="42">
        <f>IF($B814="","",IFERROR(INDEX('작업 Jobs'!$D$3:$D$1002,MATCH($B814,'작업 Jobs'!$A$3:$A$1002,0)),"작업 ID 없음"))</f>
      </c>
      <c r="H814" s="41">
        <f>IF($C814="","",IF($D814="CARD",ROUND($C814*'설정 Settings'!$C$34+'설정 Settings'!$C$35,2),0))</f>
      </c>
      <c r="I814" s="42">
        <f>IF($C814="","",IF($C814&gt;'설정 Settings'!$C$36,"$2,000 초과: 은행 한도 확인, 나눠 받기 (F36)",""))</f>
      </c>
      <c r="J814" s="41">
        <f>IF($B814="","",IFERROR(INDEX('작업 Jobs'!$P$3:$P$1002,MATCH($B814,'작업 Jobs'!$A$3:$A$1002,0)),""))</f>
      </c>
    </row>
    <row r="815" spans="7:10" x14ac:dyDescent="0.25">
      <c r="G815" s="42">
        <f>IF($B815="","",IFERROR(INDEX('작업 Jobs'!$D$3:$D$1002,MATCH($B815,'작업 Jobs'!$A$3:$A$1002,0)),"작업 ID 없음"))</f>
      </c>
      <c r="H815" s="41">
        <f>IF($C815="","",IF($D815="CARD",ROUND($C815*'설정 Settings'!$C$34+'설정 Settings'!$C$35,2),0))</f>
      </c>
      <c r="I815" s="42">
        <f>IF($C815="","",IF($C815&gt;'설정 Settings'!$C$36,"$2,000 초과: 은행 한도 확인, 나눠 받기 (F36)",""))</f>
      </c>
      <c r="J815" s="41">
        <f>IF($B815="","",IFERROR(INDEX('작업 Jobs'!$P$3:$P$1002,MATCH($B815,'작업 Jobs'!$A$3:$A$1002,0)),""))</f>
      </c>
    </row>
    <row r="816" spans="7:10" x14ac:dyDescent="0.25">
      <c r="G816" s="42">
        <f>IF($B816="","",IFERROR(INDEX('작업 Jobs'!$D$3:$D$1002,MATCH($B816,'작업 Jobs'!$A$3:$A$1002,0)),"작업 ID 없음"))</f>
      </c>
      <c r="H816" s="41">
        <f>IF($C816="","",IF($D816="CARD",ROUND($C816*'설정 Settings'!$C$34+'설정 Settings'!$C$35,2),0))</f>
      </c>
      <c r="I816" s="42">
        <f>IF($C816="","",IF($C816&gt;'설정 Settings'!$C$36,"$2,000 초과: 은행 한도 확인, 나눠 받기 (F36)",""))</f>
      </c>
      <c r="J816" s="41">
        <f>IF($B816="","",IFERROR(INDEX('작업 Jobs'!$P$3:$P$1002,MATCH($B816,'작업 Jobs'!$A$3:$A$1002,0)),""))</f>
      </c>
    </row>
    <row r="817" spans="7:10" x14ac:dyDescent="0.25">
      <c r="G817" s="42">
        <f>IF($B817="","",IFERROR(INDEX('작업 Jobs'!$D$3:$D$1002,MATCH($B817,'작업 Jobs'!$A$3:$A$1002,0)),"작업 ID 없음"))</f>
      </c>
      <c r="H817" s="41">
        <f>IF($C817="","",IF($D817="CARD",ROUND($C817*'설정 Settings'!$C$34+'설정 Settings'!$C$35,2),0))</f>
      </c>
      <c r="I817" s="42">
        <f>IF($C817="","",IF($C817&gt;'설정 Settings'!$C$36,"$2,000 초과: 은행 한도 확인, 나눠 받기 (F36)",""))</f>
      </c>
      <c r="J817" s="41">
        <f>IF($B817="","",IFERROR(INDEX('작업 Jobs'!$P$3:$P$1002,MATCH($B817,'작업 Jobs'!$A$3:$A$1002,0)),""))</f>
      </c>
    </row>
    <row r="818" spans="7:10" x14ac:dyDescent="0.25">
      <c r="G818" s="42">
        <f>IF($B818="","",IFERROR(INDEX('작업 Jobs'!$D$3:$D$1002,MATCH($B818,'작업 Jobs'!$A$3:$A$1002,0)),"작업 ID 없음"))</f>
      </c>
      <c r="H818" s="41">
        <f>IF($C818="","",IF($D818="CARD",ROUND($C818*'설정 Settings'!$C$34+'설정 Settings'!$C$35,2),0))</f>
      </c>
      <c r="I818" s="42">
        <f>IF($C818="","",IF($C818&gt;'설정 Settings'!$C$36,"$2,000 초과: 은행 한도 확인, 나눠 받기 (F36)",""))</f>
      </c>
      <c r="J818" s="41">
        <f>IF($B818="","",IFERROR(INDEX('작업 Jobs'!$P$3:$P$1002,MATCH($B818,'작업 Jobs'!$A$3:$A$1002,0)),""))</f>
      </c>
    </row>
    <row r="819" spans="7:10" x14ac:dyDescent="0.25">
      <c r="G819" s="42">
        <f>IF($B819="","",IFERROR(INDEX('작업 Jobs'!$D$3:$D$1002,MATCH($B819,'작업 Jobs'!$A$3:$A$1002,0)),"작업 ID 없음"))</f>
      </c>
      <c r="H819" s="41">
        <f>IF($C819="","",IF($D819="CARD",ROUND($C819*'설정 Settings'!$C$34+'설정 Settings'!$C$35,2),0))</f>
      </c>
      <c r="I819" s="42">
        <f>IF($C819="","",IF($C819&gt;'설정 Settings'!$C$36,"$2,000 초과: 은행 한도 확인, 나눠 받기 (F36)",""))</f>
      </c>
      <c r="J819" s="41">
        <f>IF($B819="","",IFERROR(INDEX('작업 Jobs'!$P$3:$P$1002,MATCH($B819,'작업 Jobs'!$A$3:$A$1002,0)),""))</f>
      </c>
    </row>
    <row r="820" spans="7:10" x14ac:dyDescent="0.25">
      <c r="G820" s="42">
        <f>IF($B820="","",IFERROR(INDEX('작업 Jobs'!$D$3:$D$1002,MATCH($B820,'작업 Jobs'!$A$3:$A$1002,0)),"작업 ID 없음"))</f>
      </c>
      <c r="H820" s="41">
        <f>IF($C820="","",IF($D820="CARD",ROUND($C820*'설정 Settings'!$C$34+'설정 Settings'!$C$35,2),0))</f>
      </c>
      <c r="I820" s="42">
        <f>IF($C820="","",IF($C820&gt;'설정 Settings'!$C$36,"$2,000 초과: 은행 한도 확인, 나눠 받기 (F36)",""))</f>
      </c>
      <c r="J820" s="41">
        <f>IF($B820="","",IFERROR(INDEX('작업 Jobs'!$P$3:$P$1002,MATCH($B820,'작업 Jobs'!$A$3:$A$1002,0)),""))</f>
      </c>
    </row>
    <row r="821" spans="7:10" x14ac:dyDescent="0.25">
      <c r="G821" s="42">
        <f>IF($B821="","",IFERROR(INDEX('작업 Jobs'!$D$3:$D$1002,MATCH($B821,'작업 Jobs'!$A$3:$A$1002,0)),"작업 ID 없음"))</f>
      </c>
      <c r="H821" s="41">
        <f>IF($C821="","",IF($D821="CARD",ROUND($C821*'설정 Settings'!$C$34+'설정 Settings'!$C$35,2),0))</f>
      </c>
      <c r="I821" s="42">
        <f>IF($C821="","",IF($C821&gt;'설정 Settings'!$C$36,"$2,000 초과: 은행 한도 확인, 나눠 받기 (F36)",""))</f>
      </c>
      <c r="J821" s="41">
        <f>IF($B821="","",IFERROR(INDEX('작업 Jobs'!$P$3:$P$1002,MATCH($B821,'작업 Jobs'!$A$3:$A$1002,0)),""))</f>
      </c>
    </row>
    <row r="822" spans="7:10" x14ac:dyDescent="0.25">
      <c r="G822" s="42">
        <f>IF($B822="","",IFERROR(INDEX('작업 Jobs'!$D$3:$D$1002,MATCH($B822,'작업 Jobs'!$A$3:$A$1002,0)),"작업 ID 없음"))</f>
      </c>
      <c r="H822" s="41">
        <f>IF($C822="","",IF($D822="CARD",ROUND($C822*'설정 Settings'!$C$34+'설정 Settings'!$C$35,2),0))</f>
      </c>
      <c r="I822" s="42">
        <f>IF($C822="","",IF($C822&gt;'설정 Settings'!$C$36,"$2,000 초과: 은행 한도 확인, 나눠 받기 (F36)",""))</f>
      </c>
      <c r="J822" s="41">
        <f>IF($B822="","",IFERROR(INDEX('작업 Jobs'!$P$3:$P$1002,MATCH($B822,'작업 Jobs'!$A$3:$A$1002,0)),""))</f>
      </c>
    </row>
    <row r="823" spans="7:10" x14ac:dyDescent="0.25">
      <c r="G823" s="42">
        <f>IF($B823="","",IFERROR(INDEX('작업 Jobs'!$D$3:$D$1002,MATCH($B823,'작업 Jobs'!$A$3:$A$1002,0)),"작업 ID 없음"))</f>
      </c>
      <c r="H823" s="41">
        <f>IF($C823="","",IF($D823="CARD",ROUND($C823*'설정 Settings'!$C$34+'설정 Settings'!$C$35,2),0))</f>
      </c>
      <c r="I823" s="42">
        <f>IF($C823="","",IF($C823&gt;'설정 Settings'!$C$36,"$2,000 초과: 은행 한도 확인, 나눠 받기 (F36)",""))</f>
      </c>
      <c r="J823" s="41">
        <f>IF($B823="","",IFERROR(INDEX('작업 Jobs'!$P$3:$P$1002,MATCH($B823,'작업 Jobs'!$A$3:$A$1002,0)),""))</f>
      </c>
    </row>
    <row r="824" spans="7:10" x14ac:dyDescent="0.25">
      <c r="G824" s="42">
        <f>IF($B824="","",IFERROR(INDEX('작업 Jobs'!$D$3:$D$1002,MATCH($B824,'작업 Jobs'!$A$3:$A$1002,0)),"작업 ID 없음"))</f>
      </c>
      <c r="H824" s="41">
        <f>IF($C824="","",IF($D824="CARD",ROUND($C824*'설정 Settings'!$C$34+'설정 Settings'!$C$35,2),0))</f>
      </c>
      <c r="I824" s="42">
        <f>IF($C824="","",IF($C824&gt;'설정 Settings'!$C$36,"$2,000 초과: 은행 한도 확인, 나눠 받기 (F36)",""))</f>
      </c>
      <c r="J824" s="41">
        <f>IF($B824="","",IFERROR(INDEX('작업 Jobs'!$P$3:$P$1002,MATCH($B824,'작업 Jobs'!$A$3:$A$1002,0)),""))</f>
      </c>
    </row>
    <row r="825" spans="7:10" x14ac:dyDescent="0.25">
      <c r="G825" s="42">
        <f>IF($B825="","",IFERROR(INDEX('작업 Jobs'!$D$3:$D$1002,MATCH($B825,'작업 Jobs'!$A$3:$A$1002,0)),"작업 ID 없음"))</f>
      </c>
      <c r="H825" s="41">
        <f>IF($C825="","",IF($D825="CARD",ROUND($C825*'설정 Settings'!$C$34+'설정 Settings'!$C$35,2),0))</f>
      </c>
      <c r="I825" s="42">
        <f>IF($C825="","",IF($C825&gt;'설정 Settings'!$C$36,"$2,000 초과: 은행 한도 확인, 나눠 받기 (F36)",""))</f>
      </c>
      <c r="J825" s="41">
        <f>IF($B825="","",IFERROR(INDEX('작업 Jobs'!$P$3:$P$1002,MATCH($B825,'작업 Jobs'!$A$3:$A$1002,0)),""))</f>
      </c>
    </row>
    <row r="826" spans="7:10" x14ac:dyDescent="0.25">
      <c r="G826" s="42">
        <f>IF($B826="","",IFERROR(INDEX('작업 Jobs'!$D$3:$D$1002,MATCH($B826,'작업 Jobs'!$A$3:$A$1002,0)),"작업 ID 없음"))</f>
      </c>
      <c r="H826" s="41">
        <f>IF($C826="","",IF($D826="CARD",ROUND($C826*'설정 Settings'!$C$34+'설정 Settings'!$C$35,2),0))</f>
      </c>
      <c r="I826" s="42">
        <f>IF($C826="","",IF($C826&gt;'설정 Settings'!$C$36,"$2,000 초과: 은행 한도 확인, 나눠 받기 (F36)",""))</f>
      </c>
      <c r="J826" s="41">
        <f>IF($B826="","",IFERROR(INDEX('작업 Jobs'!$P$3:$P$1002,MATCH($B826,'작업 Jobs'!$A$3:$A$1002,0)),""))</f>
      </c>
    </row>
    <row r="827" spans="7:10" x14ac:dyDescent="0.25">
      <c r="G827" s="42">
        <f>IF($B827="","",IFERROR(INDEX('작업 Jobs'!$D$3:$D$1002,MATCH($B827,'작업 Jobs'!$A$3:$A$1002,0)),"작업 ID 없음"))</f>
      </c>
      <c r="H827" s="41">
        <f>IF($C827="","",IF($D827="CARD",ROUND($C827*'설정 Settings'!$C$34+'설정 Settings'!$C$35,2),0))</f>
      </c>
      <c r="I827" s="42">
        <f>IF($C827="","",IF($C827&gt;'설정 Settings'!$C$36,"$2,000 초과: 은행 한도 확인, 나눠 받기 (F36)",""))</f>
      </c>
      <c r="J827" s="41">
        <f>IF($B827="","",IFERROR(INDEX('작업 Jobs'!$P$3:$P$1002,MATCH($B827,'작업 Jobs'!$A$3:$A$1002,0)),""))</f>
      </c>
    </row>
    <row r="828" spans="7:10" x14ac:dyDescent="0.25">
      <c r="G828" s="42">
        <f>IF($B828="","",IFERROR(INDEX('작업 Jobs'!$D$3:$D$1002,MATCH($B828,'작업 Jobs'!$A$3:$A$1002,0)),"작업 ID 없음"))</f>
      </c>
      <c r="H828" s="41">
        <f>IF($C828="","",IF($D828="CARD",ROUND($C828*'설정 Settings'!$C$34+'설정 Settings'!$C$35,2),0))</f>
      </c>
      <c r="I828" s="42">
        <f>IF($C828="","",IF($C828&gt;'설정 Settings'!$C$36,"$2,000 초과: 은행 한도 확인, 나눠 받기 (F36)",""))</f>
      </c>
      <c r="J828" s="41">
        <f>IF($B828="","",IFERROR(INDEX('작업 Jobs'!$P$3:$P$1002,MATCH($B828,'작업 Jobs'!$A$3:$A$1002,0)),""))</f>
      </c>
    </row>
    <row r="829" spans="7:10" x14ac:dyDescent="0.25">
      <c r="G829" s="42">
        <f>IF($B829="","",IFERROR(INDEX('작업 Jobs'!$D$3:$D$1002,MATCH($B829,'작업 Jobs'!$A$3:$A$1002,0)),"작업 ID 없음"))</f>
      </c>
      <c r="H829" s="41">
        <f>IF($C829="","",IF($D829="CARD",ROUND($C829*'설정 Settings'!$C$34+'설정 Settings'!$C$35,2),0))</f>
      </c>
      <c r="I829" s="42">
        <f>IF($C829="","",IF($C829&gt;'설정 Settings'!$C$36,"$2,000 초과: 은행 한도 확인, 나눠 받기 (F36)",""))</f>
      </c>
      <c r="J829" s="41">
        <f>IF($B829="","",IFERROR(INDEX('작업 Jobs'!$P$3:$P$1002,MATCH($B829,'작업 Jobs'!$A$3:$A$1002,0)),""))</f>
      </c>
    </row>
    <row r="830" spans="7:10" x14ac:dyDescent="0.25">
      <c r="G830" s="42">
        <f>IF($B830="","",IFERROR(INDEX('작업 Jobs'!$D$3:$D$1002,MATCH($B830,'작업 Jobs'!$A$3:$A$1002,0)),"작업 ID 없음"))</f>
      </c>
      <c r="H830" s="41">
        <f>IF($C830="","",IF($D830="CARD",ROUND($C830*'설정 Settings'!$C$34+'설정 Settings'!$C$35,2),0))</f>
      </c>
      <c r="I830" s="42">
        <f>IF($C830="","",IF($C830&gt;'설정 Settings'!$C$36,"$2,000 초과: 은행 한도 확인, 나눠 받기 (F36)",""))</f>
      </c>
      <c r="J830" s="41">
        <f>IF($B830="","",IFERROR(INDEX('작업 Jobs'!$P$3:$P$1002,MATCH($B830,'작업 Jobs'!$A$3:$A$1002,0)),""))</f>
      </c>
    </row>
    <row r="831" spans="7:10" x14ac:dyDescent="0.25">
      <c r="G831" s="42">
        <f>IF($B831="","",IFERROR(INDEX('작업 Jobs'!$D$3:$D$1002,MATCH($B831,'작업 Jobs'!$A$3:$A$1002,0)),"작업 ID 없음"))</f>
      </c>
      <c r="H831" s="41">
        <f>IF($C831="","",IF($D831="CARD",ROUND($C831*'설정 Settings'!$C$34+'설정 Settings'!$C$35,2),0))</f>
      </c>
      <c r="I831" s="42">
        <f>IF($C831="","",IF($C831&gt;'설정 Settings'!$C$36,"$2,000 초과: 은행 한도 확인, 나눠 받기 (F36)",""))</f>
      </c>
      <c r="J831" s="41">
        <f>IF($B831="","",IFERROR(INDEX('작업 Jobs'!$P$3:$P$1002,MATCH($B831,'작업 Jobs'!$A$3:$A$1002,0)),""))</f>
      </c>
    </row>
    <row r="832" spans="7:10" x14ac:dyDescent="0.25">
      <c r="G832" s="42">
        <f>IF($B832="","",IFERROR(INDEX('작업 Jobs'!$D$3:$D$1002,MATCH($B832,'작업 Jobs'!$A$3:$A$1002,0)),"작업 ID 없음"))</f>
      </c>
      <c r="H832" s="41">
        <f>IF($C832="","",IF($D832="CARD",ROUND($C832*'설정 Settings'!$C$34+'설정 Settings'!$C$35,2),0))</f>
      </c>
      <c r="I832" s="42">
        <f>IF($C832="","",IF($C832&gt;'설정 Settings'!$C$36,"$2,000 초과: 은행 한도 확인, 나눠 받기 (F36)",""))</f>
      </c>
      <c r="J832" s="41">
        <f>IF($B832="","",IFERROR(INDEX('작업 Jobs'!$P$3:$P$1002,MATCH($B832,'작업 Jobs'!$A$3:$A$1002,0)),""))</f>
      </c>
    </row>
    <row r="833" spans="7:10" x14ac:dyDescent="0.25">
      <c r="G833" s="42">
        <f>IF($B833="","",IFERROR(INDEX('작업 Jobs'!$D$3:$D$1002,MATCH($B833,'작업 Jobs'!$A$3:$A$1002,0)),"작업 ID 없음"))</f>
      </c>
      <c r="H833" s="41">
        <f>IF($C833="","",IF($D833="CARD",ROUND($C833*'설정 Settings'!$C$34+'설정 Settings'!$C$35,2),0))</f>
      </c>
      <c r="I833" s="42">
        <f>IF($C833="","",IF($C833&gt;'설정 Settings'!$C$36,"$2,000 초과: 은행 한도 확인, 나눠 받기 (F36)",""))</f>
      </c>
      <c r="J833" s="41">
        <f>IF($B833="","",IFERROR(INDEX('작업 Jobs'!$P$3:$P$1002,MATCH($B833,'작업 Jobs'!$A$3:$A$1002,0)),""))</f>
      </c>
    </row>
    <row r="834" spans="7:10" x14ac:dyDescent="0.25">
      <c r="G834" s="42">
        <f>IF($B834="","",IFERROR(INDEX('작업 Jobs'!$D$3:$D$1002,MATCH($B834,'작업 Jobs'!$A$3:$A$1002,0)),"작업 ID 없음"))</f>
      </c>
      <c r="H834" s="41">
        <f>IF($C834="","",IF($D834="CARD",ROUND($C834*'설정 Settings'!$C$34+'설정 Settings'!$C$35,2),0))</f>
      </c>
      <c r="I834" s="42">
        <f>IF($C834="","",IF($C834&gt;'설정 Settings'!$C$36,"$2,000 초과: 은행 한도 확인, 나눠 받기 (F36)",""))</f>
      </c>
      <c r="J834" s="41">
        <f>IF($B834="","",IFERROR(INDEX('작업 Jobs'!$P$3:$P$1002,MATCH($B834,'작업 Jobs'!$A$3:$A$1002,0)),""))</f>
      </c>
    </row>
    <row r="835" spans="7:10" x14ac:dyDescent="0.25">
      <c r="G835" s="42">
        <f>IF($B835="","",IFERROR(INDEX('작업 Jobs'!$D$3:$D$1002,MATCH($B835,'작업 Jobs'!$A$3:$A$1002,0)),"작업 ID 없음"))</f>
      </c>
      <c r="H835" s="41">
        <f>IF($C835="","",IF($D835="CARD",ROUND($C835*'설정 Settings'!$C$34+'설정 Settings'!$C$35,2),0))</f>
      </c>
      <c r="I835" s="42">
        <f>IF($C835="","",IF($C835&gt;'설정 Settings'!$C$36,"$2,000 초과: 은행 한도 확인, 나눠 받기 (F36)",""))</f>
      </c>
      <c r="J835" s="41">
        <f>IF($B835="","",IFERROR(INDEX('작업 Jobs'!$P$3:$P$1002,MATCH($B835,'작업 Jobs'!$A$3:$A$1002,0)),""))</f>
      </c>
    </row>
    <row r="836" spans="7:10" x14ac:dyDescent="0.25">
      <c r="G836" s="42">
        <f>IF($B836="","",IFERROR(INDEX('작업 Jobs'!$D$3:$D$1002,MATCH($B836,'작업 Jobs'!$A$3:$A$1002,0)),"작업 ID 없음"))</f>
      </c>
      <c r="H836" s="41">
        <f>IF($C836="","",IF($D836="CARD",ROUND($C836*'설정 Settings'!$C$34+'설정 Settings'!$C$35,2),0))</f>
      </c>
      <c r="I836" s="42">
        <f>IF($C836="","",IF($C836&gt;'설정 Settings'!$C$36,"$2,000 초과: 은행 한도 확인, 나눠 받기 (F36)",""))</f>
      </c>
      <c r="J836" s="41">
        <f>IF($B836="","",IFERROR(INDEX('작업 Jobs'!$P$3:$P$1002,MATCH($B836,'작업 Jobs'!$A$3:$A$1002,0)),""))</f>
      </c>
    </row>
    <row r="837" spans="7:10" x14ac:dyDescent="0.25">
      <c r="G837" s="42">
        <f>IF($B837="","",IFERROR(INDEX('작업 Jobs'!$D$3:$D$1002,MATCH($B837,'작업 Jobs'!$A$3:$A$1002,0)),"작업 ID 없음"))</f>
      </c>
      <c r="H837" s="41">
        <f>IF($C837="","",IF($D837="CARD",ROUND($C837*'설정 Settings'!$C$34+'설정 Settings'!$C$35,2),0))</f>
      </c>
      <c r="I837" s="42">
        <f>IF($C837="","",IF($C837&gt;'설정 Settings'!$C$36,"$2,000 초과: 은행 한도 확인, 나눠 받기 (F36)",""))</f>
      </c>
      <c r="J837" s="41">
        <f>IF($B837="","",IFERROR(INDEX('작업 Jobs'!$P$3:$P$1002,MATCH($B837,'작업 Jobs'!$A$3:$A$1002,0)),""))</f>
      </c>
    </row>
    <row r="838" spans="7:10" x14ac:dyDescent="0.25">
      <c r="G838" s="42">
        <f>IF($B838="","",IFERROR(INDEX('작업 Jobs'!$D$3:$D$1002,MATCH($B838,'작업 Jobs'!$A$3:$A$1002,0)),"작업 ID 없음"))</f>
      </c>
      <c r="H838" s="41">
        <f>IF($C838="","",IF($D838="CARD",ROUND($C838*'설정 Settings'!$C$34+'설정 Settings'!$C$35,2),0))</f>
      </c>
      <c r="I838" s="42">
        <f>IF($C838="","",IF($C838&gt;'설정 Settings'!$C$36,"$2,000 초과: 은행 한도 확인, 나눠 받기 (F36)",""))</f>
      </c>
      <c r="J838" s="41">
        <f>IF($B838="","",IFERROR(INDEX('작업 Jobs'!$P$3:$P$1002,MATCH($B838,'작업 Jobs'!$A$3:$A$1002,0)),""))</f>
      </c>
    </row>
    <row r="839" spans="7:10" x14ac:dyDescent="0.25">
      <c r="G839" s="42">
        <f>IF($B839="","",IFERROR(INDEX('작업 Jobs'!$D$3:$D$1002,MATCH($B839,'작업 Jobs'!$A$3:$A$1002,0)),"작업 ID 없음"))</f>
      </c>
      <c r="H839" s="41">
        <f>IF($C839="","",IF($D839="CARD",ROUND($C839*'설정 Settings'!$C$34+'설정 Settings'!$C$35,2),0))</f>
      </c>
      <c r="I839" s="42">
        <f>IF($C839="","",IF($C839&gt;'설정 Settings'!$C$36,"$2,000 초과: 은행 한도 확인, 나눠 받기 (F36)",""))</f>
      </c>
      <c r="J839" s="41">
        <f>IF($B839="","",IFERROR(INDEX('작업 Jobs'!$P$3:$P$1002,MATCH($B839,'작업 Jobs'!$A$3:$A$1002,0)),""))</f>
      </c>
    </row>
    <row r="840" spans="7:10" x14ac:dyDescent="0.25">
      <c r="G840" s="42">
        <f>IF($B840="","",IFERROR(INDEX('작업 Jobs'!$D$3:$D$1002,MATCH($B840,'작업 Jobs'!$A$3:$A$1002,0)),"작업 ID 없음"))</f>
      </c>
      <c r="H840" s="41">
        <f>IF($C840="","",IF($D840="CARD",ROUND($C840*'설정 Settings'!$C$34+'설정 Settings'!$C$35,2),0))</f>
      </c>
      <c r="I840" s="42">
        <f>IF($C840="","",IF($C840&gt;'설정 Settings'!$C$36,"$2,000 초과: 은행 한도 확인, 나눠 받기 (F36)",""))</f>
      </c>
      <c r="J840" s="41">
        <f>IF($B840="","",IFERROR(INDEX('작업 Jobs'!$P$3:$P$1002,MATCH($B840,'작업 Jobs'!$A$3:$A$1002,0)),""))</f>
      </c>
    </row>
    <row r="841" spans="7:10" x14ac:dyDescent="0.25">
      <c r="G841" s="42">
        <f>IF($B841="","",IFERROR(INDEX('작업 Jobs'!$D$3:$D$1002,MATCH($B841,'작업 Jobs'!$A$3:$A$1002,0)),"작업 ID 없음"))</f>
      </c>
      <c r="H841" s="41">
        <f>IF($C841="","",IF($D841="CARD",ROUND($C841*'설정 Settings'!$C$34+'설정 Settings'!$C$35,2),0))</f>
      </c>
      <c r="I841" s="42">
        <f>IF($C841="","",IF($C841&gt;'설정 Settings'!$C$36,"$2,000 초과: 은행 한도 확인, 나눠 받기 (F36)",""))</f>
      </c>
      <c r="J841" s="41">
        <f>IF($B841="","",IFERROR(INDEX('작업 Jobs'!$P$3:$P$1002,MATCH($B841,'작업 Jobs'!$A$3:$A$1002,0)),""))</f>
      </c>
    </row>
    <row r="842" spans="7:10" x14ac:dyDescent="0.25">
      <c r="G842" s="42">
        <f>IF($B842="","",IFERROR(INDEX('작업 Jobs'!$D$3:$D$1002,MATCH($B842,'작업 Jobs'!$A$3:$A$1002,0)),"작업 ID 없음"))</f>
      </c>
      <c r="H842" s="41">
        <f>IF($C842="","",IF($D842="CARD",ROUND($C842*'설정 Settings'!$C$34+'설정 Settings'!$C$35,2),0))</f>
      </c>
      <c r="I842" s="42">
        <f>IF($C842="","",IF($C842&gt;'설정 Settings'!$C$36,"$2,000 초과: 은행 한도 확인, 나눠 받기 (F36)",""))</f>
      </c>
      <c r="J842" s="41">
        <f>IF($B842="","",IFERROR(INDEX('작업 Jobs'!$P$3:$P$1002,MATCH($B842,'작업 Jobs'!$A$3:$A$1002,0)),""))</f>
      </c>
    </row>
    <row r="843" spans="7:10" x14ac:dyDescent="0.25">
      <c r="G843" s="42">
        <f>IF($B843="","",IFERROR(INDEX('작업 Jobs'!$D$3:$D$1002,MATCH($B843,'작업 Jobs'!$A$3:$A$1002,0)),"작업 ID 없음"))</f>
      </c>
      <c r="H843" s="41">
        <f>IF($C843="","",IF($D843="CARD",ROUND($C843*'설정 Settings'!$C$34+'설정 Settings'!$C$35,2),0))</f>
      </c>
      <c r="I843" s="42">
        <f>IF($C843="","",IF($C843&gt;'설정 Settings'!$C$36,"$2,000 초과: 은행 한도 확인, 나눠 받기 (F36)",""))</f>
      </c>
      <c r="J843" s="41">
        <f>IF($B843="","",IFERROR(INDEX('작업 Jobs'!$P$3:$P$1002,MATCH($B843,'작업 Jobs'!$A$3:$A$1002,0)),""))</f>
      </c>
    </row>
    <row r="844" spans="7:10" x14ac:dyDescent="0.25">
      <c r="G844" s="42">
        <f>IF($B844="","",IFERROR(INDEX('작업 Jobs'!$D$3:$D$1002,MATCH($B844,'작업 Jobs'!$A$3:$A$1002,0)),"작업 ID 없음"))</f>
      </c>
      <c r="H844" s="41">
        <f>IF($C844="","",IF($D844="CARD",ROUND($C844*'설정 Settings'!$C$34+'설정 Settings'!$C$35,2),0))</f>
      </c>
      <c r="I844" s="42">
        <f>IF($C844="","",IF($C844&gt;'설정 Settings'!$C$36,"$2,000 초과: 은행 한도 확인, 나눠 받기 (F36)",""))</f>
      </c>
      <c r="J844" s="41">
        <f>IF($B844="","",IFERROR(INDEX('작업 Jobs'!$P$3:$P$1002,MATCH($B844,'작업 Jobs'!$A$3:$A$1002,0)),""))</f>
      </c>
    </row>
    <row r="845" spans="7:10" x14ac:dyDescent="0.25">
      <c r="G845" s="42">
        <f>IF($B845="","",IFERROR(INDEX('작업 Jobs'!$D$3:$D$1002,MATCH($B845,'작업 Jobs'!$A$3:$A$1002,0)),"작업 ID 없음"))</f>
      </c>
      <c r="H845" s="41">
        <f>IF($C845="","",IF($D845="CARD",ROUND($C845*'설정 Settings'!$C$34+'설정 Settings'!$C$35,2),0))</f>
      </c>
      <c r="I845" s="42">
        <f>IF($C845="","",IF($C845&gt;'설정 Settings'!$C$36,"$2,000 초과: 은행 한도 확인, 나눠 받기 (F36)",""))</f>
      </c>
      <c r="J845" s="41">
        <f>IF($B845="","",IFERROR(INDEX('작업 Jobs'!$P$3:$P$1002,MATCH($B845,'작업 Jobs'!$A$3:$A$1002,0)),""))</f>
      </c>
    </row>
    <row r="846" spans="7:10" x14ac:dyDescent="0.25">
      <c r="G846" s="42">
        <f>IF($B846="","",IFERROR(INDEX('작업 Jobs'!$D$3:$D$1002,MATCH($B846,'작업 Jobs'!$A$3:$A$1002,0)),"작업 ID 없음"))</f>
      </c>
      <c r="H846" s="41">
        <f>IF($C846="","",IF($D846="CARD",ROUND($C846*'설정 Settings'!$C$34+'설정 Settings'!$C$35,2),0))</f>
      </c>
      <c r="I846" s="42">
        <f>IF($C846="","",IF($C846&gt;'설정 Settings'!$C$36,"$2,000 초과: 은행 한도 확인, 나눠 받기 (F36)",""))</f>
      </c>
      <c r="J846" s="41">
        <f>IF($B846="","",IFERROR(INDEX('작업 Jobs'!$P$3:$P$1002,MATCH($B846,'작업 Jobs'!$A$3:$A$1002,0)),""))</f>
      </c>
    </row>
    <row r="847" spans="7:10" x14ac:dyDescent="0.25">
      <c r="G847" s="42">
        <f>IF($B847="","",IFERROR(INDEX('작업 Jobs'!$D$3:$D$1002,MATCH($B847,'작업 Jobs'!$A$3:$A$1002,0)),"작업 ID 없음"))</f>
      </c>
      <c r="H847" s="41">
        <f>IF($C847="","",IF($D847="CARD",ROUND($C847*'설정 Settings'!$C$34+'설정 Settings'!$C$35,2),0))</f>
      </c>
      <c r="I847" s="42">
        <f>IF($C847="","",IF($C847&gt;'설정 Settings'!$C$36,"$2,000 초과: 은행 한도 확인, 나눠 받기 (F36)",""))</f>
      </c>
      <c r="J847" s="41">
        <f>IF($B847="","",IFERROR(INDEX('작업 Jobs'!$P$3:$P$1002,MATCH($B847,'작업 Jobs'!$A$3:$A$1002,0)),""))</f>
      </c>
    </row>
    <row r="848" spans="7:10" x14ac:dyDescent="0.25">
      <c r="G848" s="42">
        <f>IF($B848="","",IFERROR(INDEX('작업 Jobs'!$D$3:$D$1002,MATCH($B848,'작업 Jobs'!$A$3:$A$1002,0)),"작업 ID 없음"))</f>
      </c>
      <c r="H848" s="41">
        <f>IF($C848="","",IF($D848="CARD",ROUND($C848*'설정 Settings'!$C$34+'설정 Settings'!$C$35,2),0))</f>
      </c>
      <c r="I848" s="42">
        <f>IF($C848="","",IF($C848&gt;'설정 Settings'!$C$36,"$2,000 초과: 은행 한도 확인, 나눠 받기 (F36)",""))</f>
      </c>
      <c r="J848" s="41">
        <f>IF($B848="","",IFERROR(INDEX('작업 Jobs'!$P$3:$P$1002,MATCH($B848,'작업 Jobs'!$A$3:$A$1002,0)),""))</f>
      </c>
    </row>
    <row r="849" spans="7:10" x14ac:dyDescent="0.25">
      <c r="G849" s="42">
        <f>IF($B849="","",IFERROR(INDEX('작업 Jobs'!$D$3:$D$1002,MATCH($B849,'작업 Jobs'!$A$3:$A$1002,0)),"작업 ID 없음"))</f>
      </c>
      <c r="H849" s="41">
        <f>IF($C849="","",IF($D849="CARD",ROUND($C849*'설정 Settings'!$C$34+'설정 Settings'!$C$35,2),0))</f>
      </c>
      <c r="I849" s="42">
        <f>IF($C849="","",IF($C849&gt;'설정 Settings'!$C$36,"$2,000 초과: 은행 한도 확인, 나눠 받기 (F36)",""))</f>
      </c>
      <c r="J849" s="41">
        <f>IF($B849="","",IFERROR(INDEX('작업 Jobs'!$P$3:$P$1002,MATCH($B849,'작업 Jobs'!$A$3:$A$1002,0)),""))</f>
      </c>
    </row>
    <row r="850" spans="7:10" x14ac:dyDescent="0.25">
      <c r="G850" s="42">
        <f>IF($B850="","",IFERROR(INDEX('작업 Jobs'!$D$3:$D$1002,MATCH($B850,'작업 Jobs'!$A$3:$A$1002,0)),"작업 ID 없음"))</f>
      </c>
      <c r="H850" s="41">
        <f>IF($C850="","",IF($D850="CARD",ROUND($C850*'설정 Settings'!$C$34+'설정 Settings'!$C$35,2),0))</f>
      </c>
      <c r="I850" s="42">
        <f>IF($C850="","",IF($C850&gt;'설정 Settings'!$C$36,"$2,000 초과: 은행 한도 확인, 나눠 받기 (F36)",""))</f>
      </c>
      <c r="J850" s="41">
        <f>IF($B850="","",IFERROR(INDEX('작업 Jobs'!$P$3:$P$1002,MATCH($B850,'작업 Jobs'!$A$3:$A$1002,0)),""))</f>
      </c>
    </row>
    <row r="851" spans="7:10" x14ac:dyDescent="0.25">
      <c r="G851" s="42">
        <f>IF($B851="","",IFERROR(INDEX('작업 Jobs'!$D$3:$D$1002,MATCH($B851,'작업 Jobs'!$A$3:$A$1002,0)),"작업 ID 없음"))</f>
      </c>
      <c r="H851" s="41">
        <f>IF($C851="","",IF($D851="CARD",ROUND($C851*'설정 Settings'!$C$34+'설정 Settings'!$C$35,2),0))</f>
      </c>
      <c r="I851" s="42">
        <f>IF($C851="","",IF($C851&gt;'설정 Settings'!$C$36,"$2,000 초과: 은행 한도 확인, 나눠 받기 (F36)",""))</f>
      </c>
      <c r="J851" s="41">
        <f>IF($B851="","",IFERROR(INDEX('작업 Jobs'!$P$3:$P$1002,MATCH($B851,'작업 Jobs'!$A$3:$A$1002,0)),""))</f>
      </c>
    </row>
    <row r="852" spans="7:10" x14ac:dyDescent="0.25">
      <c r="G852" s="42">
        <f>IF($B852="","",IFERROR(INDEX('작업 Jobs'!$D$3:$D$1002,MATCH($B852,'작업 Jobs'!$A$3:$A$1002,0)),"작업 ID 없음"))</f>
      </c>
      <c r="H852" s="41">
        <f>IF($C852="","",IF($D852="CARD",ROUND($C852*'설정 Settings'!$C$34+'설정 Settings'!$C$35,2),0))</f>
      </c>
      <c r="I852" s="42">
        <f>IF($C852="","",IF($C852&gt;'설정 Settings'!$C$36,"$2,000 초과: 은행 한도 확인, 나눠 받기 (F36)",""))</f>
      </c>
      <c r="J852" s="41">
        <f>IF($B852="","",IFERROR(INDEX('작업 Jobs'!$P$3:$P$1002,MATCH($B852,'작업 Jobs'!$A$3:$A$1002,0)),""))</f>
      </c>
    </row>
    <row r="853" spans="7:10" x14ac:dyDescent="0.25">
      <c r="G853" s="42">
        <f>IF($B853="","",IFERROR(INDEX('작업 Jobs'!$D$3:$D$1002,MATCH($B853,'작업 Jobs'!$A$3:$A$1002,0)),"작업 ID 없음"))</f>
      </c>
      <c r="H853" s="41">
        <f>IF($C853="","",IF($D853="CARD",ROUND($C853*'설정 Settings'!$C$34+'설정 Settings'!$C$35,2),0))</f>
      </c>
      <c r="I853" s="42">
        <f>IF($C853="","",IF($C853&gt;'설정 Settings'!$C$36,"$2,000 초과: 은행 한도 확인, 나눠 받기 (F36)",""))</f>
      </c>
      <c r="J853" s="41">
        <f>IF($B853="","",IFERROR(INDEX('작업 Jobs'!$P$3:$P$1002,MATCH($B853,'작업 Jobs'!$A$3:$A$1002,0)),""))</f>
      </c>
    </row>
    <row r="854" spans="7:10" x14ac:dyDescent="0.25">
      <c r="G854" s="42">
        <f>IF($B854="","",IFERROR(INDEX('작업 Jobs'!$D$3:$D$1002,MATCH($B854,'작업 Jobs'!$A$3:$A$1002,0)),"작업 ID 없음"))</f>
      </c>
      <c r="H854" s="41">
        <f>IF($C854="","",IF($D854="CARD",ROUND($C854*'설정 Settings'!$C$34+'설정 Settings'!$C$35,2),0))</f>
      </c>
      <c r="I854" s="42">
        <f>IF($C854="","",IF($C854&gt;'설정 Settings'!$C$36,"$2,000 초과: 은행 한도 확인, 나눠 받기 (F36)",""))</f>
      </c>
      <c r="J854" s="41">
        <f>IF($B854="","",IFERROR(INDEX('작업 Jobs'!$P$3:$P$1002,MATCH($B854,'작업 Jobs'!$A$3:$A$1002,0)),""))</f>
      </c>
    </row>
    <row r="855" spans="7:10" x14ac:dyDescent="0.25">
      <c r="G855" s="42">
        <f>IF($B855="","",IFERROR(INDEX('작업 Jobs'!$D$3:$D$1002,MATCH($B855,'작업 Jobs'!$A$3:$A$1002,0)),"작업 ID 없음"))</f>
      </c>
      <c r="H855" s="41">
        <f>IF($C855="","",IF($D855="CARD",ROUND($C855*'설정 Settings'!$C$34+'설정 Settings'!$C$35,2),0))</f>
      </c>
      <c r="I855" s="42">
        <f>IF($C855="","",IF($C855&gt;'설정 Settings'!$C$36,"$2,000 초과: 은행 한도 확인, 나눠 받기 (F36)",""))</f>
      </c>
      <c r="J855" s="41">
        <f>IF($B855="","",IFERROR(INDEX('작업 Jobs'!$P$3:$P$1002,MATCH($B855,'작업 Jobs'!$A$3:$A$1002,0)),""))</f>
      </c>
    </row>
    <row r="856" spans="7:10" x14ac:dyDescent="0.25">
      <c r="G856" s="42">
        <f>IF($B856="","",IFERROR(INDEX('작업 Jobs'!$D$3:$D$1002,MATCH($B856,'작업 Jobs'!$A$3:$A$1002,0)),"작업 ID 없음"))</f>
      </c>
      <c r="H856" s="41">
        <f>IF($C856="","",IF($D856="CARD",ROUND($C856*'설정 Settings'!$C$34+'설정 Settings'!$C$35,2),0))</f>
      </c>
      <c r="I856" s="42">
        <f>IF($C856="","",IF($C856&gt;'설정 Settings'!$C$36,"$2,000 초과: 은행 한도 확인, 나눠 받기 (F36)",""))</f>
      </c>
      <c r="J856" s="41">
        <f>IF($B856="","",IFERROR(INDEX('작업 Jobs'!$P$3:$P$1002,MATCH($B856,'작업 Jobs'!$A$3:$A$1002,0)),""))</f>
      </c>
    </row>
    <row r="857" spans="7:10" x14ac:dyDescent="0.25">
      <c r="G857" s="42">
        <f>IF($B857="","",IFERROR(INDEX('작업 Jobs'!$D$3:$D$1002,MATCH($B857,'작업 Jobs'!$A$3:$A$1002,0)),"작업 ID 없음"))</f>
      </c>
      <c r="H857" s="41">
        <f>IF($C857="","",IF($D857="CARD",ROUND($C857*'설정 Settings'!$C$34+'설정 Settings'!$C$35,2),0))</f>
      </c>
      <c r="I857" s="42">
        <f>IF($C857="","",IF($C857&gt;'설정 Settings'!$C$36,"$2,000 초과: 은행 한도 확인, 나눠 받기 (F36)",""))</f>
      </c>
      <c r="J857" s="41">
        <f>IF($B857="","",IFERROR(INDEX('작업 Jobs'!$P$3:$P$1002,MATCH($B857,'작업 Jobs'!$A$3:$A$1002,0)),""))</f>
      </c>
    </row>
    <row r="858" spans="7:10" x14ac:dyDescent="0.25">
      <c r="G858" s="42">
        <f>IF($B858="","",IFERROR(INDEX('작업 Jobs'!$D$3:$D$1002,MATCH($B858,'작업 Jobs'!$A$3:$A$1002,0)),"작업 ID 없음"))</f>
      </c>
      <c r="H858" s="41">
        <f>IF($C858="","",IF($D858="CARD",ROUND($C858*'설정 Settings'!$C$34+'설정 Settings'!$C$35,2),0))</f>
      </c>
      <c r="I858" s="42">
        <f>IF($C858="","",IF($C858&gt;'설정 Settings'!$C$36,"$2,000 초과: 은행 한도 확인, 나눠 받기 (F36)",""))</f>
      </c>
      <c r="J858" s="41">
        <f>IF($B858="","",IFERROR(INDEX('작업 Jobs'!$P$3:$P$1002,MATCH($B858,'작업 Jobs'!$A$3:$A$1002,0)),""))</f>
      </c>
    </row>
    <row r="859" spans="7:10" x14ac:dyDescent="0.25">
      <c r="G859" s="42">
        <f>IF($B859="","",IFERROR(INDEX('작업 Jobs'!$D$3:$D$1002,MATCH($B859,'작업 Jobs'!$A$3:$A$1002,0)),"작업 ID 없음"))</f>
      </c>
      <c r="H859" s="41">
        <f>IF($C859="","",IF($D859="CARD",ROUND($C859*'설정 Settings'!$C$34+'설정 Settings'!$C$35,2),0))</f>
      </c>
      <c r="I859" s="42">
        <f>IF($C859="","",IF($C859&gt;'설정 Settings'!$C$36,"$2,000 초과: 은행 한도 확인, 나눠 받기 (F36)",""))</f>
      </c>
      <c r="J859" s="41">
        <f>IF($B859="","",IFERROR(INDEX('작업 Jobs'!$P$3:$P$1002,MATCH($B859,'작업 Jobs'!$A$3:$A$1002,0)),""))</f>
      </c>
    </row>
    <row r="860" spans="7:10" x14ac:dyDescent="0.25">
      <c r="G860" s="42">
        <f>IF($B860="","",IFERROR(INDEX('작업 Jobs'!$D$3:$D$1002,MATCH($B860,'작업 Jobs'!$A$3:$A$1002,0)),"작업 ID 없음"))</f>
      </c>
      <c r="H860" s="41">
        <f>IF($C860="","",IF($D860="CARD",ROUND($C860*'설정 Settings'!$C$34+'설정 Settings'!$C$35,2),0))</f>
      </c>
      <c r="I860" s="42">
        <f>IF($C860="","",IF($C860&gt;'설정 Settings'!$C$36,"$2,000 초과: 은행 한도 확인, 나눠 받기 (F36)",""))</f>
      </c>
      <c r="J860" s="41">
        <f>IF($B860="","",IFERROR(INDEX('작업 Jobs'!$P$3:$P$1002,MATCH($B860,'작업 Jobs'!$A$3:$A$1002,0)),""))</f>
      </c>
    </row>
    <row r="861" spans="7:10" x14ac:dyDescent="0.25">
      <c r="G861" s="42">
        <f>IF($B861="","",IFERROR(INDEX('작업 Jobs'!$D$3:$D$1002,MATCH($B861,'작업 Jobs'!$A$3:$A$1002,0)),"작업 ID 없음"))</f>
      </c>
      <c r="H861" s="41">
        <f>IF($C861="","",IF($D861="CARD",ROUND($C861*'설정 Settings'!$C$34+'설정 Settings'!$C$35,2),0))</f>
      </c>
      <c r="I861" s="42">
        <f>IF($C861="","",IF($C861&gt;'설정 Settings'!$C$36,"$2,000 초과: 은행 한도 확인, 나눠 받기 (F36)",""))</f>
      </c>
      <c r="J861" s="41">
        <f>IF($B861="","",IFERROR(INDEX('작업 Jobs'!$P$3:$P$1002,MATCH($B861,'작업 Jobs'!$A$3:$A$1002,0)),""))</f>
      </c>
    </row>
    <row r="862" spans="7:10" x14ac:dyDescent="0.25">
      <c r="G862" s="42">
        <f>IF($B862="","",IFERROR(INDEX('작업 Jobs'!$D$3:$D$1002,MATCH($B862,'작업 Jobs'!$A$3:$A$1002,0)),"작업 ID 없음"))</f>
      </c>
      <c r="H862" s="41">
        <f>IF($C862="","",IF($D862="CARD",ROUND($C862*'설정 Settings'!$C$34+'설정 Settings'!$C$35,2),0))</f>
      </c>
      <c r="I862" s="42">
        <f>IF($C862="","",IF($C862&gt;'설정 Settings'!$C$36,"$2,000 초과: 은행 한도 확인, 나눠 받기 (F36)",""))</f>
      </c>
      <c r="J862" s="41">
        <f>IF($B862="","",IFERROR(INDEX('작업 Jobs'!$P$3:$P$1002,MATCH($B862,'작업 Jobs'!$A$3:$A$1002,0)),""))</f>
      </c>
    </row>
    <row r="863" spans="7:10" x14ac:dyDescent="0.25">
      <c r="G863" s="42">
        <f>IF($B863="","",IFERROR(INDEX('작업 Jobs'!$D$3:$D$1002,MATCH($B863,'작업 Jobs'!$A$3:$A$1002,0)),"작업 ID 없음"))</f>
      </c>
      <c r="H863" s="41">
        <f>IF($C863="","",IF($D863="CARD",ROUND($C863*'설정 Settings'!$C$34+'설정 Settings'!$C$35,2),0))</f>
      </c>
      <c r="I863" s="42">
        <f>IF($C863="","",IF($C863&gt;'설정 Settings'!$C$36,"$2,000 초과: 은행 한도 확인, 나눠 받기 (F36)",""))</f>
      </c>
      <c r="J863" s="41">
        <f>IF($B863="","",IFERROR(INDEX('작업 Jobs'!$P$3:$P$1002,MATCH($B863,'작업 Jobs'!$A$3:$A$1002,0)),""))</f>
      </c>
    </row>
    <row r="864" spans="7:10" x14ac:dyDescent="0.25">
      <c r="G864" s="42">
        <f>IF($B864="","",IFERROR(INDEX('작업 Jobs'!$D$3:$D$1002,MATCH($B864,'작업 Jobs'!$A$3:$A$1002,0)),"작업 ID 없음"))</f>
      </c>
      <c r="H864" s="41">
        <f>IF($C864="","",IF($D864="CARD",ROUND($C864*'설정 Settings'!$C$34+'설정 Settings'!$C$35,2),0))</f>
      </c>
      <c r="I864" s="42">
        <f>IF($C864="","",IF($C864&gt;'설정 Settings'!$C$36,"$2,000 초과: 은행 한도 확인, 나눠 받기 (F36)",""))</f>
      </c>
      <c r="J864" s="41">
        <f>IF($B864="","",IFERROR(INDEX('작업 Jobs'!$P$3:$P$1002,MATCH($B864,'작업 Jobs'!$A$3:$A$1002,0)),""))</f>
      </c>
    </row>
    <row r="865" spans="7:10" x14ac:dyDescent="0.25">
      <c r="G865" s="42">
        <f>IF($B865="","",IFERROR(INDEX('작업 Jobs'!$D$3:$D$1002,MATCH($B865,'작업 Jobs'!$A$3:$A$1002,0)),"작업 ID 없음"))</f>
      </c>
      <c r="H865" s="41">
        <f>IF($C865="","",IF($D865="CARD",ROUND($C865*'설정 Settings'!$C$34+'설정 Settings'!$C$35,2),0))</f>
      </c>
      <c r="I865" s="42">
        <f>IF($C865="","",IF($C865&gt;'설정 Settings'!$C$36,"$2,000 초과: 은행 한도 확인, 나눠 받기 (F36)",""))</f>
      </c>
      <c r="J865" s="41">
        <f>IF($B865="","",IFERROR(INDEX('작업 Jobs'!$P$3:$P$1002,MATCH($B865,'작업 Jobs'!$A$3:$A$1002,0)),""))</f>
      </c>
    </row>
    <row r="866" spans="7:10" x14ac:dyDescent="0.25">
      <c r="G866" s="42">
        <f>IF($B866="","",IFERROR(INDEX('작업 Jobs'!$D$3:$D$1002,MATCH($B866,'작업 Jobs'!$A$3:$A$1002,0)),"작업 ID 없음"))</f>
      </c>
      <c r="H866" s="41">
        <f>IF($C866="","",IF($D866="CARD",ROUND($C866*'설정 Settings'!$C$34+'설정 Settings'!$C$35,2),0))</f>
      </c>
      <c r="I866" s="42">
        <f>IF($C866="","",IF($C866&gt;'설정 Settings'!$C$36,"$2,000 초과: 은행 한도 확인, 나눠 받기 (F36)",""))</f>
      </c>
      <c r="J866" s="41">
        <f>IF($B866="","",IFERROR(INDEX('작업 Jobs'!$P$3:$P$1002,MATCH($B866,'작업 Jobs'!$A$3:$A$1002,0)),""))</f>
      </c>
    </row>
    <row r="867" spans="7:10" x14ac:dyDescent="0.25">
      <c r="G867" s="42">
        <f>IF($B867="","",IFERROR(INDEX('작업 Jobs'!$D$3:$D$1002,MATCH($B867,'작업 Jobs'!$A$3:$A$1002,0)),"작업 ID 없음"))</f>
      </c>
      <c r="H867" s="41">
        <f>IF($C867="","",IF($D867="CARD",ROUND($C867*'설정 Settings'!$C$34+'설정 Settings'!$C$35,2),0))</f>
      </c>
      <c r="I867" s="42">
        <f>IF($C867="","",IF($C867&gt;'설정 Settings'!$C$36,"$2,000 초과: 은행 한도 확인, 나눠 받기 (F36)",""))</f>
      </c>
      <c r="J867" s="41">
        <f>IF($B867="","",IFERROR(INDEX('작업 Jobs'!$P$3:$P$1002,MATCH($B867,'작업 Jobs'!$A$3:$A$1002,0)),""))</f>
      </c>
    </row>
    <row r="868" spans="7:10" x14ac:dyDescent="0.25">
      <c r="G868" s="42">
        <f>IF($B868="","",IFERROR(INDEX('작업 Jobs'!$D$3:$D$1002,MATCH($B868,'작업 Jobs'!$A$3:$A$1002,0)),"작업 ID 없음"))</f>
      </c>
      <c r="H868" s="41">
        <f>IF($C868="","",IF($D868="CARD",ROUND($C868*'설정 Settings'!$C$34+'설정 Settings'!$C$35,2),0))</f>
      </c>
      <c r="I868" s="42">
        <f>IF($C868="","",IF($C868&gt;'설정 Settings'!$C$36,"$2,000 초과: 은행 한도 확인, 나눠 받기 (F36)",""))</f>
      </c>
      <c r="J868" s="41">
        <f>IF($B868="","",IFERROR(INDEX('작업 Jobs'!$P$3:$P$1002,MATCH($B868,'작업 Jobs'!$A$3:$A$1002,0)),""))</f>
      </c>
    </row>
    <row r="869" spans="7:10" x14ac:dyDescent="0.25">
      <c r="G869" s="42">
        <f>IF($B869="","",IFERROR(INDEX('작업 Jobs'!$D$3:$D$1002,MATCH($B869,'작업 Jobs'!$A$3:$A$1002,0)),"작업 ID 없음"))</f>
      </c>
      <c r="H869" s="41">
        <f>IF($C869="","",IF($D869="CARD",ROUND($C869*'설정 Settings'!$C$34+'설정 Settings'!$C$35,2),0))</f>
      </c>
      <c r="I869" s="42">
        <f>IF($C869="","",IF($C869&gt;'설정 Settings'!$C$36,"$2,000 초과: 은행 한도 확인, 나눠 받기 (F36)",""))</f>
      </c>
      <c r="J869" s="41">
        <f>IF($B869="","",IFERROR(INDEX('작업 Jobs'!$P$3:$P$1002,MATCH($B869,'작업 Jobs'!$A$3:$A$1002,0)),""))</f>
      </c>
    </row>
    <row r="870" spans="7:10" x14ac:dyDescent="0.25">
      <c r="G870" s="42">
        <f>IF($B870="","",IFERROR(INDEX('작업 Jobs'!$D$3:$D$1002,MATCH($B870,'작업 Jobs'!$A$3:$A$1002,0)),"작업 ID 없음"))</f>
      </c>
      <c r="H870" s="41">
        <f>IF($C870="","",IF($D870="CARD",ROUND($C870*'설정 Settings'!$C$34+'설정 Settings'!$C$35,2),0))</f>
      </c>
      <c r="I870" s="42">
        <f>IF($C870="","",IF($C870&gt;'설정 Settings'!$C$36,"$2,000 초과: 은행 한도 확인, 나눠 받기 (F36)",""))</f>
      </c>
      <c r="J870" s="41">
        <f>IF($B870="","",IFERROR(INDEX('작업 Jobs'!$P$3:$P$1002,MATCH($B870,'작업 Jobs'!$A$3:$A$1002,0)),""))</f>
      </c>
    </row>
    <row r="871" spans="7:10" x14ac:dyDescent="0.25">
      <c r="G871" s="42">
        <f>IF($B871="","",IFERROR(INDEX('작업 Jobs'!$D$3:$D$1002,MATCH($B871,'작업 Jobs'!$A$3:$A$1002,0)),"작업 ID 없음"))</f>
      </c>
      <c r="H871" s="41">
        <f>IF($C871="","",IF($D871="CARD",ROUND($C871*'설정 Settings'!$C$34+'설정 Settings'!$C$35,2),0))</f>
      </c>
      <c r="I871" s="42">
        <f>IF($C871="","",IF($C871&gt;'설정 Settings'!$C$36,"$2,000 초과: 은행 한도 확인, 나눠 받기 (F36)",""))</f>
      </c>
      <c r="J871" s="41">
        <f>IF($B871="","",IFERROR(INDEX('작업 Jobs'!$P$3:$P$1002,MATCH($B871,'작업 Jobs'!$A$3:$A$1002,0)),""))</f>
      </c>
    </row>
    <row r="872" spans="7:10" x14ac:dyDescent="0.25">
      <c r="G872" s="42">
        <f>IF($B872="","",IFERROR(INDEX('작업 Jobs'!$D$3:$D$1002,MATCH($B872,'작업 Jobs'!$A$3:$A$1002,0)),"작업 ID 없음"))</f>
      </c>
      <c r="H872" s="41">
        <f>IF($C872="","",IF($D872="CARD",ROUND($C872*'설정 Settings'!$C$34+'설정 Settings'!$C$35,2),0))</f>
      </c>
      <c r="I872" s="42">
        <f>IF($C872="","",IF($C872&gt;'설정 Settings'!$C$36,"$2,000 초과: 은행 한도 확인, 나눠 받기 (F36)",""))</f>
      </c>
      <c r="J872" s="41">
        <f>IF($B872="","",IFERROR(INDEX('작업 Jobs'!$P$3:$P$1002,MATCH($B872,'작업 Jobs'!$A$3:$A$1002,0)),""))</f>
      </c>
    </row>
    <row r="873" spans="7:10" x14ac:dyDescent="0.25">
      <c r="G873" s="42">
        <f>IF($B873="","",IFERROR(INDEX('작업 Jobs'!$D$3:$D$1002,MATCH($B873,'작업 Jobs'!$A$3:$A$1002,0)),"작업 ID 없음"))</f>
      </c>
      <c r="H873" s="41">
        <f>IF($C873="","",IF($D873="CARD",ROUND($C873*'설정 Settings'!$C$34+'설정 Settings'!$C$35,2),0))</f>
      </c>
      <c r="I873" s="42">
        <f>IF($C873="","",IF($C873&gt;'설정 Settings'!$C$36,"$2,000 초과: 은행 한도 확인, 나눠 받기 (F36)",""))</f>
      </c>
      <c r="J873" s="41">
        <f>IF($B873="","",IFERROR(INDEX('작업 Jobs'!$P$3:$P$1002,MATCH($B873,'작업 Jobs'!$A$3:$A$1002,0)),""))</f>
      </c>
    </row>
    <row r="874" spans="7:10" x14ac:dyDescent="0.25">
      <c r="G874" s="42">
        <f>IF($B874="","",IFERROR(INDEX('작업 Jobs'!$D$3:$D$1002,MATCH($B874,'작업 Jobs'!$A$3:$A$1002,0)),"작업 ID 없음"))</f>
      </c>
      <c r="H874" s="41">
        <f>IF($C874="","",IF($D874="CARD",ROUND($C874*'설정 Settings'!$C$34+'설정 Settings'!$C$35,2),0))</f>
      </c>
      <c r="I874" s="42">
        <f>IF($C874="","",IF($C874&gt;'설정 Settings'!$C$36,"$2,000 초과: 은행 한도 확인, 나눠 받기 (F36)",""))</f>
      </c>
      <c r="J874" s="41">
        <f>IF($B874="","",IFERROR(INDEX('작업 Jobs'!$P$3:$P$1002,MATCH($B874,'작업 Jobs'!$A$3:$A$1002,0)),""))</f>
      </c>
    </row>
    <row r="875" spans="7:10" x14ac:dyDescent="0.25">
      <c r="G875" s="42">
        <f>IF($B875="","",IFERROR(INDEX('작업 Jobs'!$D$3:$D$1002,MATCH($B875,'작업 Jobs'!$A$3:$A$1002,0)),"작업 ID 없음"))</f>
      </c>
      <c r="H875" s="41">
        <f>IF($C875="","",IF($D875="CARD",ROUND($C875*'설정 Settings'!$C$34+'설정 Settings'!$C$35,2),0))</f>
      </c>
      <c r="I875" s="42">
        <f>IF($C875="","",IF($C875&gt;'설정 Settings'!$C$36,"$2,000 초과: 은행 한도 확인, 나눠 받기 (F36)",""))</f>
      </c>
      <c r="J875" s="41">
        <f>IF($B875="","",IFERROR(INDEX('작업 Jobs'!$P$3:$P$1002,MATCH($B875,'작업 Jobs'!$A$3:$A$1002,0)),""))</f>
      </c>
    </row>
    <row r="876" spans="7:10" x14ac:dyDescent="0.25">
      <c r="G876" s="42">
        <f>IF($B876="","",IFERROR(INDEX('작업 Jobs'!$D$3:$D$1002,MATCH($B876,'작업 Jobs'!$A$3:$A$1002,0)),"작업 ID 없음"))</f>
      </c>
      <c r="H876" s="41">
        <f>IF($C876="","",IF($D876="CARD",ROUND($C876*'설정 Settings'!$C$34+'설정 Settings'!$C$35,2),0))</f>
      </c>
      <c r="I876" s="42">
        <f>IF($C876="","",IF($C876&gt;'설정 Settings'!$C$36,"$2,000 초과: 은행 한도 확인, 나눠 받기 (F36)",""))</f>
      </c>
      <c r="J876" s="41">
        <f>IF($B876="","",IFERROR(INDEX('작업 Jobs'!$P$3:$P$1002,MATCH($B876,'작업 Jobs'!$A$3:$A$1002,0)),""))</f>
      </c>
    </row>
    <row r="877" spans="7:10" x14ac:dyDescent="0.25">
      <c r="G877" s="42">
        <f>IF($B877="","",IFERROR(INDEX('작업 Jobs'!$D$3:$D$1002,MATCH($B877,'작업 Jobs'!$A$3:$A$1002,0)),"작업 ID 없음"))</f>
      </c>
      <c r="H877" s="41">
        <f>IF($C877="","",IF($D877="CARD",ROUND($C877*'설정 Settings'!$C$34+'설정 Settings'!$C$35,2),0))</f>
      </c>
      <c r="I877" s="42">
        <f>IF($C877="","",IF($C877&gt;'설정 Settings'!$C$36,"$2,000 초과: 은행 한도 확인, 나눠 받기 (F36)",""))</f>
      </c>
      <c r="J877" s="41">
        <f>IF($B877="","",IFERROR(INDEX('작업 Jobs'!$P$3:$P$1002,MATCH($B877,'작업 Jobs'!$A$3:$A$1002,0)),""))</f>
      </c>
    </row>
    <row r="878" spans="7:10" x14ac:dyDescent="0.25">
      <c r="G878" s="42">
        <f>IF($B878="","",IFERROR(INDEX('작업 Jobs'!$D$3:$D$1002,MATCH($B878,'작업 Jobs'!$A$3:$A$1002,0)),"작업 ID 없음"))</f>
      </c>
      <c r="H878" s="41">
        <f>IF($C878="","",IF($D878="CARD",ROUND($C878*'설정 Settings'!$C$34+'설정 Settings'!$C$35,2),0))</f>
      </c>
      <c r="I878" s="42">
        <f>IF($C878="","",IF($C878&gt;'설정 Settings'!$C$36,"$2,000 초과: 은행 한도 확인, 나눠 받기 (F36)",""))</f>
      </c>
      <c r="J878" s="41">
        <f>IF($B878="","",IFERROR(INDEX('작업 Jobs'!$P$3:$P$1002,MATCH($B878,'작업 Jobs'!$A$3:$A$1002,0)),""))</f>
      </c>
    </row>
    <row r="879" spans="7:10" x14ac:dyDescent="0.25">
      <c r="G879" s="42">
        <f>IF($B879="","",IFERROR(INDEX('작업 Jobs'!$D$3:$D$1002,MATCH($B879,'작업 Jobs'!$A$3:$A$1002,0)),"작업 ID 없음"))</f>
      </c>
      <c r="H879" s="41">
        <f>IF($C879="","",IF($D879="CARD",ROUND($C879*'설정 Settings'!$C$34+'설정 Settings'!$C$35,2),0))</f>
      </c>
      <c r="I879" s="42">
        <f>IF($C879="","",IF($C879&gt;'설정 Settings'!$C$36,"$2,000 초과: 은행 한도 확인, 나눠 받기 (F36)",""))</f>
      </c>
      <c r="J879" s="41">
        <f>IF($B879="","",IFERROR(INDEX('작업 Jobs'!$P$3:$P$1002,MATCH($B879,'작업 Jobs'!$A$3:$A$1002,0)),""))</f>
      </c>
    </row>
    <row r="880" spans="7:10" x14ac:dyDescent="0.25">
      <c r="G880" s="42">
        <f>IF($B880="","",IFERROR(INDEX('작업 Jobs'!$D$3:$D$1002,MATCH($B880,'작업 Jobs'!$A$3:$A$1002,0)),"작업 ID 없음"))</f>
      </c>
      <c r="H880" s="41">
        <f>IF($C880="","",IF($D880="CARD",ROUND($C880*'설정 Settings'!$C$34+'설정 Settings'!$C$35,2),0))</f>
      </c>
      <c r="I880" s="42">
        <f>IF($C880="","",IF($C880&gt;'설정 Settings'!$C$36,"$2,000 초과: 은행 한도 확인, 나눠 받기 (F36)",""))</f>
      </c>
      <c r="J880" s="41">
        <f>IF($B880="","",IFERROR(INDEX('작업 Jobs'!$P$3:$P$1002,MATCH($B880,'작업 Jobs'!$A$3:$A$1002,0)),""))</f>
      </c>
    </row>
    <row r="881" spans="7:10" x14ac:dyDescent="0.25">
      <c r="G881" s="42">
        <f>IF($B881="","",IFERROR(INDEX('작업 Jobs'!$D$3:$D$1002,MATCH($B881,'작업 Jobs'!$A$3:$A$1002,0)),"작업 ID 없음"))</f>
      </c>
      <c r="H881" s="41">
        <f>IF($C881="","",IF($D881="CARD",ROUND($C881*'설정 Settings'!$C$34+'설정 Settings'!$C$35,2),0))</f>
      </c>
      <c r="I881" s="42">
        <f>IF($C881="","",IF($C881&gt;'설정 Settings'!$C$36,"$2,000 초과: 은행 한도 확인, 나눠 받기 (F36)",""))</f>
      </c>
      <c r="J881" s="41">
        <f>IF($B881="","",IFERROR(INDEX('작업 Jobs'!$P$3:$P$1002,MATCH($B881,'작업 Jobs'!$A$3:$A$1002,0)),""))</f>
      </c>
    </row>
    <row r="882" spans="7:10" x14ac:dyDescent="0.25">
      <c r="G882" s="42">
        <f>IF($B882="","",IFERROR(INDEX('작업 Jobs'!$D$3:$D$1002,MATCH($B882,'작업 Jobs'!$A$3:$A$1002,0)),"작업 ID 없음"))</f>
      </c>
      <c r="H882" s="41">
        <f>IF($C882="","",IF($D882="CARD",ROUND($C882*'설정 Settings'!$C$34+'설정 Settings'!$C$35,2),0))</f>
      </c>
      <c r="I882" s="42">
        <f>IF($C882="","",IF($C882&gt;'설정 Settings'!$C$36,"$2,000 초과: 은행 한도 확인, 나눠 받기 (F36)",""))</f>
      </c>
      <c r="J882" s="41">
        <f>IF($B882="","",IFERROR(INDEX('작업 Jobs'!$P$3:$P$1002,MATCH($B882,'작업 Jobs'!$A$3:$A$1002,0)),""))</f>
      </c>
    </row>
    <row r="883" spans="7:10" x14ac:dyDescent="0.25">
      <c r="G883" s="42">
        <f>IF($B883="","",IFERROR(INDEX('작업 Jobs'!$D$3:$D$1002,MATCH($B883,'작업 Jobs'!$A$3:$A$1002,0)),"작업 ID 없음"))</f>
      </c>
      <c r="H883" s="41">
        <f>IF($C883="","",IF($D883="CARD",ROUND($C883*'설정 Settings'!$C$34+'설정 Settings'!$C$35,2),0))</f>
      </c>
      <c r="I883" s="42">
        <f>IF($C883="","",IF($C883&gt;'설정 Settings'!$C$36,"$2,000 초과: 은행 한도 확인, 나눠 받기 (F36)",""))</f>
      </c>
      <c r="J883" s="41">
        <f>IF($B883="","",IFERROR(INDEX('작업 Jobs'!$P$3:$P$1002,MATCH($B883,'작업 Jobs'!$A$3:$A$1002,0)),""))</f>
      </c>
    </row>
    <row r="884" spans="7:10" x14ac:dyDescent="0.25">
      <c r="G884" s="42">
        <f>IF($B884="","",IFERROR(INDEX('작업 Jobs'!$D$3:$D$1002,MATCH($B884,'작업 Jobs'!$A$3:$A$1002,0)),"작업 ID 없음"))</f>
      </c>
      <c r="H884" s="41">
        <f>IF($C884="","",IF($D884="CARD",ROUND($C884*'설정 Settings'!$C$34+'설정 Settings'!$C$35,2),0))</f>
      </c>
      <c r="I884" s="42">
        <f>IF($C884="","",IF($C884&gt;'설정 Settings'!$C$36,"$2,000 초과: 은행 한도 확인, 나눠 받기 (F36)",""))</f>
      </c>
      <c r="J884" s="41">
        <f>IF($B884="","",IFERROR(INDEX('작업 Jobs'!$P$3:$P$1002,MATCH($B884,'작업 Jobs'!$A$3:$A$1002,0)),""))</f>
      </c>
    </row>
    <row r="885" spans="7:10" x14ac:dyDescent="0.25">
      <c r="G885" s="42">
        <f>IF($B885="","",IFERROR(INDEX('작업 Jobs'!$D$3:$D$1002,MATCH($B885,'작업 Jobs'!$A$3:$A$1002,0)),"작업 ID 없음"))</f>
      </c>
      <c r="H885" s="41">
        <f>IF($C885="","",IF($D885="CARD",ROUND($C885*'설정 Settings'!$C$34+'설정 Settings'!$C$35,2),0))</f>
      </c>
      <c r="I885" s="42">
        <f>IF($C885="","",IF($C885&gt;'설정 Settings'!$C$36,"$2,000 초과: 은행 한도 확인, 나눠 받기 (F36)",""))</f>
      </c>
      <c r="J885" s="41">
        <f>IF($B885="","",IFERROR(INDEX('작업 Jobs'!$P$3:$P$1002,MATCH($B885,'작업 Jobs'!$A$3:$A$1002,0)),""))</f>
      </c>
    </row>
    <row r="886" spans="7:10" x14ac:dyDescent="0.25">
      <c r="G886" s="42">
        <f>IF($B886="","",IFERROR(INDEX('작업 Jobs'!$D$3:$D$1002,MATCH($B886,'작업 Jobs'!$A$3:$A$1002,0)),"작업 ID 없음"))</f>
      </c>
      <c r="H886" s="41">
        <f>IF($C886="","",IF($D886="CARD",ROUND($C886*'설정 Settings'!$C$34+'설정 Settings'!$C$35,2),0))</f>
      </c>
      <c r="I886" s="42">
        <f>IF($C886="","",IF($C886&gt;'설정 Settings'!$C$36,"$2,000 초과: 은행 한도 확인, 나눠 받기 (F36)",""))</f>
      </c>
      <c r="J886" s="41">
        <f>IF($B886="","",IFERROR(INDEX('작업 Jobs'!$P$3:$P$1002,MATCH($B886,'작업 Jobs'!$A$3:$A$1002,0)),""))</f>
      </c>
    </row>
    <row r="887" spans="7:10" x14ac:dyDescent="0.25">
      <c r="G887" s="42">
        <f>IF($B887="","",IFERROR(INDEX('작업 Jobs'!$D$3:$D$1002,MATCH($B887,'작업 Jobs'!$A$3:$A$1002,0)),"작업 ID 없음"))</f>
      </c>
      <c r="H887" s="41">
        <f>IF($C887="","",IF($D887="CARD",ROUND($C887*'설정 Settings'!$C$34+'설정 Settings'!$C$35,2),0))</f>
      </c>
      <c r="I887" s="42">
        <f>IF($C887="","",IF($C887&gt;'설정 Settings'!$C$36,"$2,000 초과: 은행 한도 확인, 나눠 받기 (F36)",""))</f>
      </c>
      <c r="J887" s="41">
        <f>IF($B887="","",IFERROR(INDEX('작업 Jobs'!$P$3:$P$1002,MATCH($B887,'작업 Jobs'!$A$3:$A$1002,0)),""))</f>
      </c>
    </row>
    <row r="888" spans="7:10" x14ac:dyDescent="0.25">
      <c r="G888" s="42">
        <f>IF($B888="","",IFERROR(INDEX('작업 Jobs'!$D$3:$D$1002,MATCH($B888,'작업 Jobs'!$A$3:$A$1002,0)),"작업 ID 없음"))</f>
      </c>
      <c r="H888" s="41">
        <f>IF($C888="","",IF($D888="CARD",ROUND($C888*'설정 Settings'!$C$34+'설정 Settings'!$C$35,2),0))</f>
      </c>
      <c r="I888" s="42">
        <f>IF($C888="","",IF($C888&gt;'설정 Settings'!$C$36,"$2,000 초과: 은행 한도 확인, 나눠 받기 (F36)",""))</f>
      </c>
      <c r="J888" s="41">
        <f>IF($B888="","",IFERROR(INDEX('작업 Jobs'!$P$3:$P$1002,MATCH($B888,'작업 Jobs'!$A$3:$A$1002,0)),""))</f>
      </c>
    </row>
    <row r="889" spans="7:10" x14ac:dyDescent="0.25">
      <c r="G889" s="42">
        <f>IF($B889="","",IFERROR(INDEX('작업 Jobs'!$D$3:$D$1002,MATCH($B889,'작업 Jobs'!$A$3:$A$1002,0)),"작업 ID 없음"))</f>
      </c>
      <c r="H889" s="41">
        <f>IF($C889="","",IF($D889="CARD",ROUND($C889*'설정 Settings'!$C$34+'설정 Settings'!$C$35,2),0))</f>
      </c>
      <c r="I889" s="42">
        <f>IF($C889="","",IF($C889&gt;'설정 Settings'!$C$36,"$2,000 초과: 은행 한도 확인, 나눠 받기 (F36)",""))</f>
      </c>
      <c r="J889" s="41">
        <f>IF($B889="","",IFERROR(INDEX('작업 Jobs'!$P$3:$P$1002,MATCH($B889,'작업 Jobs'!$A$3:$A$1002,0)),""))</f>
      </c>
    </row>
    <row r="890" spans="7:10" x14ac:dyDescent="0.25">
      <c r="G890" s="42">
        <f>IF($B890="","",IFERROR(INDEX('작업 Jobs'!$D$3:$D$1002,MATCH($B890,'작업 Jobs'!$A$3:$A$1002,0)),"작업 ID 없음"))</f>
      </c>
      <c r="H890" s="41">
        <f>IF($C890="","",IF($D890="CARD",ROUND($C890*'설정 Settings'!$C$34+'설정 Settings'!$C$35,2),0))</f>
      </c>
      <c r="I890" s="42">
        <f>IF($C890="","",IF($C890&gt;'설정 Settings'!$C$36,"$2,000 초과: 은행 한도 확인, 나눠 받기 (F36)",""))</f>
      </c>
      <c r="J890" s="41">
        <f>IF($B890="","",IFERROR(INDEX('작업 Jobs'!$P$3:$P$1002,MATCH($B890,'작업 Jobs'!$A$3:$A$1002,0)),""))</f>
      </c>
    </row>
    <row r="891" spans="7:10" x14ac:dyDescent="0.25">
      <c r="G891" s="42">
        <f>IF($B891="","",IFERROR(INDEX('작업 Jobs'!$D$3:$D$1002,MATCH($B891,'작업 Jobs'!$A$3:$A$1002,0)),"작업 ID 없음"))</f>
      </c>
      <c r="H891" s="41">
        <f>IF($C891="","",IF($D891="CARD",ROUND($C891*'설정 Settings'!$C$34+'설정 Settings'!$C$35,2),0))</f>
      </c>
      <c r="I891" s="42">
        <f>IF($C891="","",IF($C891&gt;'설정 Settings'!$C$36,"$2,000 초과: 은행 한도 확인, 나눠 받기 (F36)",""))</f>
      </c>
      <c r="J891" s="41">
        <f>IF($B891="","",IFERROR(INDEX('작업 Jobs'!$P$3:$P$1002,MATCH($B891,'작업 Jobs'!$A$3:$A$1002,0)),""))</f>
      </c>
    </row>
    <row r="892" spans="7:10" x14ac:dyDescent="0.25">
      <c r="G892" s="42">
        <f>IF($B892="","",IFERROR(INDEX('작업 Jobs'!$D$3:$D$1002,MATCH($B892,'작업 Jobs'!$A$3:$A$1002,0)),"작업 ID 없음"))</f>
      </c>
      <c r="H892" s="41">
        <f>IF($C892="","",IF($D892="CARD",ROUND($C892*'설정 Settings'!$C$34+'설정 Settings'!$C$35,2),0))</f>
      </c>
      <c r="I892" s="42">
        <f>IF($C892="","",IF($C892&gt;'설정 Settings'!$C$36,"$2,000 초과: 은행 한도 확인, 나눠 받기 (F36)",""))</f>
      </c>
      <c r="J892" s="41">
        <f>IF($B892="","",IFERROR(INDEX('작업 Jobs'!$P$3:$P$1002,MATCH($B892,'작업 Jobs'!$A$3:$A$1002,0)),""))</f>
      </c>
    </row>
    <row r="893" spans="7:10" x14ac:dyDescent="0.25">
      <c r="G893" s="42">
        <f>IF($B893="","",IFERROR(INDEX('작업 Jobs'!$D$3:$D$1002,MATCH($B893,'작업 Jobs'!$A$3:$A$1002,0)),"작업 ID 없음"))</f>
      </c>
      <c r="H893" s="41">
        <f>IF($C893="","",IF($D893="CARD",ROUND($C893*'설정 Settings'!$C$34+'설정 Settings'!$C$35,2),0))</f>
      </c>
      <c r="I893" s="42">
        <f>IF($C893="","",IF($C893&gt;'설정 Settings'!$C$36,"$2,000 초과: 은행 한도 확인, 나눠 받기 (F36)",""))</f>
      </c>
      <c r="J893" s="41">
        <f>IF($B893="","",IFERROR(INDEX('작업 Jobs'!$P$3:$P$1002,MATCH($B893,'작업 Jobs'!$A$3:$A$1002,0)),""))</f>
      </c>
    </row>
    <row r="894" spans="7:10" x14ac:dyDescent="0.25">
      <c r="G894" s="42">
        <f>IF($B894="","",IFERROR(INDEX('작업 Jobs'!$D$3:$D$1002,MATCH($B894,'작업 Jobs'!$A$3:$A$1002,0)),"작업 ID 없음"))</f>
      </c>
      <c r="H894" s="41">
        <f>IF($C894="","",IF($D894="CARD",ROUND($C894*'설정 Settings'!$C$34+'설정 Settings'!$C$35,2),0))</f>
      </c>
      <c r="I894" s="42">
        <f>IF($C894="","",IF($C894&gt;'설정 Settings'!$C$36,"$2,000 초과: 은행 한도 확인, 나눠 받기 (F36)",""))</f>
      </c>
      <c r="J894" s="41">
        <f>IF($B894="","",IFERROR(INDEX('작업 Jobs'!$P$3:$P$1002,MATCH($B894,'작업 Jobs'!$A$3:$A$1002,0)),""))</f>
      </c>
    </row>
    <row r="895" spans="7:10" x14ac:dyDescent="0.25">
      <c r="G895" s="42">
        <f>IF($B895="","",IFERROR(INDEX('작업 Jobs'!$D$3:$D$1002,MATCH($B895,'작업 Jobs'!$A$3:$A$1002,0)),"작업 ID 없음"))</f>
      </c>
      <c r="H895" s="41">
        <f>IF($C895="","",IF($D895="CARD",ROUND($C895*'설정 Settings'!$C$34+'설정 Settings'!$C$35,2),0))</f>
      </c>
      <c r="I895" s="42">
        <f>IF($C895="","",IF($C895&gt;'설정 Settings'!$C$36,"$2,000 초과: 은행 한도 확인, 나눠 받기 (F36)",""))</f>
      </c>
      <c r="J895" s="41">
        <f>IF($B895="","",IFERROR(INDEX('작업 Jobs'!$P$3:$P$1002,MATCH($B895,'작업 Jobs'!$A$3:$A$1002,0)),""))</f>
      </c>
    </row>
    <row r="896" spans="7:10" x14ac:dyDescent="0.25">
      <c r="G896" s="42">
        <f>IF($B896="","",IFERROR(INDEX('작업 Jobs'!$D$3:$D$1002,MATCH($B896,'작업 Jobs'!$A$3:$A$1002,0)),"작업 ID 없음"))</f>
      </c>
      <c r="H896" s="41">
        <f>IF($C896="","",IF($D896="CARD",ROUND($C896*'설정 Settings'!$C$34+'설정 Settings'!$C$35,2),0))</f>
      </c>
      <c r="I896" s="42">
        <f>IF($C896="","",IF($C896&gt;'설정 Settings'!$C$36,"$2,000 초과: 은행 한도 확인, 나눠 받기 (F36)",""))</f>
      </c>
      <c r="J896" s="41">
        <f>IF($B896="","",IFERROR(INDEX('작업 Jobs'!$P$3:$P$1002,MATCH($B896,'작업 Jobs'!$A$3:$A$1002,0)),""))</f>
      </c>
    </row>
    <row r="897" spans="7:10" x14ac:dyDescent="0.25">
      <c r="G897" s="42">
        <f>IF($B897="","",IFERROR(INDEX('작업 Jobs'!$D$3:$D$1002,MATCH($B897,'작업 Jobs'!$A$3:$A$1002,0)),"작업 ID 없음"))</f>
      </c>
      <c r="H897" s="41">
        <f>IF($C897="","",IF($D897="CARD",ROUND($C897*'설정 Settings'!$C$34+'설정 Settings'!$C$35,2),0))</f>
      </c>
      <c r="I897" s="42">
        <f>IF($C897="","",IF($C897&gt;'설정 Settings'!$C$36,"$2,000 초과: 은행 한도 확인, 나눠 받기 (F36)",""))</f>
      </c>
      <c r="J897" s="41">
        <f>IF($B897="","",IFERROR(INDEX('작업 Jobs'!$P$3:$P$1002,MATCH($B897,'작업 Jobs'!$A$3:$A$1002,0)),""))</f>
      </c>
    </row>
    <row r="898" spans="7:10" x14ac:dyDescent="0.25">
      <c r="G898" s="42">
        <f>IF($B898="","",IFERROR(INDEX('작업 Jobs'!$D$3:$D$1002,MATCH($B898,'작업 Jobs'!$A$3:$A$1002,0)),"작업 ID 없음"))</f>
      </c>
      <c r="H898" s="41">
        <f>IF($C898="","",IF($D898="CARD",ROUND($C898*'설정 Settings'!$C$34+'설정 Settings'!$C$35,2),0))</f>
      </c>
      <c r="I898" s="42">
        <f>IF($C898="","",IF($C898&gt;'설정 Settings'!$C$36,"$2,000 초과: 은행 한도 확인, 나눠 받기 (F36)",""))</f>
      </c>
      <c r="J898" s="41">
        <f>IF($B898="","",IFERROR(INDEX('작업 Jobs'!$P$3:$P$1002,MATCH($B898,'작업 Jobs'!$A$3:$A$1002,0)),""))</f>
      </c>
    </row>
    <row r="899" spans="7:10" x14ac:dyDescent="0.25">
      <c r="G899" s="42">
        <f>IF($B899="","",IFERROR(INDEX('작업 Jobs'!$D$3:$D$1002,MATCH($B899,'작업 Jobs'!$A$3:$A$1002,0)),"작업 ID 없음"))</f>
      </c>
      <c r="H899" s="41">
        <f>IF($C899="","",IF($D899="CARD",ROUND($C899*'설정 Settings'!$C$34+'설정 Settings'!$C$35,2),0))</f>
      </c>
      <c r="I899" s="42">
        <f>IF($C899="","",IF($C899&gt;'설정 Settings'!$C$36,"$2,000 초과: 은행 한도 확인, 나눠 받기 (F36)",""))</f>
      </c>
      <c r="J899" s="41">
        <f>IF($B899="","",IFERROR(INDEX('작업 Jobs'!$P$3:$P$1002,MATCH($B899,'작업 Jobs'!$A$3:$A$1002,0)),""))</f>
      </c>
    </row>
    <row r="900" spans="7:10" x14ac:dyDescent="0.25">
      <c r="G900" s="42">
        <f>IF($B900="","",IFERROR(INDEX('작업 Jobs'!$D$3:$D$1002,MATCH($B900,'작업 Jobs'!$A$3:$A$1002,0)),"작업 ID 없음"))</f>
      </c>
      <c r="H900" s="41">
        <f>IF($C900="","",IF($D900="CARD",ROUND($C900*'설정 Settings'!$C$34+'설정 Settings'!$C$35,2),0))</f>
      </c>
      <c r="I900" s="42">
        <f>IF($C900="","",IF($C900&gt;'설정 Settings'!$C$36,"$2,000 초과: 은행 한도 확인, 나눠 받기 (F36)",""))</f>
      </c>
      <c r="J900" s="41">
        <f>IF($B900="","",IFERROR(INDEX('작업 Jobs'!$P$3:$P$1002,MATCH($B900,'작업 Jobs'!$A$3:$A$1002,0)),""))</f>
      </c>
    </row>
    <row r="901" spans="7:10" x14ac:dyDescent="0.25">
      <c r="G901" s="42">
        <f>IF($B901="","",IFERROR(INDEX('작업 Jobs'!$D$3:$D$1002,MATCH($B901,'작업 Jobs'!$A$3:$A$1002,0)),"작업 ID 없음"))</f>
      </c>
      <c r="H901" s="41">
        <f>IF($C901="","",IF($D901="CARD",ROUND($C901*'설정 Settings'!$C$34+'설정 Settings'!$C$35,2),0))</f>
      </c>
      <c r="I901" s="42">
        <f>IF($C901="","",IF($C901&gt;'설정 Settings'!$C$36,"$2,000 초과: 은행 한도 확인, 나눠 받기 (F36)",""))</f>
      </c>
      <c r="J901" s="41">
        <f>IF($B901="","",IFERROR(INDEX('작업 Jobs'!$P$3:$P$1002,MATCH($B901,'작업 Jobs'!$A$3:$A$1002,0)),""))</f>
      </c>
    </row>
    <row r="902" spans="7:10" x14ac:dyDescent="0.25">
      <c r="G902" s="42">
        <f>IF($B902="","",IFERROR(INDEX('작업 Jobs'!$D$3:$D$1002,MATCH($B902,'작업 Jobs'!$A$3:$A$1002,0)),"작업 ID 없음"))</f>
      </c>
      <c r="H902" s="41">
        <f>IF($C902="","",IF($D902="CARD",ROUND($C902*'설정 Settings'!$C$34+'설정 Settings'!$C$35,2),0))</f>
      </c>
      <c r="I902" s="42">
        <f>IF($C902="","",IF($C902&gt;'설정 Settings'!$C$36,"$2,000 초과: 은행 한도 확인, 나눠 받기 (F36)",""))</f>
      </c>
      <c r="J902" s="41">
        <f>IF($B902="","",IFERROR(INDEX('작업 Jobs'!$P$3:$P$1002,MATCH($B902,'작업 Jobs'!$A$3:$A$1002,0)),""))</f>
      </c>
    </row>
    <row r="903" spans="7:10" x14ac:dyDescent="0.25">
      <c r="G903" s="42">
        <f>IF($B903="","",IFERROR(INDEX('작업 Jobs'!$D$3:$D$1002,MATCH($B903,'작업 Jobs'!$A$3:$A$1002,0)),"작업 ID 없음"))</f>
      </c>
      <c r="H903" s="41">
        <f>IF($C903="","",IF($D903="CARD",ROUND($C903*'설정 Settings'!$C$34+'설정 Settings'!$C$35,2),0))</f>
      </c>
      <c r="I903" s="42">
        <f>IF($C903="","",IF($C903&gt;'설정 Settings'!$C$36,"$2,000 초과: 은행 한도 확인, 나눠 받기 (F36)",""))</f>
      </c>
      <c r="J903" s="41">
        <f>IF($B903="","",IFERROR(INDEX('작업 Jobs'!$P$3:$P$1002,MATCH($B903,'작업 Jobs'!$A$3:$A$1002,0)),""))</f>
      </c>
    </row>
    <row r="904" spans="7:10" x14ac:dyDescent="0.25">
      <c r="G904" s="42">
        <f>IF($B904="","",IFERROR(INDEX('작업 Jobs'!$D$3:$D$1002,MATCH($B904,'작업 Jobs'!$A$3:$A$1002,0)),"작업 ID 없음"))</f>
      </c>
      <c r="H904" s="41">
        <f>IF($C904="","",IF($D904="CARD",ROUND($C904*'설정 Settings'!$C$34+'설정 Settings'!$C$35,2),0))</f>
      </c>
      <c r="I904" s="42">
        <f>IF($C904="","",IF($C904&gt;'설정 Settings'!$C$36,"$2,000 초과: 은행 한도 확인, 나눠 받기 (F36)",""))</f>
      </c>
      <c r="J904" s="41">
        <f>IF($B904="","",IFERROR(INDEX('작업 Jobs'!$P$3:$P$1002,MATCH($B904,'작업 Jobs'!$A$3:$A$1002,0)),""))</f>
      </c>
    </row>
    <row r="905" spans="7:10" x14ac:dyDescent="0.25">
      <c r="G905" s="42">
        <f>IF($B905="","",IFERROR(INDEX('작업 Jobs'!$D$3:$D$1002,MATCH($B905,'작업 Jobs'!$A$3:$A$1002,0)),"작업 ID 없음"))</f>
      </c>
      <c r="H905" s="41">
        <f>IF($C905="","",IF($D905="CARD",ROUND($C905*'설정 Settings'!$C$34+'설정 Settings'!$C$35,2),0))</f>
      </c>
      <c r="I905" s="42">
        <f>IF($C905="","",IF($C905&gt;'설정 Settings'!$C$36,"$2,000 초과: 은행 한도 확인, 나눠 받기 (F36)",""))</f>
      </c>
      <c r="J905" s="41">
        <f>IF($B905="","",IFERROR(INDEX('작업 Jobs'!$P$3:$P$1002,MATCH($B905,'작업 Jobs'!$A$3:$A$1002,0)),""))</f>
      </c>
    </row>
    <row r="906" spans="7:10" x14ac:dyDescent="0.25">
      <c r="G906" s="42">
        <f>IF($B906="","",IFERROR(INDEX('작업 Jobs'!$D$3:$D$1002,MATCH($B906,'작업 Jobs'!$A$3:$A$1002,0)),"작업 ID 없음"))</f>
      </c>
      <c r="H906" s="41">
        <f>IF($C906="","",IF($D906="CARD",ROUND($C906*'설정 Settings'!$C$34+'설정 Settings'!$C$35,2),0))</f>
      </c>
      <c r="I906" s="42">
        <f>IF($C906="","",IF($C906&gt;'설정 Settings'!$C$36,"$2,000 초과: 은행 한도 확인, 나눠 받기 (F36)",""))</f>
      </c>
      <c r="J906" s="41">
        <f>IF($B906="","",IFERROR(INDEX('작업 Jobs'!$P$3:$P$1002,MATCH($B906,'작업 Jobs'!$A$3:$A$1002,0)),""))</f>
      </c>
    </row>
    <row r="907" spans="7:10" x14ac:dyDescent="0.25">
      <c r="G907" s="42">
        <f>IF($B907="","",IFERROR(INDEX('작업 Jobs'!$D$3:$D$1002,MATCH($B907,'작업 Jobs'!$A$3:$A$1002,0)),"작업 ID 없음"))</f>
      </c>
      <c r="H907" s="41">
        <f>IF($C907="","",IF($D907="CARD",ROUND($C907*'설정 Settings'!$C$34+'설정 Settings'!$C$35,2),0))</f>
      </c>
      <c r="I907" s="42">
        <f>IF($C907="","",IF($C907&gt;'설정 Settings'!$C$36,"$2,000 초과: 은행 한도 확인, 나눠 받기 (F36)",""))</f>
      </c>
      <c r="J907" s="41">
        <f>IF($B907="","",IFERROR(INDEX('작업 Jobs'!$P$3:$P$1002,MATCH($B907,'작업 Jobs'!$A$3:$A$1002,0)),""))</f>
      </c>
    </row>
    <row r="908" spans="7:10" x14ac:dyDescent="0.25">
      <c r="G908" s="42">
        <f>IF($B908="","",IFERROR(INDEX('작업 Jobs'!$D$3:$D$1002,MATCH($B908,'작업 Jobs'!$A$3:$A$1002,0)),"작업 ID 없음"))</f>
      </c>
      <c r="H908" s="41">
        <f>IF($C908="","",IF($D908="CARD",ROUND($C908*'설정 Settings'!$C$34+'설정 Settings'!$C$35,2),0))</f>
      </c>
      <c r="I908" s="42">
        <f>IF($C908="","",IF($C908&gt;'설정 Settings'!$C$36,"$2,000 초과: 은행 한도 확인, 나눠 받기 (F36)",""))</f>
      </c>
      <c r="J908" s="41">
        <f>IF($B908="","",IFERROR(INDEX('작업 Jobs'!$P$3:$P$1002,MATCH($B908,'작업 Jobs'!$A$3:$A$1002,0)),""))</f>
      </c>
    </row>
    <row r="909" spans="7:10" x14ac:dyDescent="0.25">
      <c r="G909" s="42">
        <f>IF($B909="","",IFERROR(INDEX('작업 Jobs'!$D$3:$D$1002,MATCH($B909,'작업 Jobs'!$A$3:$A$1002,0)),"작업 ID 없음"))</f>
      </c>
      <c r="H909" s="41">
        <f>IF($C909="","",IF($D909="CARD",ROUND($C909*'설정 Settings'!$C$34+'설정 Settings'!$C$35,2),0))</f>
      </c>
      <c r="I909" s="42">
        <f>IF($C909="","",IF($C909&gt;'설정 Settings'!$C$36,"$2,000 초과: 은행 한도 확인, 나눠 받기 (F36)",""))</f>
      </c>
      <c r="J909" s="41">
        <f>IF($B909="","",IFERROR(INDEX('작업 Jobs'!$P$3:$P$1002,MATCH($B909,'작업 Jobs'!$A$3:$A$1002,0)),""))</f>
      </c>
    </row>
    <row r="910" spans="7:10" x14ac:dyDescent="0.25">
      <c r="G910" s="42">
        <f>IF($B910="","",IFERROR(INDEX('작업 Jobs'!$D$3:$D$1002,MATCH($B910,'작업 Jobs'!$A$3:$A$1002,0)),"작업 ID 없음"))</f>
      </c>
      <c r="H910" s="41">
        <f>IF($C910="","",IF($D910="CARD",ROUND($C910*'설정 Settings'!$C$34+'설정 Settings'!$C$35,2),0))</f>
      </c>
      <c r="I910" s="42">
        <f>IF($C910="","",IF($C910&gt;'설정 Settings'!$C$36,"$2,000 초과: 은행 한도 확인, 나눠 받기 (F36)",""))</f>
      </c>
      <c r="J910" s="41">
        <f>IF($B910="","",IFERROR(INDEX('작업 Jobs'!$P$3:$P$1002,MATCH($B910,'작업 Jobs'!$A$3:$A$1002,0)),""))</f>
      </c>
    </row>
    <row r="911" spans="7:10" x14ac:dyDescent="0.25">
      <c r="G911" s="42">
        <f>IF($B911="","",IFERROR(INDEX('작업 Jobs'!$D$3:$D$1002,MATCH($B911,'작업 Jobs'!$A$3:$A$1002,0)),"작업 ID 없음"))</f>
      </c>
      <c r="H911" s="41">
        <f>IF($C911="","",IF($D911="CARD",ROUND($C911*'설정 Settings'!$C$34+'설정 Settings'!$C$35,2),0))</f>
      </c>
      <c r="I911" s="42">
        <f>IF($C911="","",IF($C911&gt;'설정 Settings'!$C$36,"$2,000 초과: 은행 한도 확인, 나눠 받기 (F36)",""))</f>
      </c>
      <c r="J911" s="41">
        <f>IF($B911="","",IFERROR(INDEX('작업 Jobs'!$P$3:$P$1002,MATCH($B911,'작업 Jobs'!$A$3:$A$1002,0)),""))</f>
      </c>
    </row>
    <row r="912" spans="7:10" x14ac:dyDescent="0.25">
      <c r="G912" s="42">
        <f>IF($B912="","",IFERROR(INDEX('작업 Jobs'!$D$3:$D$1002,MATCH($B912,'작업 Jobs'!$A$3:$A$1002,0)),"작업 ID 없음"))</f>
      </c>
      <c r="H912" s="41">
        <f>IF($C912="","",IF($D912="CARD",ROUND($C912*'설정 Settings'!$C$34+'설정 Settings'!$C$35,2),0))</f>
      </c>
      <c r="I912" s="42">
        <f>IF($C912="","",IF($C912&gt;'설정 Settings'!$C$36,"$2,000 초과: 은행 한도 확인, 나눠 받기 (F36)",""))</f>
      </c>
      <c r="J912" s="41">
        <f>IF($B912="","",IFERROR(INDEX('작업 Jobs'!$P$3:$P$1002,MATCH($B912,'작업 Jobs'!$A$3:$A$1002,0)),""))</f>
      </c>
    </row>
    <row r="913" spans="7:10" x14ac:dyDescent="0.25">
      <c r="G913" s="42">
        <f>IF($B913="","",IFERROR(INDEX('작업 Jobs'!$D$3:$D$1002,MATCH($B913,'작업 Jobs'!$A$3:$A$1002,0)),"작업 ID 없음"))</f>
      </c>
      <c r="H913" s="41">
        <f>IF($C913="","",IF($D913="CARD",ROUND($C913*'설정 Settings'!$C$34+'설정 Settings'!$C$35,2),0))</f>
      </c>
      <c r="I913" s="42">
        <f>IF($C913="","",IF($C913&gt;'설정 Settings'!$C$36,"$2,000 초과: 은행 한도 확인, 나눠 받기 (F36)",""))</f>
      </c>
      <c r="J913" s="41">
        <f>IF($B913="","",IFERROR(INDEX('작업 Jobs'!$P$3:$P$1002,MATCH($B913,'작업 Jobs'!$A$3:$A$1002,0)),""))</f>
      </c>
    </row>
    <row r="914" spans="7:10" x14ac:dyDescent="0.25">
      <c r="G914" s="42">
        <f>IF($B914="","",IFERROR(INDEX('작업 Jobs'!$D$3:$D$1002,MATCH($B914,'작업 Jobs'!$A$3:$A$1002,0)),"작업 ID 없음"))</f>
      </c>
      <c r="H914" s="41">
        <f>IF($C914="","",IF($D914="CARD",ROUND($C914*'설정 Settings'!$C$34+'설정 Settings'!$C$35,2),0))</f>
      </c>
      <c r="I914" s="42">
        <f>IF($C914="","",IF($C914&gt;'설정 Settings'!$C$36,"$2,000 초과: 은행 한도 확인, 나눠 받기 (F36)",""))</f>
      </c>
      <c r="J914" s="41">
        <f>IF($B914="","",IFERROR(INDEX('작업 Jobs'!$P$3:$P$1002,MATCH($B914,'작업 Jobs'!$A$3:$A$1002,0)),""))</f>
      </c>
    </row>
    <row r="915" spans="7:10" x14ac:dyDescent="0.25">
      <c r="G915" s="42">
        <f>IF($B915="","",IFERROR(INDEX('작업 Jobs'!$D$3:$D$1002,MATCH($B915,'작업 Jobs'!$A$3:$A$1002,0)),"작업 ID 없음"))</f>
      </c>
      <c r="H915" s="41">
        <f>IF($C915="","",IF($D915="CARD",ROUND($C915*'설정 Settings'!$C$34+'설정 Settings'!$C$35,2),0))</f>
      </c>
      <c r="I915" s="42">
        <f>IF($C915="","",IF($C915&gt;'설정 Settings'!$C$36,"$2,000 초과: 은행 한도 확인, 나눠 받기 (F36)",""))</f>
      </c>
      <c r="J915" s="41">
        <f>IF($B915="","",IFERROR(INDEX('작업 Jobs'!$P$3:$P$1002,MATCH($B915,'작업 Jobs'!$A$3:$A$1002,0)),""))</f>
      </c>
    </row>
    <row r="916" spans="7:10" x14ac:dyDescent="0.25">
      <c r="G916" s="42">
        <f>IF($B916="","",IFERROR(INDEX('작업 Jobs'!$D$3:$D$1002,MATCH($B916,'작업 Jobs'!$A$3:$A$1002,0)),"작업 ID 없음"))</f>
      </c>
      <c r="H916" s="41">
        <f>IF($C916="","",IF($D916="CARD",ROUND($C916*'설정 Settings'!$C$34+'설정 Settings'!$C$35,2),0))</f>
      </c>
      <c r="I916" s="42">
        <f>IF($C916="","",IF($C916&gt;'설정 Settings'!$C$36,"$2,000 초과: 은행 한도 확인, 나눠 받기 (F36)",""))</f>
      </c>
      <c r="J916" s="41">
        <f>IF($B916="","",IFERROR(INDEX('작업 Jobs'!$P$3:$P$1002,MATCH($B916,'작업 Jobs'!$A$3:$A$1002,0)),""))</f>
      </c>
    </row>
    <row r="917" spans="7:10" x14ac:dyDescent="0.25">
      <c r="G917" s="42">
        <f>IF($B917="","",IFERROR(INDEX('작업 Jobs'!$D$3:$D$1002,MATCH($B917,'작업 Jobs'!$A$3:$A$1002,0)),"작업 ID 없음"))</f>
      </c>
      <c r="H917" s="41">
        <f>IF($C917="","",IF($D917="CARD",ROUND($C917*'설정 Settings'!$C$34+'설정 Settings'!$C$35,2),0))</f>
      </c>
      <c r="I917" s="42">
        <f>IF($C917="","",IF($C917&gt;'설정 Settings'!$C$36,"$2,000 초과: 은행 한도 확인, 나눠 받기 (F36)",""))</f>
      </c>
      <c r="J917" s="41">
        <f>IF($B917="","",IFERROR(INDEX('작업 Jobs'!$P$3:$P$1002,MATCH($B917,'작업 Jobs'!$A$3:$A$1002,0)),""))</f>
      </c>
    </row>
    <row r="918" spans="7:10" x14ac:dyDescent="0.25">
      <c r="G918" s="42">
        <f>IF($B918="","",IFERROR(INDEX('작업 Jobs'!$D$3:$D$1002,MATCH($B918,'작업 Jobs'!$A$3:$A$1002,0)),"작업 ID 없음"))</f>
      </c>
      <c r="H918" s="41">
        <f>IF($C918="","",IF($D918="CARD",ROUND($C918*'설정 Settings'!$C$34+'설정 Settings'!$C$35,2),0))</f>
      </c>
      <c r="I918" s="42">
        <f>IF($C918="","",IF($C918&gt;'설정 Settings'!$C$36,"$2,000 초과: 은행 한도 확인, 나눠 받기 (F36)",""))</f>
      </c>
      <c r="J918" s="41">
        <f>IF($B918="","",IFERROR(INDEX('작업 Jobs'!$P$3:$P$1002,MATCH($B918,'작업 Jobs'!$A$3:$A$1002,0)),""))</f>
      </c>
    </row>
    <row r="919" spans="7:10" x14ac:dyDescent="0.25">
      <c r="G919" s="42">
        <f>IF($B919="","",IFERROR(INDEX('작업 Jobs'!$D$3:$D$1002,MATCH($B919,'작업 Jobs'!$A$3:$A$1002,0)),"작업 ID 없음"))</f>
      </c>
      <c r="H919" s="41">
        <f>IF($C919="","",IF($D919="CARD",ROUND($C919*'설정 Settings'!$C$34+'설정 Settings'!$C$35,2),0))</f>
      </c>
      <c r="I919" s="42">
        <f>IF($C919="","",IF($C919&gt;'설정 Settings'!$C$36,"$2,000 초과: 은행 한도 확인, 나눠 받기 (F36)",""))</f>
      </c>
      <c r="J919" s="41">
        <f>IF($B919="","",IFERROR(INDEX('작업 Jobs'!$P$3:$P$1002,MATCH($B919,'작업 Jobs'!$A$3:$A$1002,0)),""))</f>
      </c>
    </row>
    <row r="920" spans="7:10" x14ac:dyDescent="0.25">
      <c r="G920" s="42">
        <f>IF($B920="","",IFERROR(INDEX('작업 Jobs'!$D$3:$D$1002,MATCH($B920,'작업 Jobs'!$A$3:$A$1002,0)),"작업 ID 없음"))</f>
      </c>
      <c r="H920" s="41">
        <f>IF($C920="","",IF($D920="CARD",ROUND($C920*'설정 Settings'!$C$34+'설정 Settings'!$C$35,2),0))</f>
      </c>
      <c r="I920" s="42">
        <f>IF($C920="","",IF($C920&gt;'설정 Settings'!$C$36,"$2,000 초과: 은행 한도 확인, 나눠 받기 (F36)",""))</f>
      </c>
      <c r="J920" s="41">
        <f>IF($B920="","",IFERROR(INDEX('작업 Jobs'!$P$3:$P$1002,MATCH($B920,'작업 Jobs'!$A$3:$A$1002,0)),""))</f>
      </c>
    </row>
    <row r="921" spans="7:10" x14ac:dyDescent="0.25">
      <c r="G921" s="42">
        <f>IF($B921="","",IFERROR(INDEX('작업 Jobs'!$D$3:$D$1002,MATCH($B921,'작업 Jobs'!$A$3:$A$1002,0)),"작업 ID 없음"))</f>
      </c>
      <c r="H921" s="41">
        <f>IF($C921="","",IF($D921="CARD",ROUND($C921*'설정 Settings'!$C$34+'설정 Settings'!$C$35,2),0))</f>
      </c>
      <c r="I921" s="42">
        <f>IF($C921="","",IF($C921&gt;'설정 Settings'!$C$36,"$2,000 초과: 은행 한도 확인, 나눠 받기 (F36)",""))</f>
      </c>
      <c r="J921" s="41">
        <f>IF($B921="","",IFERROR(INDEX('작업 Jobs'!$P$3:$P$1002,MATCH($B921,'작업 Jobs'!$A$3:$A$1002,0)),""))</f>
      </c>
    </row>
    <row r="922" spans="7:10" x14ac:dyDescent="0.25">
      <c r="G922" s="42">
        <f>IF($B922="","",IFERROR(INDEX('작업 Jobs'!$D$3:$D$1002,MATCH($B922,'작업 Jobs'!$A$3:$A$1002,0)),"작업 ID 없음"))</f>
      </c>
      <c r="H922" s="41">
        <f>IF($C922="","",IF($D922="CARD",ROUND($C922*'설정 Settings'!$C$34+'설정 Settings'!$C$35,2),0))</f>
      </c>
      <c r="I922" s="42">
        <f>IF($C922="","",IF($C922&gt;'설정 Settings'!$C$36,"$2,000 초과: 은행 한도 확인, 나눠 받기 (F36)",""))</f>
      </c>
      <c r="J922" s="41">
        <f>IF($B922="","",IFERROR(INDEX('작업 Jobs'!$P$3:$P$1002,MATCH($B922,'작업 Jobs'!$A$3:$A$1002,0)),""))</f>
      </c>
    </row>
    <row r="923" spans="7:10" x14ac:dyDescent="0.25">
      <c r="G923" s="42">
        <f>IF($B923="","",IFERROR(INDEX('작업 Jobs'!$D$3:$D$1002,MATCH($B923,'작업 Jobs'!$A$3:$A$1002,0)),"작업 ID 없음"))</f>
      </c>
      <c r="H923" s="41">
        <f>IF($C923="","",IF($D923="CARD",ROUND($C923*'설정 Settings'!$C$34+'설정 Settings'!$C$35,2),0))</f>
      </c>
      <c r="I923" s="42">
        <f>IF($C923="","",IF($C923&gt;'설정 Settings'!$C$36,"$2,000 초과: 은행 한도 확인, 나눠 받기 (F36)",""))</f>
      </c>
      <c r="J923" s="41">
        <f>IF($B923="","",IFERROR(INDEX('작업 Jobs'!$P$3:$P$1002,MATCH($B923,'작업 Jobs'!$A$3:$A$1002,0)),""))</f>
      </c>
    </row>
    <row r="924" spans="7:10" x14ac:dyDescent="0.25">
      <c r="G924" s="42">
        <f>IF($B924="","",IFERROR(INDEX('작업 Jobs'!$D$3:$D$1002,MATCH($B924,'작업 Jobs'!$A$3:$A$1002,0)),"작업 ID 없음"))</f>
      </c>
      <c r="H924" s="41">
        <f>IF($C924="","",IF($D924="CARD",ROUND($C924*'설정 Settings'!$C$34+'설정 Settings'!$C$35,2),0))</f>
      </c>
      <c r="I924" s="42">
        <f>IF($C924="","",IF($C924&gt;'설정 Settings'!$C$36,"$2,000 초과: 은행 한도 확인, 나눠 받기 (F36)",""))</f>
      </c>
      <c r="J924" s="41">
        <f>IF($B924="","",IFERROR(INDEX('작업 Jobs'!$P$3:$P$1002,MATCH($B924,'작업 Jobs'!$A$3:$A$1002,0)),""))</f>
      </c>
    </row>
    <row r="925" spans="7:10" x14ac:dyDescent="0.25">
      <c r="G925" s="42">
        <f>IF($B925="","",IFERROR(INDEX('작업 Jobs'!$D$3:$D$1002,MATCH($B925,'작업 Jobs'!$A$3:$A$1002,0)),"작업 ID 없음"))</f>
      </c>
      <c r="H925" s="41">
        <f>IF($C925="","",IF($D925="CARD",ROUND($C925*'설정 Settings'!$C$34+'설정 Settings'!$C$35,2),0))</f>
      </c>
      <c r="I925" s="42">
        <f>IF($C925="","",IF($C925&gt;'설정 Settings'!$C$36,"$2,000 초과: 은행 한도 확인, 나눠 받기 (F36)",""))</f>
      </c>
      <c r="J925" s="41">
        <f>IF($B925="","",IFERROR(INDEX('작업 Jobs'!$P$3:$P$1002,MATCH($B925,'작업 Jobs'!$A$3:$A$1002,0)),""))</f>
      </c>
    </row>
    <row r="926" spans="7:10" x14ac:dyDescent="0.25">
      <c r="G926" s="42">
        <f>IF($B926="","",IFERROR(INDEX('작업 Jobs'!$D$3:$D$1002,MATCH($B926,'작업 Jobs'!$A$3:$A$1002,0)),"작업 ID 없음"))</f>
      </c>
      <c r="H926" s="41">
        <f>IF($C926="","",IF($D926="CARD",ROUND($C926*'설정 Settings'!$C$34+'설정 Settings'!$C$35,2),0))</f>
      </c>
      <c r="I926" s="42">
        <f>IF($C926="","",IF($C926&gt;'설정 Settings'!$C$36,"$2,000 초과: 은행 한도 확인, 나눠 받기 (F36)",""))</f>
      </c>
      <c r="J926" s="41">
        <f>IF($B926="","",IFERROR(INDEX('작업 Jobs'!$P$3:$P$1002,MATCH($B926,'작업 Jobs'!$A$3:$A$1002,0)),""))</f>
      </c>
    </row>
    <row r="927" spans="7:10" x14ac:dyDescent="0.25">
      <c r="G927" s="42">
        <f>IF($B927="","",IFERROR(INDEX('작업 Jobs'!$D$3:$D$1002,MATCH($B927,'작업 Jobs'!$A$3:$A$1002,0)),"작업 ID 없음"))</f>
      </c>
      <c r="H927" s="41">
        <f>IF($C927="","",IF($D927="CARD",ROUND($C927*'설정 Settings'!$C$34+'설정 Settings'!$C$35,2),0))</f>
      </c>
      <c r="I927" s="42">
        <f>IF($C927="","",IF($C927&gt;'설정 Settings'!$C$36,"$2,000 초과: 은행 한도 확인, 나눠 받기 (F36)",""))</f>
      </c>
      <c r="J927" s="41">
        <f>IF($B927="","",IFERROR(INDEX('작업 Jobs'!$P$3:$P$1002,MATCH($B927,'작업 Jobs'!$A$3:$A$1002,0)),""))</f>
      </c>
    </row>
    <row r="928" spans="7:10" x14ac:dyDescent="0.25">
      <c r="G928" s="42">
        <f>IF($B928="","",IFERROR(INDEX('작업 Jobs'!$D$3:$D$1002,MATCH($B928,'작업 Jobs'!$A$3:$A$1002,0)),"작업 ID 없음"))</f>
      </c>
      <c r="H928" s="41">
        <f>IF($C928="","",IF($D928="CARD",ROUND($C928*'설정 Settings'!$C$34+'설정 Settings'!$C$35,2),0))</f>
      </c>
      <c r="I928" s="42">
        <f>IF($C928="","",IF($C928&gt;'설정 Settings'!$C$36,"$2,000 초과: 은행 한도 확인, 나눠 받기 (F36)",""))</f>
      </c>
      <c r="J928" s="41">
        <f>IF($B928="","",IFERROR(INDEX('작업 Jobs'!$P$3:$P$1002,MATCH($B928,'작업 Jobs'!$A$3:$A$1002,0)),""))</f>
      </c>
    </row>
    <row r="929" spans="7:10" x14ac:dyDescent="0.25">
      <c r="G929" s="42">
        <f>IF($B929="","",IFERROR(INDEX('작업 Jobs'!$D$3:$D$1002,MATCH($B929,'작업 Jobs'!$A$3:$A$1002,0)),"작업 ID 없음"))</f>
      </c>
      <c r="H929" s="41">
        <f>IF($C929="","",IF($D929="CARD",ROUND($C929*'설정 Settings'!$C$34+'설정 Settings'!$C$35,2),0))</f>
      </c>
      <c r="I929" s="42">
        <f>IF($C929="","",IF($C929&gt;'설정 Settings'!$C$36,"$2,000 초과: 은행 한도 확인, 나눠 받기 (F36)",""))</f>
      </c>
      <c r="J929" s="41">
        <f>IF($B929="","",IFERROR(INDEX('작업 Jobs'!$P$3:$P$1002,MATCH($B929,'작업 Jobs'!$A$3:$A$1002,0)),""))</f>
      </c>
    </row>
    <row r="930" spans="7:10" x14ac:dyDescent="0.25">
      <c r="G930" s="42">
        <f>IF($B930="","",IFERROR(INDEX('작업 Jobs'!$D$3:$D$1002,MATCH($B930,'작업 Jobs'!$A$3:$A$1002,0)),"작업 ID 없음"))</f>
      </c>
      <c r="H930" s="41">
        <f>IF($C930="","",IF($D930="CARD",ROUND($C930*'설정 Settings'!$C$34+'설정 Settings'!$C$35,2),0))</f>
      </c>
      <c r="I930" s="42">
        <f>IF($C930="","",IF($C930&gt;'설정 Settings'!$C$36,"$2,000 초과: 은행 한도 확인, 나눠 받기 (F36)",""))</f>
      </c>
      <c r="J930" s="41">
        <f>IF($B930="","",IFERROR(INDEX('작업 Jobs'!$P$3:$P$1002,MATCH($B930,'작업 Jobs'!$A$3:$A$1002,0)),""))</f>
      </c>
    </row>
    <row r="931" spans="7:10" x14ac:dyDescent="0.25">
      <c r="G931" s="42">
        <f>IF($B931="","",IFERROR(INDEX('작업 Jobs'!$D$3:$D$1002,MATCH($B931,'작업 Jobs'!$A$3:$A$1002,0)),"작업 ID 없음"))</f>
      </c>
      <c r="H931" s="41">
        <f>IF($C931="","",IF($D931="CARD",ROUND($C931*'설정 Settings'!$C$34+'설정 Settings'!$C$35,2),0))</f>
      </c>
      <c r="I931" s="42">
        <f>IF($C931="","",IF($C931&gt;'설정 Settings'!$C$36,"$2,000 초과: 은행 한도 확인, 나눠 받기 (F36)",""))</f>
      </c>
      <c r="J931" s="41">
        <f>IF($B931="","",IFERROR(INDEX('작업 Jobs'!$P$3:$P$1002,MATCH($B931,'작업 Jobs'!$A$3:$A$1002,0)),""))</f>
      </c>
    </row>
    <row r="932" spans="7:10" x14ac:dyDescent="0.25">
      <c r="G932" s="42">
        <f>IF($B932="","",IFERROR(INDEX('작업 Jobs'!$D$3:$D$1002,MATCH($B932,'작업 Jobs'!$A$3:$A$1002,0)),"작업 ID 없음"))</f>
      </c>
      <c r="H932" s="41">
        <f>IF($C932="","",IF($D932="CARD",ROUND($C932*'설정 Settings'!$C$34+'설정 Settings'!$C$35,2),0))</f>
      </c>
      <c r="I932" s="42">
        <f>IF($C932="","",IF($C932&gt;'설정 Settings'!$C$36,"$2,000 초과: 은행 한도 확인, 나눠 받기 (F36)",""))</f>
      </c>
      <c r="J932" s="41">
        <f>IF($B932="","",IFERROR(INDEX('작업 Jobs'!$P$3:$P$1002,MATCH($B932,'작업 Jobs'!$A$3:$A$1002,0)),""))</f>
      </c>
    </row>
    <row r="933" spans="7:10" x14ac:dyDescent="0.25">
      <c r="G933" s="42">
        <f>IF($B933="","",IFERROR(INDEX('작업 Jobs'!$D$3:$D$1002,MATCH($B933,'작업 Jobs'!$A$3:$A$1002,0)),"작업 ID 없음"))</f>
      </c>
      <c r="H933" s="41">
        <f>IF($C933="","",IF($D933="CARD",ROUND($C933*'설정 Settings'!$C$34+'설정 Settings'!$C$35,2),0))</f>
      </c>
      <c r="I933" s="42">
        <f>IF($C933="","",IF($C933&gt;'설정 Settings'!$C$36,"$2,000 초과: 은행 한도 확인, 나눠 받기 (F36)",""))</f>
      </c>
      <c r="J933" s="41">
        <f>IF($B933="","",IFERROR(INDEX('작업 Jobs'!$P$3:$P$1002,MATCH($B933,'작업 Jobs'!$A$3:$A$1002,0)),""))</f>
      </c>
    </row>
    <row r="934" spans="7:10" x14ac:dyDescent="0.25">
      <c r="G934" s="42">
        <f>IF($B934="","",IFERROR(INDEX('작업 Jobs'!$D$3:$D$1002,MATCH($B934,'작업 Jobs'!$A$3:$A$1002,0)),"작업 ID 없음"))</f>
      </c>
      <c r="H934" s="41">
        <f>IF($C934="","",IF($D934="CARD",ROUND($C934*'설정 Settings'!$C$34+'설정 Settings'!$C$35,2),0))</f>
      </c>
      <c r="I934" s="42">
        <f>IF($C934="","",IF($C934&gt;'설정 Settings'!$C$36,"$2,000 초과: 은행 한도 확인, 나눠 받기 (F36)",""))</f>
      </c>
      <c r="J934" s="41">
        <f>IF($B934="","",IFERROR(INDEX('작업 Jobs'!$P$3:$P$1002,MATCH($B934,'작업 Jobs'!$A$3:$A$1002,0)),""))</f>
      </c>
    </row>
    <row r="935" spans="7:10" x14ac:dyDescent="0.25">
      <c r="G935" s="42">
        <f>IF($B935="","",IFERROR(INDEX('작업 Jobs'!$D$3:$D$1002,MATCH($B935,'작업 Jobs'!$A$3:$A$1002,0)),"작업 ID 없음"))</f>
      </c>
      <c r="H935" s="41">
        <f>IF($C935="","",IF($D935="CARD",ROUND($C935*'설정 Settings'!$C$34+'설정 Settings'!$C$35,2),0))</f>
      </c>
      <c r="I935" s="42">
        <f>IF($C935="","",IF($C935&gt;'설정 Settings'!$C$36,"$2,000 초과: 은행 한도 확인, 나눠 받기 (F36)",""))</f>
      </c>
      <c r="J935" s="41">
        <f>IF($B935="","",IFERROR(INDEX('작업 Jobs'!$P$3:$P$1002,MATCH($B935,'작업 Jobs'!$A$3:$A$1002,0)),""))</f>
      </c>
    </row>
    <row r="936" spans="7:10" x14ac:dyDescent="0.25">
      <c r="G936" s="42">
        <f>IF($B936="","",IFERROR(INDEX('작업 Jobs'!$D$3:$D$1002,MATCH($B936,'작업 Jobs'!$A$3:$A$1002,0)),"작업 ID 없음"))</f>
      </c>
      <c r="H936" s="41">
        <f>IF($C936="","",IF($D936="CARD",ROUND($C936*'설정 Settings'!$C$34+'설정 Settings'!$C$35,2),0))</f>
      </c>
      <c r="I936" s="42">
        <f>IF($C936="","",IF($C936&gt;'설정 Settings'!$C$36,"$2,000 초과: 은행 한도 확인, 나눠 받기 (F36)",""))</f>
      </c>
      <c r="J936" s="41">
        <f>IF($B936="","",IFERROR(INDEX('작업 Jobs'!$P$3:$P$1002,MATCH($B936,'작업 Jobs'!$A$3:$A$1002,0)),""))</f>
      </c>
    </row>
    <row r="937" spans="7:10" x14ac:dyDescent="0.25">
      <c r="G937" s="42">
        <f>IF($B937="","",IFERROR(INDEX('작업 Jobs'!$D$3:$D$1002,MATCH($B937,'작업 Jobs'!$A$3:$A$1002,0)),"작업 ID 없음"))</f>
      </c>
      <c r="H937" s="41">
        <f>IF($C937="","",IF($D937="CARD",ROUND($C937*'설정 Settings'!$C$34+'설정 Settings'!$C$35,2),0))</f>
      </c>
      <c r="I937" s="42">
        <f>IF($C937="","",IF($C937&gt;'설정 Settings'!$C$36,"$2,000 초과: 은행 한도 확인, 나눠 받기 (F36)",""))</f>
      </c>
      <c r="J937" s="41">
        <f>IF($B937="","",IFERROR(INDEX('작업 Jobs'!$P$3:$P$1002,MATCH($B937,'작업 Jobs'!$A$3:$A$1002,0)),""))</f>
      </c>
    </row>
    <row r="938" spans="7:10" x14ac:dyDescent="0.25">
      <c r="G938" s="42">
        <f>IF($B938="","",IFERROR(INDEX('작업 Jobs'!$D$3:$D$1002,MATCH($B938,'작업 Jobs'!$A$3:$A$1002,0)),"작업 ID 없음"))</f>
      </c>
      <c r="H938" s="41">
        <f>IF($C938="","",IF($D938="CARD",ROUND($C938*'설정 Settings'!$C$34+'설정 Settings'!$C$35,2),0))</f>
      </c>
      <c r="I938" s="42">
        <f>IF($C938="","",IF($C938&gt;'설정 Settings'!$C$36,"$2,000 초과: 은행 한도 확인, 나눠 받기 (F36)",""))</f>
      </c>
      <c r="J938" s="41">
        <f>IF($B938="","",IFERROR(INDEX('작업 Jobs'!$P$3:$P$1002,MATCH($B938,'작업 Jobs'!$A$3:$A$1002,0)),""))</f>
      </c>
    </row>
    <row r="939" spans="7:10" x14ac:dyDescent="0.25">
      <c r="G939" s="42">
        <f>IF($B939="","",IFERROR(INDEX('작업 Jobs'!$D$3:$D$1002,MATCH($B939,'작업 Jobs'!$A$3:$A$1002,0)),"작업 ID 없음"))</f>
      </c>
      <c r="H939" s="41">
        <f>IF($C939="","",IF($D939="CARD",ROUND($C939*'설정 Settings'!$C$34+'설정 Settings'!$C$35,2),0))</f>
      </c>
      <c r="I939" s="42">
        <f>IF($C939="","",IF($C939&gt;'설정 Settings'!$C$36,"$2,000 초과: 은행 한도 확인, 나눠 받기 (F36)",""))</f>
      </c>
      <c r="J939" s="41">
        <f>IF($B939="","",IFERROR(INDEX('작업 Jobs'!$P$3:$P$1002,MATCH($B939,'작업 Jobs'!$A$3:$A$1002,0)),""))</f>
      </c>
    </row>
    <row r="940" spans="7:10" x14ac:dyDescent="0.25">
      <c r="G940" s="42">
        <f>IF($B940="","",IFERROR(INDEX('작업 Jobs'!$D$3:$D$1002,MATCH($B940,'작업 Jobs'!$A$3:$A$1002,0)),"작업 ID 없음"))</f>
      </c>
      <c r="H940" s="41">
        <f>IF($C940="","",IF($D940="CARD",ROUND($C940*'설정 Settings'!$C$34+'설정 Settings'!$C$35,2),0))</f>
      </c>
      <c r="I940" s="42">
        <f>IF($C940="","",IF($C940&gt;'설정 Settings'!$C$36,"$2,000 초과: 은행 한도 확인, 나눠 받기 (F36)",""))</f>
      </c>
      <c r="J940" s="41">
        <f>IF($B940="","",IFERROR(INDEX('작업 Jobs'!$P$3:$P$1002,MATCH($B940,'작업 Jobs'!$A$3:$A$1002,0)),""))</f>
      </c>
    </row>
    <row r="941" spans="7:10" x14ac:dyDescent="0.25">
      <c r="G941" s="42">
        <f>IF($B941="","",IFERROR(INDEX('작업 Jobs'!$D$3:$D$1002,MATCH($B941,'작업 Jobs'!$A$3:$A$1002,0)),"작업 ID 없음"))</f>
      </c>
      <c r="H941" s="41">
        <f>IF($C941="","",IF($D941="CARD",ROUND($C941*'설정 Settings'!$C$34+'설정 Settings'!$C$35,2),0))</f>
      </c>
      <c r="I941" s="42">
        <f>IF($C941="","",IF($C941&gt;'설정 Settings'!$C$36,"$2,000 초과: 은행 한도 확인, 나눠 받기 (F36)",""))</f>
      </c>
      <c r="J941" s="41">
        <f>IF($B941="","",IFERROR(INDEX('작업 Jobs'!$P$3:$P$1002,MATCH($B941,'작업 Jobs'!$A$3:$A$1002,0)),""))</f>
      </c>
    </row>
    <row r="942" spans="7:10" x14ac:dyDescent="0.25">
      <c r="G942" s="42">
        <f>IF($B942="","",IFERROR(INDEX('작업 Jobs'!$D$3:$D$1002,MATCH($B942,'작업 Jobs'!$A$3:$A$1002,0)),"작업 ID 없음"))</f>
      </c>
      <c r="H942" s="41">
        <f>IF($C942="","",IF($D942="CARD",ROUND($C942*'설정 Settings'!$C$34+'설정 Settings'!$C$35,2),0))</f>
      </c>
      <c r="I942" s="42">
        <f>IF($C942="","",IF($C942&gt;'설정 Settings'!$C$36,"$2,000 초과: 은행 한도 확인, 나눠 받기 (F36)",""))</f>
      </c>
      <c r="J942" s="41">
        <f>IF($B942="","",IFERROR(INDEX('작업 Jobs'!$P$3:$P$1002,MATCH($B942,'작업 Jobs'!$A$3:$A$1002,0)),""))</f>
      </c>
    </row>
    <row r="943" spans="7:10" x14ac:dyDescent="0.25">
      <c r="G943" s="42">
        <f>IF($B943="","",IFERROR(INDEX('작업 Jobs'!$D$3:$D$1002,MATCH($B943,'작업 Jobs'!$A$3:$A$1002,0)),"작업 ID 없음"))</f>
      </c>
      <c r="H943" s="41">
        <f>IF($C943="","",IF($D943="CARD",ROUND($C943*'설정 Settings'!$C$34+'설정 Settings'!$C$35,2),0))</f>
      </c>
      <c r="I943" s="42">
        <f>IF($C943="","",IF($C943&gt;'설정 Settings'!$C$36,"$2,000 초과: 은행 한도 확인, 나눠 받기 (F36)",""))</f>
      </c>
      <c r="J943" s="41">
        <f>IF($B943="","",IFERROR(INDEX('작업 Jobs'!$P$3:$P$1002,MATCH($B943,'작업 Jobs'!$A$3:$A$1002,0)),""))</f>
      </c>
    </row>
    <row r="944" spans="7:10" x14ac:dyDescent="0.25">
      <c r="G944" s="42">
        <f>IF($B944="","",IFERROR(INDEX('작업 Jobs'!$D$3:$D$1002,MATCH($B944,'작업 Jobs'!$A$3:$A$1002,0)),"작업 ID 없음"))</f>
      </c>
      <c r="H944" s="41">
        <f>IF($C944="","",IF($D944="CARD",ROUND($C944*'설정 Settings'!$C$34+'설정 Settings'!$C$35,2),0))</f>
      </c>
      <c r="I944" s="42">
        <f>IF($C944="","",IF($C944&gt;'설정 Settings'!$C$36,"$2,000 초과: 은행 한도 확인, 나눠 받기 (F36)",""))</f>
      </c>
      <c r="J944" s="41">
        <f>IF($B944="","",IFERROR(INDEX('작업 Jobs'!$P$3:$P$1002,MATCH($B944,'작업 Jobs'!$A$3:$A$1002,0)),""))</f>
      </c>
    </row>
    <row r="945" spans="7:10" x14ac:dyDescent="0.25">
      <c r="G945" s="42">
        <f>IF($B945="","",IFERROR(INDEX('작업 Jobs'!$D$3:$D$1002,MATCH($B945,'작업 Jobs'!$A$3:$A$1002,0)),"작업 ID 없음"))</f>
      </c>
      <c r="H945" s="41">
        <f>IF($C945="","",IF($D945="CARD",ROUND($C945*'설정 Settings'!$C$34+'설정 Settings'!$C$35,2),0))</f>
      </c>
      <c r="I945" s="42">
        <f>IF($C945="","",IF($C945&gt;'설정 Settings'!$C$36,"$2,000 초과: 은행 한도 확인, 나눠 받기 (F36)",""))</f>
      </c>
      <c r="J945" s="41">
        <f>IF($B945="","",IFERROR(INDEX('작업 Jobs'!$P$3:$P$1002,MATCH($B945,'작업 Jobs'!$A$3:$A$1002,0)),""))</f>
      </c>
    </row>
    <row r="946" spans="7:10" x14ac:dyDescent="0.25">
      <c r="G946" s="42">
        <f>IF($B946="","",IFERROR(INDEX('작업 Jobs'!$D$3:$D$1002,MATCH($B946,'작업 Jobs'!$A$3:$A$1002,0)),"작업 ID 없음"))</f>
      </c>
      <c r="H946" s="41">
        <f>IF($C946="","",IF($D946="CARD",ROUND($C946*'설정 Settings'!$C$34+'설정 Settings'!$C$35,2),0))</f>
      </c>
      <c r="I946" s="42">
        <f>IF($C946="","",IF($C946&gt;'설정 Settings'!$C$36,"$2,000 초과: 은행 한도 확인, 나눠 받기 (F36)",""))</f>
      </c>
      <c r="J946" s="41">
        <f>IF($B946="","",IFERROR(INDEX('작업 Jobs'!$P$3:$P$1002,MATCH($B946,'작업 Jobs'!$A$3:$A$1002,0)),""))</f>
      </c>
    </row>
    <row r="947" spans="7:10" x14ac:dyDescent="0.25">
      <c r="G947" s="42">
        <f>IF($B947="","",IFERROR(INDEX('작업 Jobs'!$D$3:$D$1002,MATCH($B947,'작업 Jobs'!$A$3:$A$1002,0)),"작업 ID 없음"))</f>
      </c>
      <c r="H947" s="41">
        <f>IF($C947="","",IF($D947="CARD",ROUND($C947*'설정 Settings'!$C$34+'설정 Settings'!$C$35,2),0))</f>
      </c>
      <c r="I947" s="42">
        <f>IF($C947="","",IF($C947&gt;'설정 Settings'!$C$36,"$2,000 초과: 은행 한도 확인, 나눠 받기 (F36)",""))</f>
      </c>
      <c r="J947" s="41">
        <f>IF($B947="","",IFERROR(INDEX('작업 Jobs'!$P$3:$P$1002,MATCH($B947,'작업 Jobs'!$A$3:$A$1002,0)),""))</f>
      </c>
    </row>
    <row r="948" spans="7:10" x14ac:dyDescent="0.25">
      <c r="G948" s="42">
        <f>IF($B948="","",IFERROR(INDEX('작업 Jobs'!$D$3:$D$1002,MATCH($B948,'작업 Jobs'!$A$3:$A$1002,0)),"작업 ID 없음"))</f>
      </c>
      <c r="H948" s="41">
        <f>IF($C948="","",IF($D948="CARD",ROUND($C948*'설정 Settings'!$C$34+'설정 Settings'!$C$35,2),0))</f>
      </c>
      <c r="I948" s="42">
        <f>IF($C948="","",IF($C948&gt;'설정 Settings'!$C$36,"$2,000 초과: 은행 한도 확인, 나눠 받기 (F36)",""))</f>
      </c>
      <c r="J948" s="41">
        <f>IF($B948="","",IFERROR(INDEX('작업 Jobs'!$P$3:$P$1002,MATCH($B948,'작업 Jobs'!$A$3:$A$1002,0)),""))</f>
      </c>
    </row>
    <row r="949" spans="7:10" x14ac:dyDescent="0.25">
      <c r="G949" s="42">
        <f>IF($B949="","",IFERROR(INDEX('작업 Jobs'!$D$3:$D$1002,MATCH($B949,'작업 Jobs'!$A$3:$A$1002,0)),"작업 ID 없음"))</f>
      </c>
      <c r="H949" s="41">
        <f>IF($C949="","",IF($D949="CARD",ROUND($C949*'설정 Settings'!$C$34+'설정 Settings'!$C$35,2),0))</f>
      </c>
      <c r="I949" s="42">
        <f>IF($C949="","",IF($C949&gt;'설정 Settings'!$C$36,"$2,000 초과: 은행 한도 확인, 나눠 받기 (F36)",""))</f>
      </c>
      <c r="J949" s="41">
        <f>IF($B949="","",IFERROR(INDEX('작업 Jobs'!$P$3:$P$1002,MATCH($B949,'작업 Jobs'!$A$3:$A$1002,0)),""))</f>
      </c>
    </row>
    <row r="950" spans="7:10" x14ac:dyDescent="0.25">
      <c r="G950" s="42">
        <f>IF($B950="","",IFERROR(INDEX('작업 Jobs'!$D$3:$D$1002,MATCH($B950,'작업 Jobs'!$A$3:$A$1002,0)),"작업 ID 없음"))</f>
      </c>
      <c r="H950" s="41">
        <f>IF($C950="","",IF($D950="CARD",ROUND($C950*'설정 Settings'!$C$34+'설정 Settings'!$C$35,2),0))</f>
      </c>
      <c r="I950" s="42">
        <f>IF($C950="","",IF($C950&gt;'설정 Settings'!$C$36,"$2,000 초과: 은행 한도 확인, 나눠 받기 (F36)",""))</f>
      </c>
      <c r="J950" s="41">
        <f>IF($B950="","",IFERROR(INDEX('작업 Jobs'!$P$3:$P$1002,MATCH($B950,'작업 Jobs'!$A$3:$A$1002,0)),""))</f>
      </c>
    </row>
    <row r="951" spans="7:10" x14ac:dyDescent="0.25">
      <c r="G951" s="42">
        <f>IF($B951="","",IFERROR(INDEX('작업 Jobs'!$D$3:$D$1002,MATCH($B951,'작업 Jobs'!$A$3:$A$1002,0)),"작업 ID 없음"))</f>
      </c>
      <c r="H951" s="41">
        <f>IF($C951="","",IF($D951="CARD",ROUND($C951*'설정 Settings'!$C$34+'설정 Settings'!$C$35,2),0))</f>
      </c>
      <c r="I951" s="42">
        <f>IF($C951="","",IF($C951&gt;'설정 Settings'!$C$36,"$2,000 초과: 은행 한도 확인, 나눠 받기 (F36)",""))</f>
      </c>
      <c r="J951" s="41">
        <f>IF($B951="","",IFERROR(INDEX('작업 Jobs'!$P$3:$P$1002,MATCH($B951,'작업 Jobs'!$A$3:$A$1002,0)),""))</f>
      </c>
    </row>
    <row r="952" spans="7:10" x14ac:dyDescent="0.25">
      <c r="G952" s="42">
        <f>IF($B952="","",IFERROR(INDEX('작업 Jobs'!$D$3:$D$1002,MATCH($B952,'작업 Jobs'!$A$3:$A$1002,0)),"작업 ID 없음"))</f>
      </c>
      <c r="H952" s="41">
        <f>IF($C952="","",IF($D952="CARD",ROUND($C952*'설정 Settings'!$C$34+'설정 Settings'!$C$35,2),0))</f>
      </c>
      <c r="I952" s="42">
        <f>IF($C952="","",IF($C952&gt;'설정 Settings'!$C$36,"$2,000 초과: 은행 한도 확인, 나눠 받기 (F36)",""))</f>
      </c>
      <c r="J952" s="41">
        <f>IF($B952="","",IFERROR(INDEX('작업 Jobs'!$P$3:$P$1002,MATCH($B952,'작업 Jobs'!$A$3:$A$1002,0)),""))</f>
      </c>
    </row>
    <row r="953" spans="7:10" x14ac:dyDescent="0.25">
      <c r="G953" s="42">
        <f>IF($B953="","",IFERROR(INDEX('작업 Jobs'!$D$3:$D$1002,MATCH($B953,'작업 Jobs'!$A$3:$A$1002,0)),"작업 ID 없음"))</f>
      </c>
      <c r="H953" s="41">
        <f>IF($C953="","",IF($D953="CARD",ROUND($C953*'설정 Settings'!$C$34+'설정 Settings'!$C$35,2),0))</f>
      </c>
      <c r="I953" s="42">
        <f>IF($C953="","",IF($C953&gt;'설정 Settings'!$C$36,"$2,000 초과: 은행 한도 확인, 나눠 받기 (F36)",""))</f>
      </c>
      <c r="J953" s="41">
        <f>IF($B953="","",IFERROR(INDEX('작업 Jobs'!$P$3:$P$1002,MATCH($B953,'작업 Jobs'!$A$3:$A$1002,0)),""))</f>
      </c>
    </row>
    <row r="954" spans="7:10" x14ac:dyDescent="0.25">
      <c r="G954" s="42">
        <f>IF($B954="","",IFERROR(INDEX('작업 Jobs'!$D$3:$D$1002,MATCH($B954,'작업 Jobs'!$A$3:$A$1002,0)),"작업 ID 없음"))</f>
      </c>
      <c r="H954" s="41">
        <f>IF($C954="","",IF($D954="CARD",ROUND($C954*'설정 Settings'!$C$34+'설정 Settings'!$C$35,2),0))</f>
      </c>
      <c r="I954" s="42">
        <f>IF($C954="","",IF($C954&gt;'설정 Settings'!$C$36,"$2,000 초과: 은행 한도 확인, 나눠 받기 (F36)",""))</f>
      </c>
      <c r="J954" s="41">
        <f>IF($B954="","",IFERROR(INDEX('작업 Jobs'!$P$3:$P$1002,MATCH($B954,'작업 Jobs'!$A$3:$A$1002,0)),""))</f>
      </c>
    </row>
    <row r="955" spans="7:10" x14ac:dyDescent="0.25">
      <c r="G955" s="42">
        <f>IF($B955="","",IFERROR(INDEX('작업 Jobs'!$D$3:$D$1002,MATCH($B955,'작업 Jobs'!$A$3:$A$1002,0)),"작업 ID 없음"))</f>
      </c>
      <c r="H955" s="41">
        <f>IF($C955="","",IF($D955="CARD",ROUND($C955*'설정 Settings'!$C$34+'설정 Settings'!$C$35,2),0))</f>
      </c>
      <c r="I955" s="42">
        <f>IF($C955="","",IF($C955&gt;'설정 Settings'!$C$36,"$2,000 초과: 은행 한도 확인, 나눠 받기 (F36)",""))</f>
      </c>
      <c r="J955" s="41">
        <f>IF($B955="","",IFERROR(INDEX('작업 Jobs'!$P$3:$P$1002,MATCH($B955,'작업 Jobs'!$A$3:$A$1002,0)),""))</f>
      </c>
    </row>
    <row r="956" spans="7:10" x14ac:dyDescent="0.25">
      <c r="G956" s="42">
        <f>IF($B956="","",IFERROR(INDEX('작업 Jobs'!$D$3:$D$1002,MATCH($B956,'작업 Jobs'!$A$3:$A$1002,0)),"작업 ID 없음"))</f>
      </c>
      <c r="H956" s="41">
        <f>IF($C956="","",IF($D956="CARD",ROUND($C956*'설정 Settings'!$C$34+'설정 Settings'!$C$35,2),0))</f>
      </c>
      <c r="I956" s="42">
        <f>IF($C956="","",IF($C956&gt;'설정 Settings'!$C$36,"$2,000 초과: 은행 한도 확인, 나눠 받기 (F36)",""))</f>
      </c>
      <c r="J956" s="41">
        <f>IF($B956="","",IFERROR(INDEX('작업 Jobs'!$P$3:$P$1002,MATCH($B956,'작업 Jobs'!$A$3:$A$1002,0)),""))</f>
      </c>
    </row>
    <row r="957" spans="7:10" x14ac:dyDescent="0.25">
      <c r="G957" s="42">
        <f>IF($B957="","",IFERROR(INDEX('작업 Jobs'!$D$3:$D$1002,MATCH($B957,'작업 Jobs'!$A$3:$A$1002,0)),"작업 ID 없음"))</f>
      </c>
      <c r="H957" s="41">
        <f>IF($C957="","",IF($D957="CARD",ROUND($C957*'설정 Settings'!$C$34+'설정 Settings'!$C$35,2),0))</f>
      </c>
      <c r="I957" s="42">
        <f>IF($C957="","",IF($C957&gt;'설정 Settings'!$C$36,"$2,000 초과: 은행 한도 확인, 나눠 받기 (F36)",""))</f>
      </c>
      <c r="J957" s="41">
        <f>IF($B957="","",IFERROR(INDEX('작업 Jobs'!$P$3:$P$1002,MATCH($B957,'작업 Jobs'!$A$3:$A$1002,0)),""))</f>
      </c>
    </row>
    <row r="958" spans="7:10" x14ac:dyDescent="0.25">
      <c r="G958" s="42">
        <f>IF($B958="","",IFERROR(INDEX('작업 Jobs'!$D$3:$D$1002,MATCH($B958,'작업 Jobs'!$A$3:$A$1002,0)),"작업 ID 없음"))</f>
      </c>
      <c r="H958" s="41">
        <f>IF($C958="","",IF($D958="CARD",ROUND($C958*'설정 Settings'!$C$34+'설정 Settings'!$C$35,2),0))</f>
      </c>
      <c r="I958" s="42">
        <f>IF($C958="","",IF($C958&gt;'설정 Settings'!$C$36,"$2,000 초과: 은행 한도 확인, 나눠 받기 (F36)",""))</f>
      </c>
      <c r="J958" s="41">
        <f>IF($B958="","",IFERROR(INDEX('작업 Jobs'!$P$3:$P$1002,MATCH($B958,'작업 Jobs'!$A$3:$A$1002,0)),""))</f>
      </c>
    </row>
    <row r="959" spans="7:10" x14ac:dyDescent="0.25">
      <c r="G959" s="42">
        <f>IF($B959="","",IFERROR(INDEX('작업 Jobs'!$D$3:$D$1002,MATCH($B959,'작업 Jobs'!$A$3:$A$1002,0)),"작업 ID 없음"))</f>
      </c>
      <c r="H959" s="41">
        <f>IF($C959="","",IF($D959="CARD",ROUND($C959*'설정 Settings'!$C$34+'설정 Settings'!$C$35,2),0))</f>
      </c>
      <c r="I959" s="42">
        <f>IF($C959="","",IF($C959&gt;'설정 Settings'!$C$36,"$2,000 초과: 은행 한도 확인, 나눠 받기 (F36)",""))</f>
      </c>
      <c r="J959" s="41">
        <f>IF($B959="","",IFERROR(INDEX('작업 Jobs'!$P$3:$P$1002,MATCH($B959,'작업 Jobs'!$A$3:$A$1002,0)),""))</f>
      </c>
    </row>
    <row r="960" spans="7:10" x14ac:dyDescent="0.25">
      <c r="G960" s="42">
        <f>IF($B960="","",IFERROR(INDEX('작업 Jobs'!$D$3:$D$1002,MATCH($B960,'작업 Jobs'!$A$3:$A$1002,0)),"작업 ID 없음"))</f>
      </c>
      <c r="H960" s="41">
        <f>IF($C960="","",IF($D960="CARD",ROUND($C960*'설정 Settings'!$C$34+'설정 Settings'!$C$35,2),0))</f>
      </c>
      <c r="I960" s="42">
        <f>IF($C960="","",IF($C960&gt;'설정 Settings'!$C$36,"$2,000 초과: 은행 한도 확인, 나눠 받기 (F36)",""))</f>
      </c>
      <c r="J960" s="41">
        <f>IF($B960="","",IFERROR(INDEX('작업 Jobs'!$P$3:$P$1002,MATCH($B960,'작업 Jobs'!$A$3:$A$1002,0)),""))</f>
      </c>
    </row>
    <row r="961" spans="7:10" x14ac:dyDescent="0.25">
      <c r="G961" s="42">
        <f>IF($B961="","",IFERROR(INDEX('작업 Jobs'!$D$3:$D$1002,MATCH($B961,'작업 Jobs'!$A$3:$A$1002,0)),"작업 ID 없음"))</f>
      </c>
      <c r="H961" s="41">
        <f>IF($C961="","",IF($D961="CARD",ROUND($C961*'설정 Settings'!$C$34+'설정 Settings'!$C$35,2),0))</f>
      </c>
      <c r="I961" s="42">
        <f>IF($C961="","",IF($C961&gt;'설정 Settings'!$C$36,"$2,000 초과: 은행 한도 확인, 나눠 받기 (F36)",""))</f>
      </c>
      <c r="J961" s="41">
        <f>IF($B961="","",IFERROR(INDEX('작업 Jobs'!$P$3:$P$1002,MATCH($B961,'작업 Jobs'!$A$3:$A$1002,0)),""))</f>
      </c>
    </row>
    <row r="962" spans="7:10" x14ac:dyDescent="0.25">
      <c r="G962" s="42">
        <f>IF($B962="","",IFERROR(INDEX('작업 Jobs'!$D$3:$D$1002,MATCH($B962,'작업 Jobs'!$A$3:$A$1002,0)),"작업 ID 없음"))</f>
      </c>
      <c r="H962" s="41">
        <f>IF($C962="","",IF($D962="CARD",ROUND($C962*'설정 Settings'!$C$34+'설정 Settings'!$C$35,2),0))</f>
      </c>
      <c r="I962" s="42">
        <f>IF($C962="","",IF($C962&gt;'설정 Settings'!$C$36,"$2,000 초과: 은행 한도 확인, 나눠 받기 (F36)",""))</f>
      </c>
      <c r="J962" s="41">
        <f>IF($B962="","",IFERROR(INDEX('작업 Jobs'!$P$3:$P$1002,MATCH($B962,'작업 Jobs'!$A$3:$A$1002,0)),""))</f>
      </c>
    </row>
    <row r="963" spans="7:10" x14ac:dyDescent="0.25">
      <c r="G963" s="42">
        <f>IF($B963="","",IFERROR(INDEX('작업 Jobs'!$D$3:$D$1002,MATCH($B963,'작업 Jobs'!$A$3:$A$1002,0)),"작업 ID 없음"))</f>
      </c>
      <c r="H963" s="41">
        <f>IF($C963="","",IF($D963="CARD",ROUND($C963*'설정 Settings'!$C$34+'설정 Settings'!$C$35,2),0))</f>
      </c>
      <c r="I963" s="42">
        <f>IF($C963="","",IF($C963&gt;'설정 Settings'!$C$36,"$2,000 초과: 은행 한도 확인, 나눠 받기 (F36)",""))</f>
      </c>
      <c r="J963" s="41">
        <f>IF($B963="","",IFERROR(INDEX('작업 Jobs'!$P$3:$P$1002,MATCH($B963,'작업 Jobs'!$A$3:$A$1002,0)),""))</f>
      </c>
    </row>
    <row r="964" spans="7:10" x14ac:dyDescent="0.25">
      <c r="G964" s="42">
        <f>IF($B964="","",IFERROR(INDEX('작업 Jobs'!$D$3:$D$1002,MATCH($B964,'작업 Jobs'!$A$3:$A$1002,0)),"작업 ID 없음"))</f>
      </c>
      <c r="H964" s="41">
        <f>IF($C964="","",IF($D964="CARD",ROUND($C964*'설정 Settings'!$C$34+'설정 Settings'!$C$35,2),0))</f>
      </c>
      <c r="I964" s="42">
        <f>IF($C964="","",IF($C964&gt;'설정 Settings'!$C$36,"$2,000 초과: 은행 한도 확인, 나눠 받기 (F36)",""))</f>
      </c>
      <c r="J964" s="41">
        <f>IF($B964="","",IFERROR(INDEX('작업 Jobs'!$P$3:$P$1002,MATCH($B964,'작업 Jobs'!$A$3:$A$1002,0)),""))</f>
      </c>
    </row>
    <row r="965" spans="7:10" x14ac:dyDescent="0.25">
      <c r="G965" s="42">
        <f>IF($B965="","",IFERROR(INDEX('작업 Jobs'!$D$3:$D$1002,MATCH($B965,'작업 Jobs'!$A$3:$A$1002,0)),"작업 ID 없음"))</f>
      </c>
      <c r="H965" s="41">
        <f>IF($C965="","",IF($D965="CARD",ROUND($C965*'설정 Settings'!$C$34+'설정 Settings'!$C$35,2),0))</f>
      </c>
      <c r="I965" s="42">
        <f>IF($C965="","",IF($C965&gt;'설정 Settings'!$C$36,"$2,000 초과: 은행 한도 확인, 나눠 받기 (F36)",""))</f>
      </c>
      <c r="J965" s="41">
        <f>IF($B965="","",IFERROR(INDEX('작업 Jobs'!$P$3:$P$1002,MATCH($B965,'작업 Jobs'!$A$3:$A$1002,0)),""))</f>
      </c>
    </row>
    <row r="966" spans="7:10" x14ac:dyDescent="0.25">
      <c r="G966" s="42">
        <f>IF($B966="","",IFERROR(INDEX('작업 Jobs'!$D$3:$D$1002,MATCH($B966,'작업 Jobs'!$A$3:$A$1002,0)),"작업 ID 없음"))</f>
      </c>
      <c r="H966" s="41">
        <f>IF($C966="","",IF($D966="CARD",ROUND($C966*'설정 Settings'!$C$34+'설정 Settings'!$C$35,2),0))</f>
      </c>
      <c r="I966" s="42">
        <f>IF($C966="","",IF($C966&gt;'설정 Settings'!$C$36,"$2,000 초과: 은행 한도 확인, 나눠 받기 (F36)",""))</f>
      </c>
      <c r="J966" s="41">
        <f>IF($B966="","",IFERROR(INDEX('작업 Jobs'!$P$3:$P$1002,MATCH($B966,'작업 Jobs'!$A$3:$A$1002,0)),""))</f>
      </c>
    </row>
    <row r="967" spans="7:10" x14ac:dyDescent="0.25">
      <c r="G967" s="42">
        <f>IF($B967="","",IFERROR(INDEX('작업 Jobs'!$D$3:$D$1002,MATCH($B967,'작업 Jobs'!$A$3:$A$1002,0)),"작업 ID 없음"))</f>
      </c>
      <c r="H967" s="41">
        <f>IF($C967="","",IF($D967="CARD",ROUND($C967*'설정 Settings'!$C$34+'설정 Settings'!$C$35,2),0))</f>
      </c>
      <c r="I967" s="42">
        <f>IF($C967="","",IF($C967&gt;'설정 Settings'!$C$36,"$2,000 초과: 은행 한도 확인, 나눠 받기 (F36)",""))</f>
      </c>
      <c r="J967" s="41">
        <f>IF($B967="","",IFERROR(INDEX('작업 Jobs'!$P$3:$P$1002,MATCH($B967,'작업 Jobs'!$A$3:$A$1002,0)),""))</f>
      </c>
    </row>
    <row r="968" spans="7:10" x14ac:dyDescent="0.25">
      <c r="G968" s="42">
        <f>IF($B968="","",IFERROR(INDEX('작업 Jobs'!$D$3:$D$1002,MATCH($B968,'작업 Jobs'!$A$3:$A$1002,0)),"작업 ID 없음"))</f>
      </c>
      <c r="H968" s="41">
        <f>IF($C968="","",IF($D968="CARD",ROUND($C968*'설정 Settings'!$C$34+'설정 Settings'!$C$35,2),0))</f>
      </c>
      <c r="I968" s="42">
        <f>IF($C968="","",IF($C968&gt;'설정 Settings'!$C$36,"$2,000 초과: 은행 한도 확인, 나눠 받기 (F36)",""))</f>
      </c>
      <c r="J968" s="41">
        <f>IF($B968="","",IFERROR(INDEX('작업 Jobs'!$P$3:$P$1002,MATCH($B968,'작업 Jobs'!$A$3:$A$1002,0)),""))</f>
      </c>
    </row>
    <row r="969" spans="7:10" x14ac:dyDescent="0.25">
      <c r="G969" s="42">
        <f>IF($B969="","",IFERROR(INDEX('작업 Jobs'!$D$3:$D$1002,MATCH($B969,'작업 Jobs'!$A$3:$A$1002,0)),"작업 ID 없음"))</f>
      </c>
      <c r="H969" s="41">
        <f>IF($C969="","",IF($D969="CARD",ROUND($C969*'설정 Settings'!$C$34+'설정 Settings'!$C$35,2),0))</f>
      </c>
      <c r="I969" s="42">
        <f>IF($C969="","",IF($C969&gt;'설정 Settings'!$C$36,"$2,000 초과: 은행 한도 확인, 나눠 받기 (F36)",""))</f>
      </c>
      <c r="J969" s="41">
        <f>IF($B969="","",IFERROR(INDEX('작업 Jobs'!$P$3:$P$1002,MATCH($B969,'작업 Jobs'!$A$3:$A$1002,0)),""))</f>
      </c>
    </row>
    <row r="970" spans="7:10" x14ac:dyDescent="0.25">
      <c r="G970" s="42">
        <f>IF($B970="","",IFERROR(INDEX('작업 Jobs'!$D$3:$D$1002,MATCH($B970,'작업 Jobs'!$A$3:$A$1002,0)),"작업 ID 없음"))</f>
      </c>
      <c r="H970" s="41">
        <f>IF($C970="","",IF($D970="CARD",ROUND($C970*'설정 Settings'!$C$34+'설정 Settings'!$C$35,2),0))</f>
      </c>
      <c r="I970" s="42">
        <f>IF($C970="","",IF($C970&gt;'설정 Settings'!$C$36,"$2,000 초과: 은행 한도 확인, 나눠 받기 (F36)",""))</f>
      </c>
      <c r="J970" s="41">
        <f>IF($B970="","",IFERROR(INDEX('작업 Jobs'!$P$3:$P$1002,MATCH($B970,'작업 Jobs'!$A$3:$A$1002,0)),""))</f>
      </c>
    </row>
    <row r="971" spans="7:10" x14ac:dyDescent="0.25">
      <c r="G971" s="42">
        <f>IF($B971="","",IFERROR(INDEX('작업 Jobs'!$D$3:$D$1002,MATCH($B971,'작업 Jobs'!$A$3:$A$1002,0)),"작업 ID 없음"))</f>
      </c>
      <c r="H971" s="41">
        <f>IF($C971="","",IF($D971="CARD",ROUND($C971*'설정 Settings'!$C$34+'설정 Settings'!$C$35,2),0))</f>
      </c>
      <c r="I971" s="42">
        <f>IF($C971="","",IF($C971&gt;'설정 Settings'!$C$36,"$2,000 초과: 은행 한도 확인, 나눠 받기 (F36)",""))</f>
      </c>
      <c r="J971" s="41">
        <f>IF($B971="","",IFERROR(INDEX('작업 Jobs'!$P$3:$P$1002,MATCH($B971,'작업 Jobs'!$A$3:$A$1002,0)),""))</f>
      </c>
    </row>
    <row r="972" spans="7:10" x14ac:dyDescent="0.25">
      <c r="G972" s="42">
        <f>IF($B972="","",IFERROR(INDEX('작업 Jobs'!$D$3:$D$1002,MATCH($B972,'작업 Jobs'!$A$3:$A$1002,0)),"작업 ID 없음"))</f>
      </c>
      <c r="H972" s="41">
        <f>IF($C972="","",IF($D972="CARD",ROUND($C972*'설정 Settings'!$C$34+'설정 Settings'!$C$35,2),0))</f>
      </c>
      <c r="I972" s="42">
        <f>IF($C972="","",IF($C972&gt;'설정 Settings'!$C$36,"$2,000 초과: 은행 한도 확인, 나눠 받기 (F36)",""))</f>
      </c>
      <c r="J972" s="41">
        <f>IF($B972="","",IFERROR(INDEX('작업 Jobs'!$P$3:$P$1002,MATCH($B972,'작업 Jobs'!$A$3:$A$1002,0)),""))</f>
      </c>
    </row>
    <row r="973" spans="7:10" x14ac:dyDescent="0.25">
      <c r="G973" s="42">
        <f>IF($B973="","",IFERROR(INDEX('작업 Jobs'!$D$3:$D$1002,MATCH($B973,'작업 Jobs'!$A$3:$A$1002,0)),"작업 ID 없음"))</f>
      </c>
      <c r="H973" s="41">
        <f>IF($C973="","",IF($D973="CARD",ROUND($C973*'설정 Settings'!$C$34+'설정 Settings'!$C$35,2),0))</f>
      </c>
      <c r="I973" s="42">
        <f>IF($C973="","",IF($C973&gt;'설정 Settings'!$C$36,"$2,000 초과: 은행 한도 확인, 나눠 받기 (F36)",""))</f>
      </c>
      <c r="J973" s="41">
        <f>IF($B973="","",IFERROR(INDEX('작업 Jobs'!$P$3:$P$1002,MATCH($B973,'작업 Jobs'!$A$3:$A$1002,0)),""))</f>
      </c>
    </row>
    <row r="974" spans="7:10" x14ac:dyDescent="0.25">
      <c r="G974" s="42">
        <f>IF($B974="","",IFERROR(INDEX('작업 Jobs'!$D$3:$D$1002,MATCH($B974,'작업 Jobs'!$A$3:$A$1002,0)),"작업 ID 없음"))</f>
      </c>
      <c r="H974" s="41">
        <f>IF($C974="","",IF($D974="CARD",ROUND($C974*'설정 Settings'!$C$34+'설정 Settings'!$C$35,2),0))</f>
      </c>
      <c r="I974" s="42">
        <f>IF($C974="","",IF($C974&gt;'설정 Settings'!$C$36,"$2,000 초과: 은행 한도 확인, 나눠 받기 (F36)",""))</f>
      </c>
      <c r="J974" s="41">
        <f>IF($B974="","",IFERROR(INDEX('작업 Jobs'!$P$3:$P$1002,MATCH($B974,'작업 Jobs'!$A$3:$A$1002,0)),""))</f>
      </c>
    </row>
    <row r="975" spans="7:10" x14ac:dyDescent="0.25">
      <c r="G975" s="42">
        <f>IF($B975="","",IFERROR(INDEX('작업 Jobs'!$D$3:$D$1002,MATCH($B975,'작업 Jobs'!$A$3:$A$1002,0)),"작업 ID 없음"))</f>
      </c>
      <c r="H975" s="41">
        <f>IF($C975="","",IF($D975="CARD",ROUND($C975*'설정 Settings'!$C$34+'설정 Settings'!$C$35,2),0))</f>
      </c>
      <c r="I975" s="42">
        <f>IF($C975="","",IF($C975&gt;'설정 Settings'!$C$36,"$2,000 초과: 은행 한도 확인, 나눠 받기 (F36)",""))</f>
      </c>
      <c r="J975" s="41">
        <f>IF($B975="","",IFERROR(INDEX('작업 Jobs'!$P$3:$P$1002,MATCH($B975,'작업 Jobs'!$A$3:$A$1002,0)),""))</f>
      </c>
    </row>
    <row r="976" spans="7:10" x14ac:dyDescent="0.25">
      <c r="G976" s="42">
        <f>IF($B976="","",IFERROR(INDEX('작업 Jobs'!$D$3:$D$1002,MATCH($B976,'작업 Jobs'!$A$3:$A$1002,0)),"작업 ID 없음"))</f>
      </c>
      <c r="H976" s="41">
        <f>IF($C976="","",IF($D976="CARD",ROUND($C976*'설정 Settings'!$C$34+'설정 Settings'!$C$35,2),0))</f>
      </c>
      <c r="I976" s="42">
        <f>IF($C976="","",IF($C976&gt;'설정 Settings'!$C$36,"$2,000 초과: 은행 한도 확인, 나눠 받기 (F36)",""))</f>
      </c>
      <c r="J976" s="41">
        <f>IF($B976="","",IFERROR(INDEX('작업 Jobs'!$P$3:$P$1002,MATCH($B976,'작업 Jobs'!$A$3:$A$1002,0)),""))</f>
      </c>
    </row>
    <row r="977" spans="7:10" x14ac:dyDescent="0.25">
      <c r="G977" s="42">
        <f>IF($B977="","",IFERROR(INDEX('작업 Jobs'!$D$3:$D$1002,MATCH($B977,'작업 Jobs'!$A$3:$A$1002,0)),"작업 ID 없음"))</f>
      </c>
      <c r="H977" s="41">
        <f>IF($C977="","",IF($D977="CARD",ROUND($C977*'설정 Settings'!$C$34+'설정 Settings'!$C$35,2),0))</f>
      </c>
      <c r="I977" s="42">
        <f>IF($C977="","",IF($C977&gt;'설정 Settings'!$C$36,"$2,000 초과: 은행 한도 확인, 나눠 받기 (F36)",""))</f>
      </c>
      <c r="J977" s="41">
        <f>IF($B977="","",IFERROR(INDEX('작업 Jobs'!$P$3:$P$1002,MATCH($B977,'작업 Jobs'!$A$3:$A$1002,0)),""))</f>
      </c>
    </row>
    <row r="978" spans="7:10" x14ac:dyDescent="0.25">
      <c r="G978" s="42">
        <f>IF($B978="","",IFERROR(INDEX('작업 Jobs'!$D$3:$D$1002,MATCH($B978,'작업 Jobs'!$A$3:$A$1002,0)),"작업 ID 없음"))</f>
      </c>
      <c r="H978" s="41">
        <f>IF($C978="","",IF($D978="CARD",ROUND($C978*'설정 Settings'!$C$34+'설정 Settings'!$C$35,2),0))</f>
      </c>
      <c r="I978" s="42">
        <f>IF($C978="","",IF($C978&gt;'설정 Settings'!$C$36,"$2,000 초과: 은행 한도 확인, 나눠 받기 (F36)",""))</f>
      </c>
      <c r="J978" s="41">
        <f>IF($B978="","",IFERROR(INDEX('작업 Jobs'!$P$3:$P$1002,MATCH($B978,'작업 Jobs'!$A$3:$A$1002,0)),""))</f>
      </c>
    </row>
    <row r="979" spans="7:10" x14ac:dyDescent="0.25">
      <c r="G979" s="42">
        <f>IF($B979="","",IFERROR(INDEX('작업 Jobs'!$D$3:$D$1002,MATCH($B979,'작업 Jobs'!$A$3:$A$1002,0)),"작업 ID 없음"))</f>
      </c>
      <c r="H979" s="41">
        <f>IF($C979="","",IF($D979="CARD",ROUND($C979*'설정 Settings'!$C$34+'설정 Settings'!$C$35,2),0))</f>
      </c>
      <c r="I979" s="42">
        <f>IF($C979="","",IF($C979&gt;'설정 Settings'!$C$36,"$2,000 초과: 은행 한도 확인, 나눠 받기 (F36)",""))</f>
      </c>
      <c r="J979" s="41">
        <f>IF($B979="","",IFERROR(INDEX('작업 Jobs'!$P$3:$P$1002,MATCH($B979,'작업 Jobs'!$A$3:$A$1002,0)),""))</f>
      </c>
    </row>
    <row r="980" spans="7:10" x14ac:dyDescent="0.25">
      <c r="G980" s="42">
        <f>IF($B980="","",IFERROR(INDEX('작업 Jobs'!$D$3:$D$1002,MATCH($B980,'작업 Jobs'!$A$3:$A$1002,0)),"작업 ID 없음"))</f>
      </c>
      <c r="H980" s="41">
        <f>IF($C980="","",IF($D980="CARD",ROUND($C980*'설정 Settings'!$C$34+'설정 Settings'!$C$35,2),0))</f>
      </c>
      <c r="I980" s="42">
        <f>IF($C980="","",IF($C980&gt;'설정 Settings'!$C$36,"$2,000 초과: 은행 한도 확인, 나눠 받기 (F36)",""))</f>
      </c>
      <c r="J980" s="41">
        <f>IF($B980="","",IFERROR(INDEX('작업 Jobs'!$P$3:$P$1002,MATCH($B980,'작업 Jobs'!$A$3:$A$1002,0)),""))</f>
      </c>
    </row>
    <row r="981" spans="7:10" x14ac:dyDescent="0.25">
      <c r="G981" s="42">
        <f>IF($B981="","",IFERROR(INDEX('작업 Jobs'!$D$3:$D$1002,MATCH($B981,'작업 Jobs'!$A$3:$A$1002,0)),"작업 ID 없음"))</f>
      </c>
      <c r="H981" s="41">
        <f>IF($C981="","",IF($D981="CARD",ROUND($C981*'설정 Settings'!$C$34+'설정 Settings'!$C$35,2),0))</f>
      </c>
      <c r="I981" s="42">
        <f>IF($C981="","",IF($C981&gt;'설정 Settings'!$C$36,"$2,000 초과: 은행 한도 확인, 나눠 받기 (F36)",""))</f>
      </c>
      <c r="J981" s="41">
        <f>IF($B981="","",IFERROR(INDEX('작업 Jobs'!$P$3:$P$1002,MATCH($B981,'작업 Jobs'!$A$3:$A$1002,0)),""))</f>
      </c>
    </row>
    <row r="982" spans="7:10" x14ac:dyDescent="0.25">
      <c r="G982" s="42">
        <f>IF($B982="","",IFERROR(INDEX('작업 Jobs'!$D$3:$D$1002,MATCH($B982,'작업 Jobs'!$A$3:$A$1002,0)),"작업 ID 없음"))</f>
      </c>
      <c r="H982" s="41">
        <f>IF($C982="","",IF($D982="CARD",ROUND($C982*'설정 Settings'!$C$34+'설정 Settings'!$C$35,2),0))</f>
      </c>
      <c r="I982" s="42">
        <f>IF($C982="","",IF($C982&gt;'설정 Settings'!$C$36,"$2,000 초과: 은행 한도 확인, 나눠 받기 (F36)",""))</f>
      </c>
      <c r="J982" s="41">
        <f>IF($B982="","",IFERROR(INDEX('작업 Jobs'!$P$3:$P$1002,MATCH($B982,'작업 Jobs'!$A$3:$A$1002,0)),""))</f>
      </c>
    </row>
    <row r="983" spans="7:10" x14ac:dyDescent="0.25">
      <c r="G983" s="42">
        <f>IF($B983="","",IFERROR(INDEX('작업 Jobs'!$D$3:$D$1002,MATCH($B983,'작업 Jobs'!$A$3:$A$1002,0)),"작업 ID 없음"))</f>
      </c>
      <c r="H983" s="41">
        <f>IF($C983="","",IF($D983="CARD",ROUND($C983*'설정 Settings'!$C$34+'설정 Settings'!$C$35,2),0))</f>
      </c>
      <c r="I983" s="42">
        <f>IF($C983="","",IF($C983&gt;'설정 Settings'!$C$36,"$2,000 초과: 은행 한도 확인, 나눠 받기 (F36)",""))</f>
      </c>
      <c r="J983" s="41">
        <f>IF($B983="","",IFERROR(INDEX('작업 Jobs'!$P$3:$P$1002,MATCH($B983,'작업 Jobs'!$A$3:$A$1002,0)),""))</f>
      </c>
    </row>
    <row r="984" spans="7:10" x14ac:dyDescent="0.25">
      <c r="G984" s="42">
        <f>IF($B984="","",IFERROR(INDEX('작업 Jobs'!$D$3:$D$1002,MATCH($B984,'작업 Jobs'!$A$3:$A$1002,0)),"작업 ID 없음"))</f>
      </c>
      <c r="H984" s="41">
        <f>IF($C984="","",IF($D984="CARD",ROUND($C984*'설정 Settings'!$C$34+'설정 Settings'!$C$35,2),0))</f>
      </c>
      <c r="I984" s="42">
        <f>IF($C984="","",IF($C984&gt;'설정 Settings'!$C$36,"$2,000 초과: 은행 한도 확인, 나눠 받기 (F36)",""))</f>
      </c>
      <c r="J984" s="41">
        <f>IF($B984="","",IFERROR(INDEX('작업 Jobs'!$P$3:$P$1002,MATCH($B984,'작업 Jobs'!$A$3:$A$1002,0)),""))</f>
      </c>
    </row>
    <row r="985" spans="7:10" x14ac:dyDescent="0.25">
      <c r="G985" s="42">
        <f>IF($B985="","",IFERROR(INDEX('작업 Jobs'!$D$3:$D$1002,MATCH($B985,'작업 Jobs'!$A$3:$A$1002,0)),"작업 ID 없음"))</f>
      </c>
      <c r="H985" s="41">
        <f>IF($C985="","",IF($D985="CARD",ROUND($C985*'설정 Settings'!$C$34+'설정 Settings'!$C$35,2),0))</f>
      </c>
      <c r="I985" s="42">
        <f>IF($C985="","",IF($C985&gt;'설정 Settings'!$C$36,"$2,000 초과: 은행 한도 확인, 나눠 받기 (F36)",""))</f>
      </c>
      <c r="J985" s="41">
        <f>IF($B985="","",IFERROR(INDEX('작업 Jobs'!$P$3:$P$1002,MATCH($B985,'작업 Jobs'!$A$3:$A$1002,0)),""))</f>
      </c>
    </row>
    <row r="986" spans="7:10" x14ac:dyDescent="0.25">
      <c r="G986" s="42">
        <f>IF($B986="","",IFERROR(INDEX('작업 Jobs'!$D$3:$D$1002,MATCH($B986,'작업 Jobs'!$A$3:$A$1002,0)),"작업 ID 없음"))</f>
      </c>
      <c r="H986" s="41">
        <f>IF($C986="","",IF($D986="CARD",ROUND($C986*'설정 Settings'!$C$34+'설정 Settings'!$C$35,2),0))</f>
      </c>
      <c r="I986" s="42">
        <f>IF($C986="","",IF($C986&gt;'설정 Settings'!$C$36,"$2,000 초과: 은행 한도 확인, 나눠 받기 (F36)",""))</f>
      </c>
      <c r="J986" s="41">
        <f>IF($B986="","",IFERROR(INDEX('작업 Jobs'!$P$3:$P$1002,MATCH($B986,'작업 Jobs'!$A$3:$A$1002,0)),""))</f>
      </c>
    </row>
    <row r="987" spans="7:10" x14ac:dyDescent="0.25">
      <c r="G987" s="42">
        <f>IF($B987="","",IFERROR(INDEX('작업 Jobs'!$D$3:$D$1002,MATCH($B987,'작업 Jobs'!$A$3:$A$1002,0)),"작업 ID 없음"))</f>
      </c>
      <c r="H987" s="41">
        <f>IF($C987="","",IF($D987="CARD",ROUND($C987*'설정 Settings'!$C$34+'설정 Settings'!$C$35,2),0))</f>
      </c>
      <c r="I987" s="42">
        <f>IF($C987="","",IF($C987&gt;'설정 Settings'!$C$36,"$2,000 초과: 은행 한도 확인, 나눠 받기 (F36)",""))</f>
      </c>
      <c r="J987" s="41">
        <f>IF($B987="","",IFERROR(INDEX('작업 Jobs'!$P$3:$P$1002,MATCH($B987,'작업 Jobs'!$A$3:$A$1002,0)),""))</f>
      </c>
    </row>
    <row r="988" spans="7:10" x14ac:dyDescent="0.25">
      <c r="G988" s="42">
        <f>IF($B988="","",IFERROR(INDEX('작업 Jobs'!$D$3:$D$1002,MATCH($B988,'작업 Jobs'!$A$3:$A$1002,0)),"작업 ID 없음"))</f>
      </c>
      <c r="H988" s="41">
        <f>IF($C988="","",IF($D988="CARD",ROUND($C988*'설정 Settings'!$C$34+'설정 Settings'!$C$35,2),0))</f>
      </c>
      <c r="I988" s="42">
        <f>IF($C988="","",IF($C988&gt;'설정 Settings'!$C$36,"$2,000 초과: 은행 한도 확인, 나눠 받기 (F36)",""))</f>
      </c>
      <c r="J988" s="41">
        <f>IF($B988="","",IFERROR(INDEX('작업 Jobs'!$P$3:$P$1002,MATCH($B988,'작업 Jobs'!$A$3:$A$1002,0)),""))</f>
      </c>
    </row>
    <row r="989" spans="7:10" x14ac:dyDescent="0.25">
      <c r="G989" s="42">
        <f>IF($B989="","",IFERROR(INDEX('작업 Jobs'!$D$3:$D$1002,MATCH($B989,'작업 Jobs'!$A$3:$A$1002,0)),"작업 ID 없음"))</f>
      </c>
      <c r="H989" s="41">
        <f>IF($C989="","",IF($D989="CARD",ROUND($C989*'설정 Settings'!$C$34+'설정 Settings'!$C$35,2),0))</f>
      </c>
      <c r="I989" s="42">
        <f>IF($C989="","",IF($C989&gt;'설정 Settings'!$C$36,"$2,000 초과: 은행 한도 확인, 나눠 받기 (F36)",""))</f>
      </c>
      <c r="J989" s="41">
        <f>IF($B989="","",IFERROR(INDEX('작업 Jobs'!$P$3:$P$1002,MATCH($B989,'작업 Jobs'!$A$3:$A$1002,0)),""))</f>
      </c>
    </row>
    <row r="990" spans="7:10" x14ac:dyDescent="0.25">
      <c r="G990" s="42">
        <f>IF($B990="","",IFERROR(INDEX('작업 Jobs'!$D$3:$D$1002,MATCH($B990,'작업 Jobs'!$A$3:$A$1002,0)),"작업 ID 없음"))</f>
      </c>
      <c r="H990" s="41">
        <f>IF($C990="","",IF($D990="CARD",ROUND($C990*'설정 Settings'!$C$34+'설정 Settings'!$C$35,2),0))</f>
      </c>
      <c r="I990" s="42">
        <f>IF($C990="","",IF($C990&gt;'설정 Settings'!$C$36,"$2,000 초과: 은행 한도 확인, 나눠 받기 (F36)",""))</f>
      </c>
      <c r="J990" s="41">
        <f>IF($B990="","",IFERROR(INDEX('작업 Jobs'!$P$3:$P$1002,MATCH($B990,'작업 Jobs'!$A$3:$A$1002,0)),""))</f>
      </c>
    </row>
    <row r="991" spans="7:10" x14ac:dyDescent="0.25">
      <c r="G991" s="42">
        <f>IF($B991="","",IFERROR(INDEX('작업 Jobs'!$D$3:$D$1002,MATCH($B991,'작업 Jobs'!$A$3:$A$1002,0)),"작업 ID 없음"))</f>
      </c>
      <c r="H991" s="41">
        <f>IF($C991="","",IF($D991="CARD",ROUND($C991*'설정 Settings'!$C$34+'설정 Settings'!$C$35,2),0))</f>
      </c>
      <c r="I991" s="42">
        <f>IF($C991="","",IF($C991&gt;'설정 Settings'!$C$36,"$2,000 초과: 은행 한도 확인, 나눠 받기 (F36)",""))</f>
      </c>
      <c r="J991" s="41">
        <f>IF($B991="","",IFERROR(INDEX('작업 Jobs'!$P$3:$P$1002,MATCH($B991,'작업 Jobs'!$A$3:$A$1002,0)),""))</f>
      </c>
    </row>
    <row r="992" spans="7:10" x14ac:dyDescent="0.25">
      <c r="G992" s="42">
        <f>IF($B992="","",IFERROR(INDEX('작업 Jobs'!$D$3:$D$1002,MATCH($B992,'작업 Jobs'!$A$3:$A$1002,0)),"작업 ID 없음"))</f>
      </c>
      <c r="H992" s="41">
        <f>IF($C992="","",IF($D992="CARD",ROUND($C992*'설정 Settings'!$C$34+'설정 Settings'!$C$35,2),0))</f>
      </c>
      <c r="I992" s="42">
        <f>IF($C992="","",IF($C992&gt;'설정 Settings'!$C$36,"$2,000 초과: 은행 한도 확인, 나눠 받기 (F36)",""))</f>
      </c>
      <c r="J992" s="41">
        <f>IF($B992="","",IFERROR(INDEX('작업 Jobs'!$P$3:$P$1002,MATCH($B992,'작업 Jobs'!$A$3:$A$1002,0)),""))</f>
      </c>
    </row>
    <row r="993" spans="7:10" x14ac:dyDescent="0.25">
      <c r="G993" s="42">
        <f>IF($B993="","",IFERROR(INDEX('작업 Jobs'!$D$3:$D$1002,MATCH($B993,'작업 Jobs'!$A$3:$A$1002,0)),"작업 ID 없음"))</f>
      </c>
      <c r="H993" s="41">
        <f>IF($C993="","",IF($D993="CARD",ROUND($C993*'설정 Settings'!$C$34+'설정 Settings'!$C$35,2),0))</f>
      </c>
      <c r="I993" s="42">
        <f>IF($C993="","",IF($C993&gt;'설정 Settings'!$C$36,"$2,000 초과: 은행 한도 확인, 나눠 받기 (F36)",""))</f>
      </c>
      <c r="J993" s="41">
        <f>IF($B993="","",IFERROR(INDEX('작업 Jobs'!$P$3:$P$1002,MATCH($B993,'작업 Jobs'!$A$3:$A$1002,0)),""))</f>
      </c>
    </row>
    <row r="994" spans="7:10" x14ac:dyDescent="0.25">
      <c r="G994" s="42">
        <f>IF($B994="","",IFERROR(INDEX('작업 Jobs'!$D$3:$D$1002,MATCH($B994,'작업 Jobs'!$A$3:$A$1002,0)),"작업 ID 없음"))</f>
      </c>
      <c r="H994" s="41">
        <f>IF($C994="","",IF($D994="CARD",ROUND($C994*'설정 Settings'!$C$34+'설정 Settings'!$C$35,2),0))</f>
      </c>
      <c r="I994" s="42">
        <f>IF($C994="","",IF($C994&gt;'설정 Settings'!$C$36,"$2,000 초과: 은행 한도 확인, 나눠 받기 (F36)",""))</f>
      </c>
      <c r="J994" s="41">
        <f>IF($B994="","",IFERROR(INDEX('작업 Jobs'!$P$3:$P$1002,MATCH($B994,'작업 Jobs'!$A$3:$A$1002,0)),""))</f>
      </c>
    </row>
    <row r="995" spans="7:10" x14ac:dyDescent="0.25">
      <c r="G995" s="42">
        <f>IF($B995="","",IFERROR(INDEX('작업 Jobs'!$D$3:$D$1002,MATCH($B995,'작업 Jobs'!$A$3:$A$1002,0)),"작업 ID 없음"))</f>
      </c>
      <c r="H995" s="41">
        <f>IF($C995="","",IF($D995="CARD",ROUND($C995*'설정 Settings'!$C$34+'설정 Settings'!$C$35,2),0))</f>
      </c>
      <c r="I995" s="42">
        <f>IF($C995="","",IF($C995&gt;'설정 Settings'!$C$36,"$2,000 초과: 은행 한도 확인, 나눠 받기 (F36)",""))</f>
      </c>
      <c r="J995" s="41">
        <f>IF($B995="","",IFERROR(INDEX('작업 Jobs'!$P$3:$P$1002,MATCH($B995,'작업 Jobs'!$A$3:$A$1002,0)),""))</f>
      </c>
    </row>
    <row r="996" spans="7:10" x14ac:dyDescent="0.25">
      <c r="G996" s="42">
        <f>IF($B996="","",IFERROR(INDEX('작업 Jobs'!$D$3:$D$1002,MATCH($B996,'작업 Jobs'!$A$3:$A$1002,0)),"작업 ID 없음"))</f>
      </c>
      <c r="H996" s="41">
        <f>IF($C996="","",IF($D996="CARD",ROUND($C996*'설정 Settings'!$C$34+'설정 Settings'!$C$35,2),0))</f>
      </c>
      <c r="I996" s="42">
        <f>IF($C996="","",IF($C996&gt;'설정 Settings'!$C$36,"$2,000 초과: 은행 한도 확인, 나눠 받기 (F36)",""))</f>
      </c>
      <c r="J996" s="41">
        <f>IF($B996="","",IFERROR(INDEX('작업 Jobs'!$P$3:$P$1002,MATCH($B996,'작업 Jobs'!$A$3:$A$1002,0)),""))</f>
      </c>
    </row>
    <row r="997" spans="7:10" x14ac:dyDescent="0.25">
      <c r="G997" s="42">
        <f>IF($B997="","",IFERROR(INDEX('작업 Jobs'!$D$3:$D$1002,MATCH($B997,'작업 Jobs'!$A$3:$A$1002,0)),"작업 ID 없음"))</f>
      </c>
      <c r="H997" s="41">
        <f>IF($C997="","",IF($D997="CARD",ROUND($C997*'설정 Settings'!$C$34+'설정 Settings'!$C$35,2),0))</f>
      </c>
      <c r="I997" s="42">
        <f>IF($C997="","",IF($C997&gt;'설정 Settings'!$C$36,"$2,000 초과: 은행 한도 확인, 나눠 받기 (F36)",""))</f>
      </c>
      <c r="J997" s="41">
        <f>IF($B997="","",IFERROR(INDEX('작업 Jobs'!$P$3:$P$1002,MATCH($B997,'작업 Jobs'!$A$3:$A$1002,0)),""))</f>
      </c>
    </row>
    <row r="998" spans="7:10" x14ac:dyDescent="0.25">
      <c r="G998" s="42">
        <f>IF($B998="","",IFERROR(INDEX('작업 Jobs'!$D$3:$D$1002,MATCH($B998,'작업 Jobs'!$A$3:$A$1002,0)),"작업 ID 없음"))</f>
      </c>
      <c r="H998" s="41">
        <f>IF($C998="","",IF($D998="CARD",ROUND($C998*'설정 Settings'!$C$34+'설정 Settings'!$C$35,2),0))</f>
      </c>
      <c r="I998" s="42">
        <f>IF($C998="","",IF($C998&gt;'설정 Settings'!$C$36,"$2,000 초과: 은행 한도 확인, 나눠 받기 (F36)",""))</f>
      </c>
      <c r="J998" s="41">
        <f>IF($B998="","",IFERROR(INDEX('작업 Jobs'!$P$3:$P$1002,MATCH($B998,'작업 Jobs'!$A$3:$A$1002,0)),""))</f>
      </c>
    </row>
    <row r="999" spans="7:10" x14ac:dyDescent="0.25">
      <c r="G999" s="42">
        <f>IF($B999="","",IFERROR(INDEX('작업 Jobs'!$D$3:$D$1002,MATCH($B999,'작업 Jobs'!$A$3:$A$1002,0)),"작업 ID 없음"))</f>
      </c>
      <c r="H999" s="41">
        <f>IF($C999="","",IF($D999="CARD",ROUND($C999*'설정 Settings'!$C$34+'설정 Settings'!$C$35,2),0))</f>
      </c>
      <c r="I999" s="42">
        <f>IF($C999="","",IF($C999&gt;'설정 Settings'!$C$36,"$2,000 초과: 은행 한도 확인, 나눠 받기 (F36)",""))</f>
      </c>
      <c r="J999" s="41">
        <f>IF($B999="","",IFERROR(INDEX('작업 Jobs'!$P$3:$P$1002,MATCH($B999,'작업 Jobs'!$A$3:$A$1002,0)),""))</f>
      </c>
    </row>
    <row r="1000" spans="7:10" x14ac:dyDescent="0.25">
      <c r="G1000" s="42">
        <f>IF($B1000="","",IFERROR(INDEX('작업 Jobs'!$D$3:$D$1002,MATCH($B1000,'작업 Jobs'!$A$3:$A$1002,0)),"작업 ID 없음"))</f>
      </c>
      <c r="H1000" s="41">
        <f>IF($C1000="","",IF($D1000="CARD",ROUND($C1000*'설정 Settings'!$C$34+'설정 Settings'!$C$35,2),0))</f>
      </c>
      <c r="I1000" s="42">
        <f>IF($C1000="","",IF($C1000&gt;'설정 Settings'!$C$36,"$2,000 초과: 은행 한도 확인, 나눠 받기 (F36)",""))</f>
      </c>
      <c r="J1000" s="41">
        <f>IF($B1000="","",IFERROR(INDEX('작업 Jobs'!$P$3:$P$1002,MATCH($B1000,'작업 Jobs'!$A$3:$A$1002,0)),""))</f>
      </c>
    </row>
    <row r="1001" spans="7:10" x14ac:dyDescent="0.25">
      <c r="G1001" s="42">
        <f>IF($B1001="","",IFERROR(INDEX('작업 Jobs'!$D$3:$D$1002,MATCH($B1001,'작업 Jobs'!$A$3:$A$1002,0)),"작업 ID 없음"))</f>
      </c>
      <c r="H1001" s="41">
        <f>IF($C1001="","",IF($D1001="CARD",ROUND($C1001*'설정 Settings'!$C$34+'설정 Settings'!$C$35,2),0))</f>
      </c>
      <c r="I1001" s="42">
        <f>IF($C1001="","",IF($C1001&gt;'설정 Settings'!$C$36,"$2,000 초과: 은행 한도 확인, 나눠 받기 (F36)",""))</f>
      </c>
      <c r="J1001" s="41">
        <f>IF($B1001="","",IFERROR(INDEX('작업 Jobs'!$P$3:$P$1002,MATCH($B1001,'작업 Jobs'!$A$3:$A$1002,0)),""))</f>
      </c>
    </row>
    <row r="1002" spans="7:10" x14ac:dyDescent="0.25">
      <c r="G1002" s="42">
        <f>IF($B1002="","",IFERROR(INDEX('작업 Jobs'!$D$3:$D$1002,MATCH($B1002,'작업 Jobs'!$A$3:$A$1002,0)),"작업 ID 없음"))</f>
      </c>
      <c r="H1002" s="41">
        <f>IF($C1002="","",IF($D1002="CARD",ROUND($C1002*'설정 Settings'!$C$34+'설정 Settings'!$C$35,2),0))</f>
      </c>
      <c r="I1002" s="42">
        <f>IF($C1002="","",IF($C1002&gt;'설정 Settings'!$C$36,"$2,000 초과: 은행 한도 확인, 나눠 받기 (F36)",""))</f>
      </c>
      <c r="J1002" s="41">
        <f>IF($B1002="","",IFERROR(INDEX('작업 Jobs'!$P$3:$P$1002,MATCH($B1002,'작업 Jobs'!$A$3:$A$1002,0)),""))</f>
      </c>
    </row>
  </sheetData>
  <dataValidations count="1">
    <dataValidation type="list" allowBlank="1" showErrorMessage="1" errorStyle="stop" errorTitle="목록에서 고르세요 / Pick from the list" error="허용 / allowed: ETRANSFER,CASH,CARD,CHEQUE,PLATFORM" sqref="D3:D1002">
      <formula1>"ETRANSFER,CASH,CARD,CHEQUE,PLATFORM"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N1002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2" style="26" customWidth="1"/>
    <col min="2" max="2" width="20" style="5" customWidth="1"/>
    <col min="3" max="5" width="11" style="5" customWidth="1"/>
    <col min="6" max="6" width="12" style="26" customWidth="1"/>
    <col min="7" max="7" width="9" style="5" customWidth="1"/>
    <col min="8" max="8" width="12" style="5" customWidth="1"/>
    <col min="9" max="9" width="11" style="5" customWidth="1"/>
    <col min="10" max="10" width="20" style="5" customWidth="1"/>
    <col min="11" max="11" width="30" style="5" customWidth="1"/>
    <col min="12" max="12" width="13" style="5" customWidth="1"/>
    <col min="13" max="13" width="34" style="5" customWidth="1"/>
    <col min="14" max="14" width="13" style="26" customWidth="1"/>
  </cols>
  <sheetData>
    <row r="1" ht="32" customHeight="1" spans="1:14" x14ac:dyDescent="0.25">
      <c r="A1" s="28" t="s">
        <v>559</v>
      </c>
      <c r="B1" s="3" t="s">
        <v>560</v>
      </c>
      <c r="C1" s="3" t="s">
        <v>561</v>
      </c>
      <c r="D1" s="3" t="s">
        <v>562</v>
      </c>
      <c r="E1" s="3" t="s">
        <v>563</v>
      </c>
      <c r="F1" s="28" t="s">
        <v>564</v>
      </c>
      <c r="G1" s="3" t="s">
        <v>565</v>
      </c>
      <c r="H1" s="3" t="s">
        <v>566</v>
      </c>
      <c r="I1" s="3" t="s">
        <v>567</v>
      </c>
      <c r="J1" s="3" t="s">
        <v>568</v>
      </c>
      <c r="K1" s="3" t="s">
        <v>487</v>
      </c>
      <c r="L1" s="20" t="s">
        <v>521</v>
      </c>
      <c r="M1" s="20" t="s">
        <v>569</v>
      </c>
      <c r="N1" s="37" t="s">
        <v>570</v>
      </c>
    </row>
    <row r="2" spans="1:14" x14ac:dyDescent="0.25">
      <c r="A2" s="30">
        <v>46296</v>
      </c>
      <c r="B2" s="31" t="s">
        <v>571</v>
      </c>
      <c r="C2" s="31" t="s">
        <v>572</v>
      </c>
      <c r="D2" s="31" t="s">
        <v>573</v>
      </c>
      <c r="E2" s="31" t="s">
        <v>574</v>
      </c>
      <c r="F2" s="30">
        <v>46298</v>
      </c>
      <c r="G2" s="31" t="s">
        <v>536</v>
      </c>
      <c r="H2" s="31" t="s">
        <v>575</v>
      </c>
      <c r="I2" s="31" t="s">
        <v>536</v>
      </c>
      <c r="J2" s="31"/>
      <c r="K2" s="31" t="s">
        <v>495</v>
      </c>
      <c r="L2" s="31" t="s">
        <v>537</v>
      </c>
      <c r="M2" s="31" t="s">
        <v>537</v>
      </c>
      <c r="N2" s="30" t="s">
        <v>537</v>
      </c>
    </row>
    <row r="3" spans="12:14" x14ac:dyDescent="0.25">
      <c r="L3" s="42">
        <f>IF($A3="","",IF($G3="Y","완료 DONE",IF($F3="","날짜 없음",IF($F3&lt;'설정 Settings'!$C$15,"지남 OVERDUE",IF($F3='설정 Settings'!$C$15,"오늘 TODAY","예정 OPEN")))))</f>
      </c>
      <c r="M3" s="42">
        <f>IF($A3="","",IF($I3="Y","수신거부: 문자·이메일 보내지 않기",IF(OR($E3="SMS",$E3="EMAIL"),IF(OR($H3="",$H3="NONE"),"동의 근거 없음: 전화·방문만",IF($H3="INQUIRY",IF(N($N3)=0,"견적 요청일을 못 찾음: 관련 ID에 견적 ID(Q-…)를 넣었는지 확인",IF('설정 Settings'!$C$15&gt;N($N3),"문의 후 6개월 지남: 다른 동의 근거 필요","OK: 이름·주소·연락처·수신거부 문구 넣기")),IF($H3="REFERRAL","소개 후 첫 메시지만 OK: 소개자 이름 + 이름·주소·연락처·수신거부 문구. 두 번째부터는 다른 동의 근거 필요",IF(AND($H3="REPLY",$D3&lt;&gt;"QUOTE",$D3&lt;&gt;"CALLBACK"),"문의에 대한 답장이 아님: EXPRESS 또는 INQUIRY 동의 필요","OK: 이름·주소·연락처·수신거부 문구 넣기")))),"")))</f>
      </c>
      <c r="N3" s="40">
        <f>IF($H3="INQUIRY",IFERROR(EDATE(INDEX('견적 Quotes'!$B$3:$B$1002,MATCH($C3,'견적 Quotes'!$A$3:$A$1002,0)),'설정 Settings'!$C$20),""),"")</f>
      </c>
    </row>
    <row r="4" spans="12:14" x14ac:dyDescent="0.25">
      <c r="L4" s="42">
        <f>IF($A4="","",IF($G4="Y","완료 DONE",IF($F4="","날짜 없음",IF($F4&lt;'설정 Settings'!$C$15,"지남 OVERDUE",IF($F4='설정 Settings'!$C$15,"오늘 TODAY","예정 OPEN")))))</f>
      </c>
      <c r="M4" s="42">
        <f>IF($A4="","",IF($I4="Y","수신거부: 문자·이메일 보내지 않기",IF(OR($E4="SMS",$E4="EMAIL"),IF(OR($H4="",$H4="NONE"),"동의 근거 없음: 전화·방문만",IF($H4="INQUIRY",IF(N($N4)=0,"견적 요청일을 못 찾음: 관련 ID에 견적 ID(Q-…)를 넣었는지 확인",IF('설정 Settings'!$C$15&gt;N($N4),"문의 후 6개월 지남: 다른 동의 근거 필요","OK: 이름·주소·연락처·수신거부 문구 넣기")),IF($H4="REFERRAL","소개 후 첫 메시지만 OK: 소개자 이름 + 이름·주소·연락처·수신거부 문구. 두 번째부터는 다른 동의 근거 필요",IF(AND($H4="REPLY",$D4&lt;&gt;"QUOTE",$D4&lt;&gt;"CALLBACK"),"문의에 대한 답장이 아님: EXPRESS 또는 INQUIRY 동의 필요","OK: 이름·주소·연락처·수신거부 문구 넣기")))),"")))</f>
      </c>
      <c r="N4" s="40">
        <f>IF($H4="INQUIRY",IFERROR(EDATE(INDEX('견적 Quotes'!$B$3:$B$1002,MATCH($C4,'견적 Quotes'!$A$3:$A$1002,0)),'설정 Settings'!$C$20),""),"")</f>
      </c>
    </row>
    <row r="5" spans="12:14" x14ac:dyDescent="0.25">
      <c r="L5" s="42">
        <f>IF($A5="","",IF($G5="Y","완료 DONE",IF($F5="","날짜 없음",IF($F5&lt;'설정 Settings'!$C$15,"지남 OVERDUE",IF($F5='설정 Settings'!$C$15,"오늘 TODAY","예정 OPEN")))))</f>
      </c>
      <c r="M5" s="42">
        <f>IF($A5="","",IF($I5="Y","수신거부: 문자·이메일 보내지 않기",IF(OR($E5="SMS",$E5="EMAIL"),IF(OR($H5="",$H5="NONE"),"동의 근거 없음: 전화·방문만",IF($H5="INQUIRY",IF(N($N5)=0,"견적 요청일을 못 찾음: 관련 ID에 견적 ID(Q-…)를 넣었는지 확인",IF('설정 Settings'!$C$15&gt;N($N5),"문의 후 6개월 지남: 다른 동의 근거 필요","OK: 이름·주소·연락처·수신거부 문구 넣기")),IF($H5="REFERRAL","소개 후 첫 메시지만 OK: 소개자 이름 + 이름·주소·연락처·수신거부 문구. 두 번째부터는 다른 동의 근거 필요",IF(AND($H5="REPLY",$D5&lt;&gt;"QUOTE",$D5&lt;&gt;"CALLBACK"),"문의에 대한 답장이 아님: EXPRESS 또는 INQUIRY 동의 필요","OK: 이름·주소·연락처·수신거부 문구 넣기")))),"")))</f>
      </c>
      <c r="N5" s="40">
        <f>IF($H5="INQUIRY",IFERROR(EDATE(INDEX('견적 Quotes'!$B$3:$B$1002,MATCH($C5,'견적 Quotes'!$A$3:$A$1002,0)),'설정 Settings'!$C$20),""),"")</f>
      </c>
    </row>
    <row r="6" spans="12:14" x14ac:dyDescent="0.25">
      <c r="L6" s="42">
        <f>IF($A6="","",IF($G6="Y","완료 DONE",IF($F6="","날짜 없음",IF($F6&lt;'설정 Settings'!$C$15,"지남 OVERDUE",IF($F6='설정 Settings'!$C$15,"오늘 TODAY","예정 OPEN")))))</f>
      </c>
      <c r="M6" s="42">
        <f>IF($A6="","",IF($I6="Y","수신거부: 문자·이메일 보내지 않기",IF(OR($E6="SMS",$E6="EMAIL"),IF(OR($H6="",$H6="NONE"),"동의 근거 없음: 전화·방문만",IF($H6="INQUIRY",IF(N($N6)=0,"견적 요청일을 못 찾음: 관련 ID에 견적 ID(Q-…)를 넣었는지 확인",IF('설정 Settings'!$C$15&gt;N($N6),"문의 후 6개월 지남: 다른 동의 근거 필요","OK: 이름·주소·연락처·수신거부 문구 넣기")),IF($H6="REFERRAL","소개 후 첫 메시지만 OK: 소개자 이름 + 이름·주소·연락처·수신거부 문구. 두 번째부터는 다른 동의 근거 필요",IF(AND($H6="REPLY",$D6&lt;&gt;"QUOTE",$D6&lt;&gt;"CALLBACK"),"문의에 대한 답장이 아님: EXPRESS 또는 INQUIRY 동의 필요","OK: 이름·주소·연락처·수신거부 문구 넣기")))),"")))</f>
      </c>
      <c r="N6" s="40">
        <f>IF($H6="INQUIRY",IFERROR(EDATE(INDEX('견적 Quotes'!$B$3:$B$1002,MATCH($C6,'견적 Quotes'!$A$3:$A$1002,0)),'설정 Settings'!$C$20),""),"")</f>
      </c>
    </row>
    <row r="7" spans="12:14" x14ac:dyDescent="0.25">
      <c r="L7" s="42">
        <f>IF($A7="","",IF($G7="Y","완료 DONE",IF($F7="","날짜 없음",IF($F7&lt;'설정 Settings'!$C$15,"지남 OVERDUE",IF($F7='설정 Settings'!$C$15,"오늘 TODAY","예정 OPEN")))))</f>
      </c>
      <c r="M7" s="42">
        <f>IF($A7="","",IF($I7="Y","수신거부: 문자·이메일 보내지 않기",IF(OR($E7="SMS",$E7="EMAIL"),IF(OR($H7="",$H7="NONE"),"동의 근거 없음: 전화·방문만",IF($H7="INQUIRY",IF(N($N7)=0,"견적 요청일을 못 찾음: 관련 ID에 견적 ID(Q-…)를 넣었는지 확인",IF('설정 Settings'!$C$15&gt;N($N7),"문의 후 6개월 지남: 다른 동의 근거 필요","OK: 이름·주소·연락처·수신거부 문구 넣기")),IF($H7="REFERRAL","소개 후 첫 메시지만 OK: 소개자 이름 + 이름·주소·연락처·수신거부 문구. 두 번째부터는 다른 동의 근거 필요",IF(AND($H7="REPLY",$D7&lt;&gt;"QUOTE",$D7&lt;&gt;"CALLBACK"),"문의에 대한 답장이 아님: EXPRESS 또는 INQUIRY 동의 필요","OK: 이름·주소·연락처·수신거부 문구 넣기")))),"")))</f>
      </c>
      <c r="N7" s="40">
        <f>IF($H7="INQUIRY",IFERROR(EDATE(INDEX('견적 Quotes'!$B$3:$B$1002,MATCH($C7,'견적 Quotes'!$A$3:$A$1002,0)),'설정 Settings'!$C$20),""),"")</f>
      </c>
    </row>
    <row r="8" spans="12:14" x14ac:dyDescent="0.25">
      <c r="L8" s="42">
        <f>IF($A8="","",IF($G8="Y","완료 DONE",IF($F8="","날짜 없음",IF($F8&lt;'설정 Settings'!$C$15,"지남 OVERDUE",IF($F8='설정 Settings'!$C$15,"오늘 TODAY","예정 OPEN")))))</f>
      </c>
      <c r="M8" s="42">
        <f>IF($A8="","",IF($I8="Y","수신거부: 문자·이메일 보내지 않기",IF(OR($E8="SMS",$E8="EMAIL"),IF(OR($H8="",$H8="NONE"),"동의 근거 없음: 전화·방문만",IF($H8="INQUIRY",IF(N($N8)=0,"견적 요청일을 못 찾음: 관련 ID에 견적 ID(Q-…)를 넣었는지 확인",IF('설정 Settings'!$C$15&gt;N($N8),"문의 후 6개월 지남: 다른 동의 근거 필요","OK: 이름·주소·연락처·수신거부 문구 넣기")),IF($H8="REFERRAL","소개 후 첫 메시지만 OK: 소개자 이름 + 이름·주소·연락처·수신거부 문구. 두 번째부터는 다른 동의 근거 필요",IF(AND($H8="REPLY",$D8&lt;&gt;"QUOTE",$D8&lt;&gt;"CALLBACK"),"문의에 대한 답장이 아님: EXPRESS 또는 INQUIRY 동의 필요","OK: 이름·주소·연락처·수신거부 문구 넣기")))),"")))</f>
      </c>
      <c r="N8" s="40">
        <f>IF($H8="INQUIRY",IFERROR(EDATE(INDEX('견적 Quotes'!$B$3:$B$1002,MATCH($C8,'견적 Quotes'!$A$3:$A$1002,0)),'설정 Settings'!$C$20),""),"")</f>
      </c>
    </row>
    <row r="9" spans="12:14" x14ac:dyDescent="0.25">
      <c r="L9" s="42">
        <f>IF($A9="","",IF($G9="Y","완료 DONE",IF($F9="","날짜 없음",IF($F9&lt;'설정 Settings'!$C$15,"지남 OVERDUE",IF($F9='설정 Settings'!$C$15,"오늘 TODAY","예정 OPEN")))))</f>
      </c>
      <c r="M9" s="42">
        <f>IF($A9="","",IF($I9="Y","수신거부: 문자·이메일 보내지 않기",IF(OR($E9="SMS",$E9="EMAIL"),IF(OR($H9="",$H9="NONE"),"동의 근거 없음: 전화·방문만",IF($H9="INQUIRY",IF(N($N9)=0,"견적 요청일을 못 찾음: 관련 ID에 견적 ID(Q-…)를 넣었는지 확인",IF('설정 Settings'!$C$15&gt;N($N9),"문의 후 6개월 지남: 다른 동의 근거 필요","OK: 이름·주소·연락처·수신거부 문구 넣기")),IF($H9="REFERRAL","소개 후 첫 메시지만 OK: 소개자 이름 + 이름·주소·연락처·수신거부 문구. 두 번째부터는 다른 동의 근거 필요",IF(AND($H9="REPLY",$D9&lt;&gt;"QUOTE",$D9&lt;&gt;"CALLBACK"),"문의에 대한 답장이 아님: EXPRESS 또는 INQUIRY 동의 필요","OK: 이름·주소·연락처·수신거부 문구 넣기")))),"")))</f>
      </c>
      <c r="N9" s="40">
        <f>IF($H9="INQUIRY",IFERROR(EDATE(INDEX('견적 Quotes'!$B$3:$B$1002,MATCH($C9,'견적 Quotes'!$A$3:$A$1002,0)),'설정 Settings'!$C$20),""),"")</f>
      </c>
    </row>
    <row r="10" spans="12:14" x14ac:dyDescent="0.25">
      <c r="L10" s="42">
        <f>IF($A10="","",IF($G10="Y","완료 DONE",IF($F10="","날짜 없음",IF($F10&lt;'설정 Settings'!$C$15,"지남 OVERDUE",IF($F10='설정 Settings'!$C$15,"오늘 TODAY","예정 OPEN")))))</f>
      </c>
      <c r="M10" s="42">
        <f>IF($A10="","",IF($I10="Y","수신거부: 문자·이메일 보내지 않기",IF(OR($E10="SMS",$E10="EMAIL"),IF(OR($H10="",$H10="NONE"),"동의 근거 없음: 전화·방문만",IF($H10="INQUIRY",IF(N($N10)=0,"견적 요청일을 못 찾음: 관련 ID에 견적 ID(Q-…)를 넣었는지 확인",IF('설정 Settings'!$C$15&gt;N($N10),"문의 후 6개월 지남: 다른 동의 근거 필요","OK: 이름·주소·연락처·수신거부 문구 넣기")),IF($H10="REFERRAL","소개 후 첫 메시지만 OK: 소개자 이름 + 이름·주소·연락처·수신거부 문구. 두 번째부터는 다른 동의 근거 필요",IF(AND($H10="REPLY",$D10&lt;&gt;"QUOTE",$D10&lt;&gt;"CALLBACK"),"문의에 대한 답장이 아님: EXPRESS 또는 INQUIRY 동의 필요","OK: 이름·주소·연락처·수신거부 문구 넣기")))),"")))</f>
      </c>
      <c r="N10" s="40">
        <f>IF($H10="INQUIRY",IFERROR(EDATE(INDEX('견적 Quotes'!$B$3:$B$1002,MATCH($C10,'견적 Quotes'!$A$3:$A$1002,0)),'설정 Settings'!$C$20),""),"")</f>
      </c>
    </row>
    <row r="11" spans="12:14" x14ac:dyDescent="0.25">
      <c r="L11" s="42">
        <f>IF($A11="","",IF($G11="Y","완료 DONE",IF($F11="","날짜 없음",IF($F11&lt;'설정 Settings'!$C$15,"지남 OVERDUE",IF($F11='설정 Settings'!$C$15,"오늘 TODAY","예정 OPEN")))))</f>
      </c>
      <c r="M11" s="42">
        <f>IF($A11="","",IF($I11="Y","수신거부: 문자·이메일 보내지 않기",IF(OR($E11="SMS",$E11="EMAIL"),IF(OR($H11="",$H11="NONE"),"동의 근거 없음: 전화·방문만",IF($H11="INQUIRY",IF(N($N11)=0,"견적 요청일을 못 찾음: 관련 ID에 견적 ID(Q-…)를 넣었는지 확인",IF('설정 Settings'!$C$15&gt;N($N11),"문의 후 6개월 지남: 다른 동의 근거 필요","OK: 이름·주소·연락처·수신거부 문구 넣기")),IF($H11="REFERRAL","소개 후 첫 메시지만 OK: 소개자 이름 + 이름·주소·연락처·수신거부 문구. 두 번째부터는 다른 동의 근거 필요",IF(AND($H11="REPLY",$D11&lt;&gt;"QUOTE",$D11&lt;&gt;"CALLBACK"),"문의에 대한 답장이 아님: EXPRESS 또는 INQUIRY 동의 필요","OK: 이름·주소·연락처·수신거부 문구 넣기")))),"")))</f>
      </c>
      <c r="N11" s="40">
        <f>IF($H11="INQUIRY",IFERROR(EDATE(INDEX('견적 Quotes'!$B$3:$B$1002,MATCH($C11,'견적 Quotes'!$A$3:$A$1002,0)),'설정 Settings'!$C$20),""),"")</f>
      </c>
    </row>
    <row r="12" spans="12:14" x14ac:dyDescent="0.25">
      <c r="L12" s="42">
        <f>IF($A12="","",IF($G12="Y","완료 DONE",IF($F12="","날짜 없음",IF($F12&lt;'설정 Settings'!$C$15,"지남 OVERDUE",IF($F12='설정 Settings'!$C$15,"오늘 TODAY","예정 OPEN")))))</f>
      </c>
      <c r="M12" s="42">
        <f>IF($A12="","",IF($I12="Y","수신거부: 문자·이메일 보내지 않기",IF(OR($E12="SMS",$E12="EMAIL"),IF(OR($H12="",$H12="NONE"),"동의 근거 없음: 전화·방문만",IF($H12="INQUIRY",IF(N($N12)=0,"견적 요청일을 못 찾음: 관련 ID에 견적 ID(Q-…)를 넣었는지 확인",IF('설정 Settings'!$C$15&gt;N($N12),"문의 후 6개월 지남: 다른 동의 근거 필요","OK: 이름·주소·연락처·수신거부 문구 넣기")),IF($H12="REFERRAL","소개 후 첫 메시지만 OK: 소개자 이름 + 이름·주소·연락처·수신거부 문구. 두 번째부터는 다른 동의 근거 필요",IF(AND($H12="REPLY",$D12&lt;&gt;"QUOTE",$D12&lt;&gt;"CALLBACK"),"문의에 대한 답장이 아님: EXPRESS 또는 INQUIRY 동의 필요","OK: 이름·주소·연락처·수신거부 문구 넣기")))),"")))</f>
      </c>
      <c r="N12" s="40">
        <f>IF($H12="INQUIRY",IFERROR(EDATE(INDEX('견적 Quotes'!$B$3:$B$1002,MATCH($C12,'견적 Quotes'!$A$3:$A$1002,0)),'설정 Settings'!$C$20),""),"")</f>
      </c>
    </row>
    <row r="13" spans="12:14" x14ac:dyDescent="0.25">
      <c r="L13" s="42">
        <f>IF($A13="","",IF($G13="Y","완료 DONE",IF($F13="","날짜 없음",IF($F13&lt;'설정 Settings'!$C$15,"지남 OVERDUE",IF($F13='설정 Settings'!$C$15,"오늘 TODAY","예정 OPEN")))))</f>
      </c>
      <c r="M13" s="42">
        <f>IF($A13="","",IF($I13="Y","수신거부: 문자·이메일 보내지 않기",IF(OR($E13="SMS",$E13="EMAIL"),IF(OR($H13="",$H13="NONE"),"동의 근거 없음: 전화·방문만",IF($H13="INQUIRY",IF(N($N13)=0,"견적 요청일을 못 찾음: 관련 ID에 견적 ID(Q-…)를 넣었는지 확인",IF('설정 Settings'!$C$15&gt;N($N13),"문의 후 6개월 지남: 다른 동의 근거 필요","OK: 이름·주소·연락처·수신거부 문구 넣기")),IF($H13="REFERRAL","소개 후 첫 메시지만 OK: 소개자 이름 + 이름·주소·연락처·수신거부 문구. 두 번째부터는 다른 동의 근거 필요",IF(AND($H13="REPLY",$D13&lt;&gt;"QUOTE",$D13&lt;&gt;"CALLBACK"),"문의에 대한 답장이 아님: EXPRESS 또는 INQUIRY 동의 필요","OK: 이름·주소·연락처·수신거부 문구 넣기")))),"")))</f>
      </c>
      <c r="N13" s="40">
        <f>IF($H13="INQUIRY",IFERROR(EDATE(INDEX('견적 Quotes'!$B$3:$B$1002,MATCH($C13,'견적 Quotes'!$A$3:$A$1002,0)),'설정 Settings'!$C$20),""),"")</f>
      </c>
    </row>
    <row r="14" spans="12:14" x14ac:dyDescent="0.25">
      <c r="L14" s="42">
        <f>IF($A14="","",IF($G14="Y","완료 DONE",IF($F14="","날짜 없음",IF($F14&lt;'설정 Settings'!$C$15,"지남 OVERDUE",IF($F14='설정 Settings'!$C$15,"오늘 TODAY","예정 OPEN")))))</f>
      </c>
      <c r="M14" s="42">
        <f>IF($A14="","",IF($I14="Y","수신거부: 문자·이메일 보내지 않기",IF(OR($E14="SMS",$E14="EMAIL"),IF(OR($H14="",$H14="NONE"),"동의 근거 없음: 전화·방문만",IF($H14="INQUIRY",IF(N($N14)=0,"견적 요청일을 못 찾음: 관련 ID에 견적 ID(Q-…)를 넣었는지 확인",IF('설정 Settings'!$C$15&gt;N($N14),"문의 후 6개월 지남: 다른 동의 근거 필요","OK: 이름·주소·연락처·수신거부 문구 넣기")),IF($H14="REFERRAL","소개 후 첫 메시지만 OK: 소개자 이름 + 이름·주소·연락처·수신거부 문구. 두 번째부터는 다른 동의 근거 필요",IF(AND($H14="REPLY",$D14&lt;&gt;"QUOTE",$D14&lt;&gt;"CALLBACK"),"문의에 대한 답장이 아님: EXPRESS 또는 INQUIRY 동의 필요","OK: 이름·주소·연락처·수신거부 문구 넣기")))),"")))</f>
      </c>
      <c r="N14" s="40">
        <f>IF($H14="INQUIRY",IFERROR(EDATE(INDEX('견적 Quotes'!$B$3:$B$1002,MATCH($C14,'견적 Quotes'!$A$3:$A$1002,0)),'설정 Settings'!$C$20),""),"")</f>
      </c>
    </row>
    <row r="15" spans="12:14" x14ac:dyDescent="0.25">
      <c r="L15" s="42">
        <f>IF($A15="","",IF($G15="Y","완료 DONE",IF($F15="","날짜 없음",IF($F15&lt;'설정 Settings'!$C$15,"지남 OVERDUE",IF($F15='설정 Settings'!$C$15,"오늘 TODAY","예정 OPEN")))))</f>
      </c>
      <c r="M15" s="42">
        <f>IF($A15="","",IF($I15="Y","수신거부: 문자·이메일 보내지 않기",IF(OR($E15="SMS",$E15="EMAIL"),IF(OR($H15="",$H15="NONE"),"동의 근거 없음: 전화·방문만",IF($H15="INQUIRY",IF(N($N15)=0,"견적 요청일을 못 찾음: 관련 ID에 견적 ID(Q-…)를 넣었는지 확인",IF('설정 Settings'!$C$15&gt;N($N15),"문의 후 6개월 지남: 다른 동의 근거 필요","OK: 이름·주소·연락처·수신거부 문구 넣기")),IF($H15="REFERRAL","소개 후 첫 메시지만 OK: 소개자 이름 + 이름·주소·연락처·수신거부 문구. 두 번째부터는 다른 동의 근거 필요",IF(AND($H15="REPLY",$D15&lt;&gt;"QUOTE",$D15&lt;&gt;"CALLBACK"),"문의에 대한 답장이 아님: EXPRESS 또는 INQUIRY 동의 필요","OK: 이름·주소·연락처·수신거부 문구 넣기")))),"")))</f>
      </c>
      <c r="N15" s="40">
        <f>IF($H15="INQUIRY",IFERROR(EDATE(INDEX('견적 Quotes'!$B$3:$B$1002,MATCH($C15,'견적 Quotes'!$A$3:$A$1002,0)),'설정 Settings'!$C$20),""),"")</f>
      </c>
    </row>
    <row r="16" spans="12:14" x14ac:dyDescent="0.25">
      <c r="L16" s="42">
        <f>IF($A16="","",IF($G16="Y","완료 DONE",IF($F16="","날짜 없음",IF($F16&lt;'설정 Settings'!$C$15,"지남 OVERDUE",IF($F16='설정 Settings'!$C$15,"오늘 TODAY","예정 OPEN")))))</f>
      </c>
      <c r="M16" s="42">
        <f>IF($A16="","",IF($I16="Y","수신거부: 문자·이메일 보내지 않기",IF(OR($E16="SMS",$E16="EMAIL"),IF(OR($H16="",$H16="NONE"),"동의 근거 없음: 전화·방문만",IF($H16="INQUIRY",IF(N($N16)=0,"견적 요청일을 못 찾음: 관련 ID에 견적 ID(Q-…)를 넣었는지 확인",IF('설정 Settings'!$C$15&gt;N($N16),"문의 후 6개월 지남: 다른 동의 근거 필요","OK: 이름·주소·연락처·수신거부 문구 넣기")),IF($H16="REFERRAL","소개 후 첫 메시지만 OK: 소개자 이름 + 이름·주소·연락처·수신거부 문구. 두 번째부터는 다른 동의 근거 필요",IF(AND($H16="REPLY",$D16&lt;&gt;"QUOTE",$D16&lt;&gt;"CALLBACK"),"문의에 대한 답장이 아님: EXPRESS 또는 INQUIRY 동의 필요","OK: 이름·주소·연락처·수신거부 문구 넣기")))),"")))</f>
      </c>
      <c r="N16" s="40">
        <f>IF($H16="INQUIRY",IFERROR(EDATE(INDEX('견적 Quotes'!$B$3:$B$1002,MATCH($C16,'견적 Quotes'!$A$3:$A$1002,0)),'설정 Settings'!$C$20),""),"")</f>
      </c>
    </row>
    <row r="17" spans="12:14" x14ac:dyDescent="0.25">
      <c r="L17" s="42">
        <f>IF($A17="","",IF($G17="Y","완료 DONE",IF($F17="","날짜 없음",IF($F17&lt;'설정 Settings'!$C$15,"지남 OVERDUE",IF($F17='설정 Settings'!$C$15,"오늘 TODAY","예정 OPEN")))))</f>
      </c>
      <c r="M17" s="42">
        <f>IF($A17="","",IF($I17="Y","수신거부: 문자·이메일 보내지 않기",IF(OR($E17="SMS",$E17="EMAIL"),IF(OR($H17="",$H17="NONE"),"동의 근거 없음: 전화·방문만",IF($H17="INQUIRY",IF(N($N17)=0,"견적 요청일을 못 찾음: 관련 ID에 견적 ID(Q-…)를 넣었는지 확인",IF('설정 Settings'!$C$15&gt;N($N17),"문의 후 6개월 지남: 다른 동의 근거 필요","OK: 이름·주소·연락처·수신거부 문구 넣기")),IF($H17="REFERRAL","소개 후 첫 메시지만 OK: 소개자 이름 + 이름·주소·연락처·수신거부 문구. 두 번째부터는 다른 동의 근거 필요",IF(AND($H17="REPLY",$D17&lt;&gt;"QUOTE",$D17&lt;&gt;"CALLBACK"),"문의에 대한 답장이 아님: EXPRESS 또는 INQUIRY 동의 필요","OK: 이름·주소·연락처·수신거부 문구 넣기")))),"")))</f>
      </c>
      <c r="N17" s="40">
        <f>IF($H17="INQUIRY",IFERROR(EDATE(INDEX('견적 Quotes'!$B$3:$B$1002,MATCH($C17,'견적 Quotes'!$A$3:$A$1002,0)),'설정 Settings'!$C$20),""),"")</f>
      </c>
    </row>
    <row r="18" spans="12:14" x14ac:dyDescent="0.25">
      <c r="L18" s="42">
        <f>IF($A18="","",IF($G18="Y","완료 DONE",IF($F18="","날짜 없음",IF($F18&lt;'설정 Settings'!$C$15,"지남 OVERDUE",IF($F18='설정 Settings'!$C$15,"오늘 TODAY","예정 OPEN")))))</f>
      </c>
      <c r="M18" s="42">
        <f>IF($A18="","",IF($I18="Y","수신거부: 문자·이메일 보내지 않기",IF(OR($E18="SMS",$E18="EMAIL"),IF(OR($H18="",$H18="NONE"),"동의 근거 없음: 전화·방문만",IF($H18="INQUIRY",IF(N($N18)=0,"견적 요청일을 못 찾음: 관련 ID에 견적 ID(Q-…)를 넣었는지 확인",IF('설정 Settings'!$C$15&gt;N($N18),"문의 후 6개월 지남: 다른 동의 근거 필요","OK: 이름·주소·연락처·수신거부 문구 넣기")),IF($H18="REFERRAL","소개 후 첫 메시지만 OK: 소개자 이름 + 이름·주소·연락처·수신거부 문구. 두 번째부터는 다른 동의 근거 필요",IF(AND($H18="REPLY",$D18&lt;&gt;"QUOTE",$D18&lt;&gt;"CALLBACK"),"문의에 대한 답장이 아님: EXPRESS 또는 INQUIRY 동의 필요","OK: 이름·주소·연락처·수신거부 문구 넣기")))),"")))</f>
      </c>
      <c r="N18" s="40">
        <f>IF($H18="INQUIRY",IFERROR(EDATE(INDEX('견적 Quotes'!$B$3:$B$1002,MATCH($C18,'견적 Quotes'!$A$3:$A$1002,0)),'설정 Settings'!$C$20),""),"")</f>
      </c>
    </row>
    <row r="19" spans="12:14" x14ac:dyDescent="0.25">
      <c r="L19" s="42">
        <f>IF($A19="","",IF($G19="Y","완료 DONE",IF($F19="","날짜 없음",IF($F19&lt;'설정 Settings'!$C$15,"지남 OVERDUE",IF($F19='설정 Settings'!$C$15,"오늘 TODAY","예정 OPEN")))))</f>
      </c>
      <c r="M19" s="42">
        <f>IF($A19="","",IF($I19="Y","수신거부: 문자·이메일 보내지 않기",IF(OR($E19="SMS",$E19="EMAIL"),IF(OR($H19="",$H19="NONE"),"동의 근거 없음: 전화·방문만",IF($H19="INQUIRY",IF(N($N19)=0,"견적 요청일을 못 찾음: 관련 ID에 견적 ID(Q-…)를 넣었는지 확인",IF('설정 Settings'!$C$15&gt;N($N19),"문의 후 6개월 지남: 다른 동의 근거 필요","OK: 이름·주소·연락처·수신거부 문구 넣기")),IF($H19="REFERRAL","소개 후 첫 메시지만 OK: 소개자 이름 + 이름·주소·연락처·수신거부 문구. 두 번째부터는 다른 동의 근거 필요",IF(AND($H19="REPLY",$D19&lt;&gt;"QUOTE",$D19&lt;&gt;"CALLBACK"),"문의에 대한 답장이 아님: EXPRESS 또는 INQUIRY 동의 필요","OK: 이름·주소·연락처·수신거부 문구 넣기")))),"")))</f>
      </c>
      <c r="N19" s="40">
        <f>IF($H19="INQUIRY",IFERROR(EDATE(INDEX('견적 Quotes'!$B$3:$B$1002,MATCH($C19,'견적 Quotes'!$A$3:$A$1002,0)),'설정 Settings'!$C$20),""),"")</f>
      </c>
    </row>
    <row r="20" spans="12:14" x14ac:dyDescent="0.25">
      <c r="L20" s="42">
        <f>IF($A20="","",IF($G20="Y","완료 DONE",IF($F20="","날짜 없음",IF($F20&lt;'설정 Settings'!$C$15,"지남 OVERDUE",IF($F20='설정 Settings'!$C$15,"오늘 TODAY","예정 OPEN")))))</f>
      </c>
      <c r="M20" s="42">
        <f>IF($A20="","",IF($I20="Y","수신거부: 문자·이메일 보내지 않기",IF(OR($E20="SMS",$E20="EMAIL"),IF(OR($H20="",$H20="NONE"),"동의 근거 없음: 전화·방문만",IF($H20="INQUIRY",IF(N($N20)=0,"견적 요청일을 못 찾음: 관련 ID에 견적 ID(Q-…)를 넣었는지 확인",IF('설정 Settings'!$C$15&gt;N($N20),"문의 후 6개월 지남: 다른 동의 근거 필요","OK: 이름·주소·연락처·수신거부 문구 넣기")),IF($H20="REFERRAL","소개 후 첫 메시지만 OK: 소개자 이름 + 이름·주소·연락처·수신거부 문구. 두 번째부터는 다른 동의 근거 필요",IF(AND($H20="REPLY",$D20&lt;&gt;"QUOTE",$D20&lt;&gt;"CALLBACK"),"문의에 대한 답장이 아님: EXPRESS 또는 INQUIRY 동의 필요","OK: 이름·주소·연락처·수신거부 문구 넣기")))),"")))</f>
      </c>
      <c r="N20" s="40">
        <f>IF($H20="INQUIRY",IFERROR(EDATE(INDEX('견적 Quotes'!$B$3:$B$1002,MATCH($C20,'견적 Quotes'!$A$3:$A$1002,0)),'설정 Settings'!$C$20),""),"")</f>
      </c>
    </row>
    <row r="21" spans="12:14" x14ac:dyDescent="0.25">
      <c r="L21" s="42">
        <f>IF($A21="","",IF($G21="Y","완료 DONE",IF($F21="","날짜 없음",IF($F21&lt;'설정 Settings'!$C$15,"지남 OVERDUE",IF($F21='설정 Settings'!$C$15,"오늘 TODAY","예정 OPEN")))))</f>
      </c>
      <c r="M21" s="42">
        <f>IF($A21="","",IF($I21="Y","수신거부: 문자·이메일 보내지 않기",IF(OR($E21="SMS",$E21="EMAIL"),IF(OR($H21="",$H21="NONE"),"동의 근거 없음: 전화·방문만",IF($H21="INQUIRY",IF(N($N21)=0,"견적 요청일을 못 찾음: 관련 ID에 견적 ID(Q-…)를 넣었는지 확인",IF('설정 Settings'!$C$15&gt;N($N21),"문의 후 6개월 지남: 다른 동의 근거 필요","OK: 이름·주소·연락처·수신거부 문구 넣기")),IF($H21="REFERRAL","소개 후 첫 메시지만 OK: 소개자 이름 + 이름·주소·연락처·수신거부 문구. 두 번째부터는 다른 동의 근거 필요",IF(AND($H21="REPLY",$D21&lt;&gt;"QUOTE",$D21&lt;&gt;"CALLBACK"),"문의에 대한 답장이 아님: EXPRESS 또는 INQUIRY 동의 필요","OK: 이름·주소·연락처·수신거부 문구 넣기")))),"")))</f>
      </c>
      <c r="N21" s="40">
        <f>IF($H21="INQUIRY",IFERROR(EDATE(INDEX('견적 Quotes'!$B$3:$B$1002,MATCH($C21,'견적 Quotes'!$A$3:$A$1002,0)),'설정 Settings'!$C$20),""),"")</f>
      </c>
    </row>
    <row r="22" spans="12:14" x14ac:dyDescent="0.25">
      <c r="L22" s="42">
        <f>IF($A22="","",IF($G22="Y","완료 DONE",IF($F22="","날짜 없음",IF($F22&lt;'설정 Settings'!$C$15,"지남 OVERDUE",IF($F22='설정 Settings'!$C$15,"오늘 TODAY","예정 OPEN")))))</f>
      </c>
      <c r="M22" s="42">
        <f>IF($A22="","",IF($I22="Y","수신거부: 문자·이메일 보내지 않기",IF(OR($E22="SMS",$E22="EMAIL"),IF(OR($H22="",$H22="NONE"),"동의 근거 없음: 전화·방문만",IF($H22="INQUIRY",IF(N($N22)=0,"견적 요청일을 못 찾음: 관련 ID에 견적 ID(Q-…)를 넣었는지 확인",IF('설정 Settings'!$C$15&gt;N($N22),"문의 후 6개월 지남: 다른 동의 근거 필요","OK: 이름·주소·연락처·수신거부 문구 넣기")),IF($H22="REFERRAL","소개 후 첫 메시지만 OK: 소개자 이름 + 이름·주소·연락처·수신거부 문구. 두 번째부터는 다른 동의 근거 필요",IF(AND($H22="REPLY",$D22&lt;&gt;"QUOTE",$D22&lt;&gt;"CALLBACK"),"문의에 대한 답장이 아님: EXPRESS 또는 INQUIRY 동의 필요","OK: 이름·주소·연락처·수신거부 문구 넣기")))),"")))</f>
      </c>
      <c r="N22" s="40">
        <f>IF($H22="INQUIRY",IFERROR(EDATE(INDEX('견적 Quotes'!$B$3:$B$1002,MATCH($C22,'견적 Quotes'!$A$3:$A$1002,0)),'설정 Settings'!$C$20),""),"")</f>
      </c>
    </row>
    <row r="23" spans="12:14" x14ac:dyDescent="0.25">
      <c r="L23" s="42">
        <f>IF($A23="","",IF($G23="Y","완료 DONE",IF($F23="","날짜 없음",IF($F23&lt;'설정 Settings'!$C$15,"지남 OVERDUE",IF($F23='설정 Settings'!$C$15,"오늘 TODAY","예정 OPEN")))))</f>
      </c>
      <c r="M23" s="42">
        <f>IF($A23="","",IF($I23="Y","수신거부: 문자·이메일 보내지 않기",IF(OR($E23="SMS",$E23="EMAIL"),IF(OR($H23="",$H23="NONE"),"동의 근거 없음: 전화·방문만",IF($H23="INQUIRY",IF(N($N23)=0,"견적 요청일을 못 찾음: 관련 ID에 견적 ID(Q-…)를 넣었는지 확인",IF('설정 Settings'!$C$15&gt;N($N23),"문의 후 6개월 지남: 다른 동의 근거 필요","OK: 이름·주소·연락처·수신거부 문구 넣기")),IF($H23="REFERRAL","소개 후 첫 메시지만 OK: 소개자 이름 + 이름·주소·연락처·수신거부 문구. 두 번째부터는 다른 동의 근거 필요",IF(AND($H23="REPLY",$D23&lt;&gt;"QUOTE",$D23&lt;&gt;"CALLBACK"),"문의에 대한 답장이 아님: EXPRESS 또는 INQUIRY 동의 필요","OK: 이름·주소·연락처·수신거부 문구 넣기")))),"")))</f>
      </c>
      <c r="N23" s="40">
        <f>IF($H23="INQUIRY",IFERROR(EDATE(INDEX('견적 Quotes'!$B$3:$B$1002,MATCH($C23,'견적 Quotes'!$A$3:$A$1002,0)),'설정 Settings'!$C$20),""),"")</f>
      </c>
    </row>
    <row r="24" spans="12:14" x14ac:dyDescent="0.25">
      <c r="L24" s="42">
        <f>IF($A24="","",IF($G24="Y","완료 DONE",IF($F24="","날짜 없음",IF($F24&lt;'설정 Settings'!$C$15,"지남 OVERDUE",IF($F24='설정 Settings'!$C$15,"오늘 TODAY","예정 OPEN")))))</f>
      </c>
      <c r="M24" s="42">
        <f>IF($A24="","",IF($I24="Y","수신거부: 문자·이메일 보내지 않기",IF(OR($E24="SMS",$E24="EMAIL"),IF(OR($H24="",$H24="NONE"),"동의 근거 없음: 전화·방문만",IF($H24="INQUIRY",IF(N($N24)=0,"견적 요청일을 못 찾음: 관련 ID에 견적 ID(Q-…)를 넣었는지 확인",IF('설정 Settings'!$C$15&gt;N($N24),"문의 후 6개월 지남: 다른 동의 근거 필요","OK: 이름·주소·연락처·수신거부 문구 넣기")),IF($H24="REFERRAL","소개 후 첫 메시지만 OK: 소개자 이름 + 이름·주소·연락처·수신거부 문구. 두 번째부터는 다른 동의 근거 필요",IF(AND($H24="REPLY",$D24&lt;&gt;"QUOTE",$D24&lt;&gt;"CALLBACK"),"문의에 대한 답장이 아님: EXPRESS 또는 INQUIRY 동의 필요","OK: 이름·주소·연락처·수신거부 문구 넣기")))),"")))</f>
      </c>
      <c r="N24" s="40">
        <f>IF($H24="INQUIRY",IFERROR(EDATE(INDEX('견적 Quotes'!$B$3:$B$1002,MATCH($C24,'견적 Quotes'!$A$3:$A$1002,0)),'설정 Settings'!$C$20),""),"")</f>
      </c>
    </row>
    <row r="25" spans="12:14" x14ac:dyDescent="0.25">
      <c r="L25" s="42">
        <f>IF($A25="","",IF($G25="Y","완료 DONE",IF($F25="","날짜 없음",IF($F25&lt;'설정 Settings'!$C$15,"지남 OVERDUE",IF($F25='설정 Settings'!$C$15,"오늘 TODAY","예정 OPEN")))))</f>
      </c>
      <c r="M25" s="42">
        <f>IF($A25="","",IF($I25="Y","수신거부: 문자·이메일 보내지 않기",IF(OR($E25="SMS",$E25="EMAIL"),IF(OR($H25="",$H25="NONE"),"동의 근거 없음: 전화·방문만",IF($H25="INQUIRY",IF(N($N25)=0,"견적 요청일을 못 찾음: 관련 ID에 견적 ID(Q-…)를 넣었는지 확인",IF('설정 Settings'!$C$15&gt;N($N25),"문의 후 6개월 지남: 다른 동의 근거 필요","OK: 이름·주소·연락처·수신거부 문구 넣기")),IF($H25="REFERRAL","소개 후 첫 메시지만 OK: 소개자 이름 + 이름·주소·연락처·수신거부 문구. 두 번째부터는 다른 동의 근거 필요",IF(AND($H25="REPLY",$D25&lt;&gt;"QUOTE",$D25&lt;&gt;"CALLBACK"),"문의에 대한 답장이 아님: EXPRESS 또는 INQUIRY 동의 필요","OK: 이름·주소·연락처·수신거부 문구 넣기")))),"")))</f>
      </c>
      <c r="N25" s="40">
        <f>IF($H25="INQUIRY",IFERROR(EDATE(INDEX('견적 Quotes'!$B$3:$B$1002,MATCH($C25,'견적 Quotes'!$A$3:$A$1002,0)),'설정 Settings'!$C$20),""),"")</f>
      </c>
    </row>
    <row r="26" spans="12:14" x14ac:dyDescent="0.25">
      <c r="L26" s="42">
        <f>IF($A26="","",IF($G26="Y","완료 DONE",IF($F26="","날짜 없음",IF($F26&lt;'설정 Settings'!$C$15,"지남 OVERDUE",IF($F26='설정 Settings'!$C$15,"오늘 TODAY","예정 OPEN")))))</f>
      </c>
      <c r="M26" s="42">
        <f>IF($A26="","",IF($I26="Y","수신거부: 문자·이메일 보내지 않기",IF(OR($E26="SMS",$E26="EMAIL"),IF(OR($H26="",$H26="NONE"),"동의 근거 없음: 전화·방문만",IF($H26="INQUIRY",IF(N($N26)=0,"견적 요청일을 못 찾음: 관련 ID에 견적 ID(Q-…)를 넣었는지 확인",IF('설정 Settings'!$C$15&gt;N($N26),"문의 후 6개월 지남: 다른 동의 근거 필요","OK: 이름·주소·연락처·수신거부 문구 넣기")),IF($H26="REFERRAL","소개 후 첫 메시지만 OK: 소개자 이름 + 이름·주소·연락처·수신거부 문구. 두 번째부터는 다른 동의 근거 필요",IF(AND($H26="REPLY",$D26&lt;&gt;"QUOTE",$D26&lt;&gt;"CALLBACK"),"문의에 대한 답장이 아님: EXPRESS 또는 INQUIRY 동의 필요","OK: 이름·주소·연락처·수신거부 문구 넣기")))),"")))</f>
      </c>
      <c r="N26" s="40">
        <f>IF($H26="INQUIRY",IFERROR(EDATE(INDEX('견적 Quotes'!$B$3:$B$1002,MATCH($C26,'견적 Quotes'!$A$3:$A$1002,0)),'설정 Settings'!$C$20),""),"")</f>
      </c>
    </row>
    <row r="27" spans="12:14" x14ac:dyDescent="0.25">
      <c r="L27" s="42">
        <f>IF($A27="","",IF($G27="Y","완료 DONE",IF($F27="","날짜 없음",IF($F27&lt;'설정 Settings'!$C$15,"지남 OVERDUE",IF($F27='설정 Settings'!$C$15,"오늘 TODAY","예정 OPEN")))))</f>
      </c>
      <c r="M27" s="42">
        <f>IF($A27="","",IF($I27="Y","수신거부: 문자·이메일 보내지 않기",IF(OR($E27="SMS",$E27="EMAIL"),IF(OR($H27="",$H27="NONE"),"동의 근거 없음: 전화·방문만",IF($H27="INQUIRY",IF(N($N27)=0,"견적 요청일을 못 찾음: 관련 ID에 견적 ID(Q-…)를 넣었는지 확인",IF('설정 Settings'!$C$15&gt;N($N27),"문의 후 6개월 지남: 다른 동의 근거 필요","OK: 이름·주소·연락처·수신거부 문구 넣기")),IF($H27="REFERRAL","소개 후 첫 메시지만 OK: 소개자 이름 + 이름·주소·연락처·수신거부 문구. 두 번째부터는 다른 동의 근거 필요",IF(AND($H27="REPLY",$D27&lt;&gt;"QUOTE",$D27&lt;&gt;"CALLBACK"),"문의에 대한 답장이 아님: EXPRESS 또는 INQUIRY 동의 필요","OK: 이름·주소·연락처·수신거부 문구 넣기")))),"")))</f>
      </c>
      <c r="N27" s="40">
        <f>IF($H27="INQUIRY",IFERROR(EDATE(INDEX('견적 Quotes'!$B$3:$B$1002,MATCH($C27,'견적 Quotes'!$A$3:$A$1002,0)),'설정 Settings'!$C$20),""),"")</f>
      </c>
    </row>
    <row r="28" spans="12:14" x14ac:dyDescent="0.25">
      <c r="L28" s="42">
        <f>IF($A28="","",IF($G28="Y","완료 DONE",IF($F28="","날짜 없음",IF($F28&lt;'설정 Settings'!$C$15,"지남 OVERDUE",IF($F28='설정 Settings'!$C$15,"오늘 TODAY","예정 OPEN")))))</f>
      </c>
      <c r="M28" s="42">
        <f>IF($A28="","",IF($I28="Y","수신거부: 문자·이메일 보내지 않기",IF(OR($E28="SMS",$E28="EMAIL"),IF(OR($H28="",$H28="NONE"),"동의 근거 없음: 전화·방문만",IF($H28="INQUIRY",IF(N($N28)=0,"견적 요청일을 못 찾음: 관련 ID에 견적 ID(Q-…)를 넣었는지 확인",IF('설정 Settings'!$C$15&gt;N($N28),"문의 후 6개월 지남: 다른 동의 근거 필요","OK: 이름·주소·연락처·수신거부 문구 넣기")),IF($H28="REFERRAL","소개 후 첫 메시지만 OK: 소개자 이름 + 이름·주소·연락처·수신거부 문구. 두 번째부터는 다른 동의 근거 필요",IF(AND($H28="REPLY",$D28&lt;&gt;"QUOTE",$D28&lt;&gt;"CALLBACK"),"문의에 대한 답장이 아님: EXPRESS 또는 INQUIRY 동의 필요","OK: 이름·주소·연락처·수신거부 문구 넣기")))),"")))</f>
      </c>
      <c r="N28" s="40">
        <f>IF($H28="INQUIRY",IFERROR(EDATE(INDEX('견적 Quotes'!$B$3:$B$1002,MATCH($C28,'견적 Quotes'!$A$3:$A$1002,0)),'설정 Settings'!$C$20),""),"")</f>
      </c>
    </row>
    <row r="29" spans="12:14" x14ac:dyDescent="0.25">
      <c r="L29" s="42">
        <f>IF($A29="","",IF($G29="Y","완료 DONE",IF($F29="","날짜 없음",IF($F29&lt;'설정 Settings'!$C$15,"지남 OVERDUE",IF($F29='설정 Settings'!$C$15,"오늘 TODAY","예정 OPEN")))))</f>
      </c>
      <c r="M29" s="42">
        <f>IF($A29="","",IF($I29="Y","수신거부: 문자·이메일 보내지 않기",IF(OR($E29="SMS",$E29="EMAIL"),IF(OR($H29="",$H29="NONE"),"동의 근거 없음: 전화·방문만",IF($H29="INQUIRY",IF(N($N29)=0,"견적 요청일을 못 찾음: 관련 ID에 견적 ID(Q-…)를 넣었는지 확인",IF('설정 Settings'!$C$15&gt;N($N29),"문의 후 6개월 지남: 다른 동의 근거 필요","OK: 이름·주소·연락처·수신거부 문구 넣기")),IF($H29="REFERRAL","소개 후 첫 메시지만 OK: 소개자 이름 + 이름·주소·연락처·수신거부 문구. 두 번째부터는 다른 동의 근거 필요",IF(AND($H29="REPLY",$D29&lt;&gt;"QUOTE",$D29&lt;&gt;"CALLBACK"),"문의에 대한 답장이 아님: EXPRESS 또는 INQUIRY 동의 필요","OK: 이름·주소·연락처·수신거부 문구 넣기")))),"")))</f>
      </c>
      <c r="N29" s="40">
        <f>IF($H29="INQUIRY",IFERROR(EDATE(INDEX('견적 Quotes'!$B$3:$B$1002,MATCH($C29,'견적 Quotes'!$A$3:$A$1002,0)),'설정 Settings'!$C$20),""),"")</f>
      </c>
    </row>
    <row r="30" spans="12:14" x14ac:dyDescent="0.25">
      <c r="L30" s="42">
        <f>IF($A30="","",IF($G30="Y","완료 DONE",IF($F30="","날짜 없음",IF($F30&lt;'설정 Settings'!$C$15,"지남 OVERDUE",IF($F30='설정 Settings'!$C$15,"오늘 TODAY","예정 OPEN")))))</f>
      </c>
      <c r="M30" s="42">
        <f>IF($A30="","",IF($I30="Y","수신거부: 문자·이메일 보내지 않기",IF(OR($E30="SMS",$E30="EMAIL"),IF(OR($H30="",$H30="NONE"),"동의 근거 없음: 전화·방문만",IF($H30="INQUIRY",IF(N($N30)=0,"견적 요청일을 못 찾음: 관련 ID에 견적 ID(Q-…)를 넣었는지 확인",IF('설정 Settings'!$C$15&gt;N($N30),"문의 후 6개월 지남: 다른 동의 근거 필요","OK: 이름·주소·연락처·수신거부 문구 넣기")),IF($H30="REFERRAL","소개 후 첫 메시지만 OK: 소개자 이름 + 이름·주소·연락처·수신거부 문구. 두 번째부터는 다른 동의 근거 필요",IF(AND($H30="REPLY",$D30&lt;&gt;"QUOTE",$D30&lt;&gt;"CALLBACK"),"문의에 대한 답장이 아님: EXPRESS 또는 INQUIRY 동의 필요","OK: 이름·주소·연락처·수신거부 문구 넣기")))),"")))</f>
      </c>
      <c r="N30" s="40">
        <f>IF($H30="INQUIRY",IFERROR(EDATE(INDEX('견적 Quotes'!$B$3:$B$1002,MATCH($C30,'견적 Quotes'!$A$3:$A$1002,0)),'설정 Settings'!$C$20),""),"")</f>
      </c>
    </row>
    <row r="31" spans="12:14" x14ac:dyDescent="0.25">
      <c r="L31" s="42">
        <f>IF($A31="","",IF($G31="Y","완료 DONE",IF($F31="","날짜 없음",IF($F31&lt;'설정 Settings'!$C$15,"지남 OVERDUE",IF($F31='설정 Settings'!$C$15,"오늘 TODAY","예정 OPEN")))))</f>
      </c>
      <c r="M31" s="42">
        <f>IF($A31="","",IF($I31="Y","수신거부: 문자·이메일 보내지 않기",IF(OR($E31="SMS",$E31="EMAIL"),IF(OR($H31="",$H31="NONE"),"동의 근거 없음: 전화·방문만",IF($H31="INQUIRY",IF(N($N31)=0,"견적 요청일을 못 찾음: 관련 ID에 견적 ID(Q-…)를 넣었는지 확인",IF('설정 Settings'!$C$15&gt;N($N31),"문의 후 6개월 지남: 다른 동의 근거 필요","OK: 이름·주소·연락처·수신거부 문구 넣기")),IF($H31="REFERRAL","소개 후 첫 메시지만 OK: 소개자 이름 + 이름·주소·연락처·수신거부 문구. 두 번째부터는 다른 동의 근거 필요",IF(AND($H31="REPLY",$D31&lt;&gt;"QUOTE",$D31&lt;&gt;"CALLBACK"),"문의에 대한 답장이 아님: EXPRESS 또는 INQUIRY 동의 필요","OK: 이름·주소·연락처·수신거부 문구 넣기")))),"")))</f>
      </c>
      <c r="N31" s="40">
        <f>IF($H31="INQUIRY",IFERROR(EDATE(INDEX('견적 Quotes'!$B$3:$B$1002,MATCH($C31,'견적 Quotes'!$A$3:$A$1002,0)),'설정 Settings'!$C$20),""),"")</f>
      </c>
    </row>
    <row r="32" spans="12:14" x14ac:dyDescent="0.25">
      <c r="L32" s="42">
        <f>IF($A32="","",IF($G32="Y","완료 DONE",IF($F32="","날짜 없음",IF($F32&lt;'설정 Settings'!$C$15,"지남 OVERDUE",IF($F32='설정 Settings'!$C$15,"오늘 TODAY","예정 OPEN")))))</f>
      </c>
      <c r="M32" s="42">
        <f>IF($A32="","",IF($I32="Y","수신거부: 문자·이메일 보내지 않기",IF(OR($E32="SMS",$E32="EMAIL"),IF(OR($H32="",$H32="NONE"),"동의 근거 없음: 전화·방문만",IF($H32="INQUIRY",IF(N($N32)=0,"견적 요청일을 못 찾음: 관련 ID에 견적 ID(Q-…)를 넣었는지 확인",IF('설정 Settings'!$C$15&gt;N($N32),"문의 후 6개월 지남: 다른 동의 근거 필요","OK: 이름·주소·연락처·수신거부 문구 넣기")),IF($H32="REFERRAL","소개 후 첫 메시지만 OK: 소개자 이름 + 이름·주소·연락처·수신거부 문구. 두 번째부터는 다른 동의 근거 필요",IF(AND($H32="REPLY",$D32&lt;&gt;"QUOTE",$D32&lt;&gt;"CALLBACK"),"문의에 대한 답장이 아님: EXPRESS 또는 INQUIRY 동의 필요","OK: 이름·주소·연락처·수신거부 문구 넣기")))),"")))</f>
      </c>
      <c r="N32" s="40">
        <f>IF($H32="INQUIRY",IFERROR(EDATE(INDEX('견적 Quotes'!$B$3:$B$1002,MATCH($C32,'견적 Quotes'!$A$3:$A$1002,0)),'설정 Settings'!$C$20),""),"")</f>
      </c>
    </row>
    <row r="33" spans="12:14" x14ac:dyDescent="0.25">
      <c r="L33" s="42">
        <f>IF($A33="","",IF($G33="Y","완료 DONE",IF($F33="","날짜 없음",IF($F33&lt;'설정 Settings'!$C$15,"지남 OVERDUE",IF($F33='설정 Settings'!$C$15,"오늘 TODAY","예정 OPEN")))))</f>
      </c>
      <c r="M33" s="42">
        <f>IF($A33="","",IF($I33="Y","수신거부: 문자·이메일 보내지 않기",IF(OR($E33="SMS",$E33="EMAIL"),IF(OR($H33="",$H33="NONE"),"동의 근거 없음: 전화·방문만",IF($H33="INQUIRY",IF(N($N33)=0,"견적 요청일을 못 찾음: 관련 ID에 견적 ID(Q-…)를 넣었는지 확인",IF('설정 Settings'!$C$15&gt;N($N33),"문의 후 6개월 지남: 다른 동의 근거 필요","OK: 이름·주소·연락처·수신거부 문구 넣기")),IF($H33="REFERRAL","소개 후 첫 메시지만 OK: 소개자 이름 + 이름·주소·연락처·수신거부 문구. 두 번째부터는 다른 동의 근거 필요",IF(AND($H33="REPLY",$D33&lt;&gt;"QUOTE",$D33&lt;&gt;"CALLBACK"),"문의에 대한 답장이 아님: EXPRESS 또는 INQUIRY 동의 필요","OK: 이름·주소·연락처·수신거부 문구 넣기")))),"")))</f>
      </c>
      <c r="N33" s="40">
        <f>IF($H33="INQUIRY",IFERROR(EDATE(INDEX('견적 Quotes'!$B$3:$B$1002,MATCH($C33,'견적 Quotes'!$A$3:$A$1002,0)),'설정 Settings'!$C$20),""),"")</f>
      </c>
    </row>
    <row r="34" spans="12:14" x14ac:dyDescent="0.25">
      <c r="L34" s="42">
        <f>IF($A34="","",IF($G34="Y","완료 DONE",IF($F34="","날짜 없음",IF($F34&lt;'설정 Settings'!$C$15,"지남 OVERDUE",IF($F34='설정 Settings'!$C$15,"오늘 TODAY","예정 OPEN")))))</f>
      </c>
      <c r="M34" s="42">
        <f>IF($A34="","",IF($I34="Y","수신거부: 문자·이메일 보내지 않기",IF(OR($E34="SMS",$E34="EMAIL"),IF(OR($H34="",$H34="NONE"),"동의 근거 없음: 전화·방문만",IF($H34="INQUIRY",IF(N($N34)=0,"견적 요청일을 못 찾음: 관련 ID에 견적 ID(Q-…)를 넣었는지 확인",IF('설정 Settings'!$C$15&gt;N($N34),"문의 후 6개월 지남: 다른 동의 근거 필요","OK: 이름·주소·연락처·수신거부 문구 넣기")),IF($H34="REFERRAL","소개 후 첫 메시지만 OK: 소개자 이름 + 이름·주소·연락처·수신거부 문구. 두 번째부터는 다른 동의 근거 필요",IF(AND($H34="REPLY",$D34&lt;&gt;"QUOTE",$D34&lt;&gt;"CALLBACK"),"문의에 대한 답장이 아님: EXPRESS 또는 INQUIRY 동의 필요","OK: 이름·주소·연락처·수신거부 문구 넣기")))),"")))</f>
      </c>
      <c r="N34" s="40">
        <f>IF($H34="INQUIRY",IFERROR(EDATE(INDEX('견적 Quotes'!$B$3:$B$1002,MATCH($C34,'견적 Quotes'!$A$3:$A$1002,0)),'설정 Settings'!$C$20),""),"")</f>
      </c>
    </row>
    <row r="35" spans="12:14" x14ac:dyDescent="0.25">
      <c r="L35" s="42">
        <f>IF($A35="","",IF($G35="Y","완료 DONE",IF($F35="","날짜 없음",IF($F35&lt;'설정 Settings'!$C$15,"지남 OVERDUE",IF($F35='설정 Settings'!$C$15,"오늘 TODAY","예정 OPEN")))))</f>
      </c>
      <c r="M35" s="42">
        <f>IF($A35="","",IF($I35="Y","수신거부: 문자·이메일 보내지 않기",IF(OR($E35="SMS",$E35="EMAIL"),IF(OR($H35="",$H35="NONE"),"동의 근거 없음: 전화·방문만",IF($H35="INQUIRY",IF(N($N35)=0,"견적 요청일을 못 찾음: 관련 ID에 견적 ID(Q-…)를 넣었는지 확인",IF('설정 Settings'!$C$15&gt;N($N35),"문의 후 6개월 지남: 다른 동의 근거 필요","OK: 이름·주소·연락처·수신거부 문구 넣기")),IF($H35="REFERRAL","소개 후 첫 메시지만 OK: 소개자 이름 + 이름·주소·연락처·수신거부 문구. 두 번째부터는 다른 동의 근거 필요",IF(AND($H35="REPLY",$D35&lt;&gt;"QUOTE",$D35&lt;&gt;"CALLBACK"),"문의에 대한 답장이 아님: EXPRESS 또는 INQUIRY 동의 필요","OK: 이름·주소·연락처·수신거부 문구 넣기")))),"")))</f>
      </c>
      <c r="N35" s="40">
        <f>IF($H35="INQUIRY",IFERROR(EDATE(INDEX('견적 Quotes'!$B$3:$B$1002,MATCH($C35,'견적 Quotes'!$A$3:$A$1002,0)),'설정 Settings'!$C$20),""),"")</f>
      </c>
    </row>
    <row r="36" spans="12:14" x14ac:dyDescent="0.25">
      <c r="L36" s="42">
        <f>IF($A36="","",IF($G36="Y","완료 DONE",IF($F36="","날짜 없음",IF($F36&lt;'설정 Settings'!$C$15,"지남 OVERDUE",IF($F36='설정 Settings'!$C$15,"오늘 TODAY","예정 OPEN")))))</f>
      </c>
      <c r="M36" s="42">
        <f>IF($A36="","",IF($I36="Y","수신거부: 문자·이메일 보내지 않기",IF(OR($E36="SMS",$E36="EMAIL"),IF(OR($H36="",$H36="NONE"),"동의 근거 없음: 전화·방문만",IF($H36="INQUIRY",IF(N($N36)=0,"견적 요청일을 못 찾음: 관련 ID에 견적 ID(Q-…)를 넣었는지 확인",IF('설정 Settings'!$C$15&gt;N($N36),"문의 후 6개월 지남: 다른 동의 근거 필요","OK: 이름·주소·연락처·수신거부 문구 넣기")),IF($H36="REFERRAL","소개 후 첫 메시지만 OK: 소개자 이름 + 이름·주소·연락처·수신거부 문구. 두 번째부터는 다른 동의 근거 필요",IF(AND($H36="REPLY",$D36&lt;&gt;"QUOTE",$D36&lt;&gt;"CALLBACK"),"문의에 대한 답장이 아님: EXPRESS 또는 INQUIRY 동의 필요","OK: 이름·주소·연락처·수신거부 문구 넣기")))),"")))</f>
      </c>
      <c r="N36" s="40">
        <f>IF($H36="INQUIRY",IFERROR(EDATE(INDEX('견적 Quotes'!$B$3:$B$1002,MATCH($C36,'견적 Quotes'!$A$3:$A$1002,0)),'설정 Settings'!$C$20),""),"")</f>
      </c>
    </row>
    <row r="37" spans="12:14" x14ac:dyDescent="0.25">
      <c r="L37" s="42">
        <f>IF($A37="","",IF($G37="Y","완료 DONE",IF($F37="","날짜 없음",IF($F37&lt;'설정 Settings'!$C$15,"지남 OVERDUE",IF($F37='설정 Settings'!$C$15,"오늘 TODAY","예정 OPEN")))))</f>
      </c>
      <c r="M37" s="42">
        <f>IF($A37="","",IF($I37="Y","수신거부: 문자·이메일 보내지 않기",IF(OR($E37="SMS",$E37="EMAIL"),IF(OR($H37="",$H37="NONE"),"동의 근거 없음: 전화·방문만",IF($H37="INQUIRY",IF(N($N37)=0,"견적 요청일을 못 찾음: 관련 ID에 견적 ID(Q-…)를 넣었는지 확인",IF('설정 Settings'!$C$15&gt;N($N37),"문의 후 6개월 지남: 다른 동의 근거 필요","OK: 이름·주소·연락처·수신거부 문구 넣기")),IF($H37="REFERRAL","소개 후 첫 메시지만 OK: 소개자 이름 + 이름·주소·연락처·수신거부 문구. 두 번째부터는 다른 동의 근거 필요",IF(AND($H37="REPLY",$D37&lt;&gt;"QUOTE",$D37&lt;&gt;"CALLBACK"),"문의에 대한 답장이 아님: EXPRESS 또는 INQUIRY 동의 필요","OK: 이름·주소·연락처·수신거부 문구 넣기")))),"")))</f>
      </c>
      <c r="N37" s="40">
        <f>IF($H37="INQUIRY",IFERROR(EDATE(INDEX('견적 Quotes'!$B$3:$B$1002,MATCH($C37,'견적 Quotes'!$A$3:$A$1002,0)),'설정 Settings'!$C$20),""),"")</f>
      </c>
    </row>
    <row r="38" spans="12:14" x14ac:dyDescent="0.25">
      <c r="L38" s="42">
        <f>IF($A38="","",IF($G38="Y","완료 DONE",IF($F38="","날짜 없음",IF($F38&lt;'설정 Settings'!$C$15,"지남 OVERDUE",IF($F38='설정 Settings'!$C$15,"오늘 TODAY","예정 OPEN")))))</f>
      </c>
      <c r="M38" s="42">
        <f>IF($A38="","",IF($I38="Y","수신거부: 문자·이메일 보내지 않기",IF(OR($E38="SMS",$E38="EMAIL"),IF(OR($H38="",$H38="NONE"),"동의 근거 없음: 전화·방문만",IF($H38="INQUIRY",IF(N($N38)=0,"견적 요청일을 못 찾음: 관련 ID에 견적 ID(Q-…)를 넣었는지 확인",IF('설정 Settings'!$C$15&gt;N($N38),"문의 후 6개월 지남: 다른 동의 근거 필요","OK: 이름·주소·연락처·수신거부 문구 넣기")),IF($H38="REFERRAL","소개 후 첫 메시지만 OK: 소개자 이름 + 이름·주소·연락처·수신거부 문구. 두 번째부터는 다른 동의 근거 필요",IF(AND($H38="REPLY",$D38&lt;&gt;"QUOTE",$D38&lt;&gt;"CALLBACK"),"문의에 대한 답장이 아님: EXPRESS 또는 INQUIRY 동의 필요","OK: 이름·주소·연락처·수신거부 문구 넣기")))),"")))</f>
      </c>
      <c r="N38" s="40">
        <f>IF($H38="INQUIRY",IFERROR(EDATE(INDEX('견적 Quotes'!$B$3:$B$1002,MATCH($C38,'견적 Quotes'!$A$3:$A$1002,0)),'설정 Settings'!$C$20),""),"")</f>
      </c>
    </row>
    <row r="39" spans="12:14" x14ac:dyDescent="0.25">
      <c r="L39" s="42">
        <f>IF($A39="","",IF($G39="Y","완료 DONE",IF($F39="","날짜 없음",IF($F39&lt;'설정 Settings'!$C$15,"지남 OVERDUE",IF($F39='설정 Settings'!$C$15,"오늘 TODAY","예정 OPEN")))))</f>
      </c>
      <c r="M39" s="42">
        <f>IF($A39="","",IF($I39="Y","수신거부: 문자·이메일 보내지 않기",IF(OR($E39="SMS",$E39="EMAIL"),IF(OR($H39="",$H39="NONE"),"동의 근거 없음: 전화·방문만",IF($H39="INQUIRY",IF(N($N39)=0,"견적 요청일을 못 찾음: 관련 ID에 견적 ID(Q-…)를 넣었는지 확인",IF('설정 Settings'!$C$15&gt;N($N39),"문의 후 6개월 지남: 다른 동의 근거 필요","OK: 이름·주소·연락처·수신거부 문구 넣기")),IF($H39="REFERRAL","소개 후 첫 메시지만 OK: 소개자 이름 + 이름·주소·연락처·수신거부 문구. 두 번째부터는 다른 동의 근거 필요",IF(AND($H39="REPLY",$D39&lt;&gt;"QUOTE",$D39&lt;&gt;"CALLBACK"),"문의에 대한 답장이 아님: EXPRESS 또는 INQUIRY 동의 필요","OK: 이름·주소·연락처·수신거부 문구 넣기")))),"")))</f>
      </c>
      <c r="N39" s="40">
        <f>IF($H39="INQUIRY",IFERROR(EDATE(INDEX('견적 Quotes'!$B$3:$B$1002,MATCH($C39,'견적 Quotes'!$A$3:$A$1002,0)),'설정 Settings'!$C$20),""),"")</f>
      </c>
    </row>
    <row r="40" spans="12:14" x14ac:dyDescent="0.25">
      <c r="L40" s="42">
        <f>IF($A40="","",IF($G40="Y","완료 DONE",IF($F40="","날짜 없음",IF($F40&lt;'설정 Settings'!$C$15,"지남 OVERDUE",IF($F40='설정 Settings'!$C$15,"오늘 TODAY","예정 OPEN")))))</f>
      </c>
      <c r="M40" s="42">
        <f>IF($A40="","",IF($I40="Y","수신거부: 문자·이메일 보내지 않기",IF(OR($E40="SMS",$E40="EMAIL"),IF(OR($H40="",$H40="NONE"),"동의 근거 없음: 전화·방문만",IF($H40="INQUIRY",IF(N($N40)=0,"견적 요청일을 못 찾음: 관련 ID에 견적 ID(Q-…)를 넣었는지 확인",IF('설정 Settings'!$C$15&gt;N($N40),"문의 후 6개월 지남: 다른 동의 근거 필요","OK: 이름·주소·연락처·수신거부 문구 넣기")),IF($H40="REFERRAL","소개 후 첫 메시지만 OK: 소개자 이름 + 이름·주소·연락처·수신거부 문구. 두 번째부터는 다른 동의 근거 필요",IF(AND($H40="REPLY",$D40&lt;&gt;"QUOTE",$D40&lt;&gt;"CALLBACK"),"문의에 대한 답장이 아님: EXPRESS 또는 INQUIRY 동의 필요","OK: 이름·주소·연락처·수신거부 문구 넣기")))),"")))</f>
      </c>
      <c r="N40" s="40">
        <f>IF($H40="INQUIRY",IFERROR(EDATE(INDEX('견적 Quotes'!$B$3:$B$1002,MATCH($C40,'견적 Quotes'!$A$3:$A$1002,0)),'설정 Settings'!$C$20),""),"")</f>
      </c>
    </row>
    <row r="41" spans="12:14" x14ac:dyDescent="0.25">
      <c r="L41" s="42">
        <f>IF($A41="","",IF($G41="Y","완료 DONE",IF($F41="","날짜 없음",IF($F41&lt;'설정 Settings'!$C$15,"지남 OVERDUE",IF($F41='설정 Settings'!$C$15,"오늘 TODAY","예정 OPEN")))))</f>
      </c>
      <c r="M41" s="42">
        <f>IF($A41="","",IF($I41="Y","수신거부: 문자·이메일 보내지 않기",IF(OR($E41="SMS",$E41="EMAIL"),IF(OR($H41="",$H41="NONE"),"동의 근거 없음: 전화·방문만",IF($H41="INQUIRY",IF(N($N41)=0,"견적 요청일을 못 찾음: 관련 ID에 견적 ID(Q-…)를 넣었는지 확인",IF('설정 Settings'!$C$15&gt;N($N41),"문의 후 6개월 지남: 다른 동의 근거 필요","OK: 이름·주소·연락처·수신거부 문구 넣기")),IF($H41="REFERRAL","소개 후 첫 메시지만 OK: 소개자 이름 + 이름·주소·연락처·수신거부 문구. 두 번째부터는 다른 동의 근거 필요",IF(AND($H41="REPLY",$D41&lt;&gt;"QUOTE",$D41&lt;&gt;"CALLBACK"),"문의에 대한 답장이 아님: EXPRESS 또는 INQUIRY 동의 필요","OK: 이름·주소·연락처·수신거부 문구 넣기")))),"")))</f>
      </c>
      <c r="N41" s="40">
        <f>IF($H41="INQUIRY",IFERROR(EDATE(INDEX('견적 Quotes'!$B$3:$B$1002,MATCH($C41,'견적 Quotes'!$A$3:$A$1002,0)),'설정 Settings'!$C$20),""),"")</f>
      </c>
    </row>
    <row r="42" spans="12:14" x14ac:dyDescent="0.25">
      <c r="L42" s="42">
        <f>IF($A42="","",IF($G42="Y","완료 DONE",IF($F42="","날짜 없음",IF($F42&lt;'설정 Settings'!$C$15,"지남 OVERDUE",IF($F42='설정 Settings'!$C$15,"오늘 TODAY","예정 OPEN")))))</f>
      </c>
      <c r="M42" s="42">
        <f>IF($A42="","",IF($I42="Y","수신거부: 문자·이메일 보내지 않기",IF(OR($E42="SMS",$E42="EMAIL"),IF(OR($H42="",$H42="NONE"),"동의 근거 없음: 전화·방문만",IF($H42="INQUIRY",IF(N($N42)=0,"견적 요청일을 못 찾음: 관련 ID에 견적 ID(Q-…)를 넣었는지 확인",IF('설정 Settings'!$C$15&gt;N($N42),"문의 후 6개월 지남: 다른 동의 근거 필요","OK: 이름·주소·연락처·수신거부 문구 넣기")),IF($H42="REFERRAL","소개 후 첫 메시지만 OK: 소개자 이름 + 이름·주소·연락처·수신거부 문구. 두 번째부터는 다른 동의 근거 필요",IF(AND($H42="REPLY",$D42&lt;&gt;"QUOTE",$D42&lt;&gt;"CALLBACK"),"문의에 대한 답장이 아님: EXPRESS 또는 INQUIRY 동의 필요","OK: 이름·주소·연락처·수신거부 문구 넣기")))),"")))</f>
      </c>
      <c r="N42" s="40">
        <f>IF($H42="INQUIRY",IFERROR(EDATE(INDEX('견적 Quotes'!$B$3:$B$1002,MATCH($C42,'견적 Quotes'!$A$3:$A$1002,0)),'설정 Settings'!$C$20),""),"")</f>
      </c>
    </row>
    <row r="43" spans="12:14" x14ac:dyDescent="0.25">
      <c r="L43" s="42">
        <f>IF($A43="","",IF($G43="Y","완료 DONE",IF($F43="","날짜 없음",IF($F43&lt;'설정 Settings'!$C$15,"지남 OVERDUE",IF($F43='설정 Settings'!$C$15,"오늘 TODAY","예정 OPEN")))))</f>
      </c>
      <c r="M43" s="42">
        <f>IF($A43="","",IF($I43="Y","수신거부: 문자·이메일 보내지 않기",IF(OR($E43="SMS",$E43="EMAIL"),IF(OR($H43="",$H43="NONE"),"동의 근거 없음: 전화·방문만",IF($H43="INQUIRY",IF(N($N43)=0,"견적 요청일을 못 찾음: 관련 ID에 견적 ID(Q-…)를 넣었는지 확인",IF('설정 Settings'!$C$15&gt;N($N43),"문의 후 6개월 지남: 다른 동의 근거 필요","OK: 이름·주소·연락처·수신거부 문구 넣기")),IF($H43="REFERRAL","소개 후 첫 메시지만 OK: 소개자 이름 + 이름·주소·연락처·수신거부 문구. 두 번째부터는 다른 동의 근거 필요",IF(AND($H43="REPLY",$D43&lt;&gt;"QUOTE",$D43&lt;&gt;"CALLBACK"),"문의에 대한 답장이 아님: EXPRESS 또는 INQUIRY 동의 필요","OK: 이름·주소·연락처·수신거부 문구 넣기")))),"")))</f>
      </c>
      <c r="N43" s="40">
        <f>IF($H43="INQUIRY",IFERROR(EDATE(INDEX('견적 Quotes'!$B$3:$B$1002,MATCH($C43,'견적 Quotes'!$A$3:$A$1002,0)),'설정 Settings'!$C$20),""),"")</f>
      </c>
    </row>
    <row r="44" spans="12:14" x14ac:dyDescent="0.25">
      <c r="L44" s="42">
        <f>IF($A44="","",IF($G44="Y","완료 DONE",IF($F44="","날짜 없음",IF($F44&lt;'설정 Settings'!$C$15,"지남 OVERDUE",IF($F44='설정 Settings'!$C$15,"오늘 TODAY","예정 OPEN")))))</f>
      </c>
      <c r="M44" s="42">
        <f>IF($A44="","",IF($I44="Y","수신거부: 문자·이메일 보내지 않기",IF(OR($E44="SMS",$E44="EMAIL"),IF(OR($H44="",$H44="NONE"),"동의 근거 없음: 전화·방문만",IF($H44="INQUIRY",IF(N($N44)=0,"견적 요청일을 못 찾음: 관련 ID에 견적 ID(Q-…)를 넣었는지 확인",IF('설정 Settings'!$C$15&gt;N($N44),"문의 후 6개월 지남: 다른 동의 근거 필요","OK: 이름·주소·연락처·수신거부 문구 넣기")),IF($H44="REFERRAL","소개 후 첫 메시지만 OK: 소개자 이름 + 이름·주소·연락처·수신거부 문구. 두 번째부터는 다른 동의 근거 필요",IF(AND($H44="REPLY",$D44&lt;&gt;"QUOTE",$D44&lt;&gt;"CALLBACK"),"문의에 대한 답장이 아님: EXPRESS 또는 INQUIRY 동의 필요","OK: 이름·주소·연락처·수신거부 문구 넣기")))),"")))</f>
      </c>
      <c r="N44" s="40">
        <f>IF($H44="INQUIRY",IFERROR(EDATE(INDEX('견적 Quotes'!$B$3:$B$1002,MATCH($C44,'견적 Quotes'!$A$3:$A$1002,0)),'설정 Settings'!$C$20),""),"")</f>
      </c>
    </row>
    <row r="45" spans="12:14" x14ac:dyDescent="0.25">
      <c r="L45" s="42">
        <f>IF($A45="","",IF($G45="Y","완료 DONE",IF($F45="","날짜 없음",IF($F45&lt;'설정 Settings'!$C$15,"지남 OVERDUE",IF($F45='설정 Settings'!$C$15,"오늘 TODAY","예정 OPEN")))))</f>
      </c>
      <c r="M45" s="42">
        <f>IF($A45="","",IF($I45="Y","수신거부: 문자·이메일 보내지 않기",IF(OR($E45="SMS",$E45="EMAIL"),IF(OR($H45="",$H45="NONE"),"동의 근거 없음: 전화·방문만",IF($H45="INQUIRY",IF(N($N45)=0,"견적 요청일을 못 찾음: 관련 ID에 견적 ID(Q-…)를 넣었는지 확인",IF('설정 Settings'!$C$15&gt;N($N45),"문의 후 6개월 지남: 다른 동의 근거 필요","OK: 이름·주소·연락처·수신거부 문구 넣기")),IF($H45="REFERRAL","소개 후 첫 메시지만 OK: 소개자 이름 + 이름·주소·연락처·수신거부 문구. 두 번째부터는 다른 동의 근거 필요",IF(AND($H45="REPLY",$D45&lt;&gt;"QUOTE",$D45&lt;&gt;"CALLBACK"),"문의에 대한 답장이 아님: EXPRESS 또는 INQUIRY 동의 필요","OK: 이름·주소·연락처·수신거부 문구 넣기")))),"")))</f>
      </c>
      <c r="N45" s="40">
        <f>IF($H45="INQUIRY",IFERROR(EDATE(INDEX('견적 Quotes'!$B$3:$B$1002,MATCH($C45,'견적 Quotes'!$A$3:$A$1002,0)),'설정 Settings'!$C$20),""),"")</f>
      </c>
    </row>
    <row r="46" spans="12:14" x14ac:dyDescent="0.25">
      <c r="L46" s="42">
        <f>IF($A46="","",IF($G46="Y","완료 DONE",IF($F46="","날짜 없음",IF($F46&lt;'설정 Settings'!$C$15,"지남 OVERDUE",IF($F46='설정 Settings'!$C$15,"오늘 TODAY","예정 OPEN")))))</f>
      </c>
      <c r="M46" s="42">
        <f>IF($A46="","",IF($I46="Y","수신거부: 문자·이메일 보내지 않기",IF(OR($E46="SMS",$E46="EMAIL"),IF(OR($H46="",$H46="NONE"),"동의 근거 없음: 전화·방문만",IF($H46="INQUIRY",IF(N($N46)=0,"견적 요청일을 못 찾음: 관련 ID에 견적 ID(Q-…)를 넣었는지 확인",IF('설정 Settings'!$C$15&gt;N($N46),"문의 후 6개월 지남: 다른 동의 근거 필요","OK: 이름·주소·연락처·수신거부 문구 넣기")),IF($H46="REFERRAL","소개 후 첫 메시지만 OK: 소개자 이름 + 이름·주소·연락처·수신거부 문구. 두 번째부터는 다른 동의 근거 필요",IF(AND($H46="REPLY",$D46&lt;&gt;"QUOTE",$D46&lt;&gt;"CALLBACK"),"문의에 대한 답장이 아님: EXPRESS 또는 INQUIRY 동의 필요","OK: 이름·주소·연락처·수신거부 문구 넣기")))),"")))</f>
      </c>
      <c r="N46" s="40">
        <f>IF($H46="INQUIRY",IFERROR(EDATE(INDEX('견적 Quotes'!$B$3:$B$1002,MATCH($C46,'견적 Quotes'!$A$3:$A$1002,0)),'설정 Settings'!$C$20),""),"")</f>
      </c>
    </row>
    <row r="47" spans="12:14" x14ac:dyDescent="0.25">
      <c r="L47" s="42">
        <f>IF($A47="","",IF($G47="Y","완료 DONE",IF($F47="","날짜 없음",IF($F47&lt;'설정 Settings'!$C$15,"지남 OVERDUE",IF($F47='설정 Settings'!$C$15,"오늘 TODAY","예정 OPEN")))))</f>
      </c>
      <c r="M47" s="42">
        <f>IF($A47="","",IF($I47="Y","수신거부: 문자·이메일 보내지 않기",IF(OR($E47="SMS",$E47="EMAIL"),IF(OR($H47="",$H47="NONE"),"동의 근거 없음: 전화·방문만",IF($H47="INQUIRY",IF(N($N47)=0,"견적 요청일을 못 찾음: 관련 ID에 견적 ID(Q-…)를 넣었는지 확인",IF('설정 Settings'!$C$15&gt;N($N47),"문의 후 6개월 지남: 다른 동의 근거 필요","OK: 이름·주소·연락처·수신거부 문구 넣기")),IF($H47="REFERRAL","소개 후 첫 메시지만 OK: 소개자 이름 + 이름·주소·연락처·수신거부 문구. 두 번째부터는 다른 동의 근거 필요",IF(AND($H47="REPLY",$D47&lt;&gt;"QUOTE",$D47&lt;&gt;"CALLBACK"),"문의에 대한 답장이 아님: EXPRESS 또는 INQUIRY 동의 필요","OK: 이름·주소·연락처·수신거부 문구 넣기")))),"")))</f>
      </c>
      <c r="N47" s="40">
        <f>IF($H47="INQUIRY",IFERROR(EDATE(INDEX('견적 Quotes'!$B$3:$B$1002,MATCH($C47,'견적 Quotes'!$A$3:$A$1002,0)),'설정 Settings'!$C$20),""),"")</f>
      </c>
    </row>
    <row r="48" spans="12:14" x14ac:dyDescent="0.25">
      <c r="L48" s="42">
        <f>IF($A48="","",IF($G48="Y","완료 DONE",IF($F48="","날짜 없음",IF($F48&lt;'설정 Settings'!$C$15,"지남 OVERDUE",IF($F48='설정 Settings'!$C$15,"오늘 TODAY","예정 OPEN")))))</f>
      </c>
      <c r="M48" s="42">
        <f>IF($A48="","",IF($I48="Y","수신거부: 문자·이메일 보내지 않기",IF(OR($E48="SMS",$E48="EMAIL"),IF(OR($H48="",$H48="NONE"),"동의 근거 없음: 전화·방문만",IF($H48="INQUIRY",IF(N($N48)=0,"견적 요청일을 못 찾음: 관련 ID에 견적 ID(Q-…)를 넣었는지 확인",IF('설정 Settings'!$C$15&gt;N($N48),"문의 후 6개월 지남: 다른 동의 근거 필요","OK: 이름·주소·연락처·수신거부 문구 넣기")),IF($H48="REFERRAL","소개 후 첫 메시지만 OK: 소개자 이름 + 이름·주소·연락처·수신거부 문구. 두 번째부터는 다른 동의 근거 필요",IF(AND($H48="REPLY",$D48&lt;&gt;"QUOTE",$D48&lt;&gt;"CALLBACK"),"문의에 대한 답장이 아님: EXPRESS 또는 INQUIRY 동의 필요","OK: 이름·주소·연락처·수신거부 문구 넣기")))),"")))</f>
      </c>
      <c r="N48" s="40">
        <f>IF($H48="INQUIRY",IFERROR(EDATE(INDEX('견적 Quotes'!$B$3:$B$1002,MATCH($C48,'견적 Quotes'!$A$3:$A$1002,0)),'설정 Settings'!$C$20),""),"")</f>
      </c>
    </row>
    <row r="49" spans="12:14" x14ac:dyDescent="0.25">
      <c r="L49" s="42">
        <f>IF($A49="","",IF($G49="Y","완료 DONE",IF($F49="","날짜 없음",IF($F49&lt;'설정 Settings'!$C$15,"지남 OVERDUE",IF($F49='설정 Settings'!$C$15,"오늘 TODAY","예정 OPEN")))))</f>
      </c>
      <c r="M49" s="42">
        <f>IF($A49="","",IF($I49="Y","수신거부: 문자·이메일 보내지 않기",IF(OR($E49="SMS",$E49="EMAIL"),IF(OR($H49="",$H49="NONE"),"동의 근거 없음: 전화·방문만",IF($H49="INQUIRY",IF(N($N49)=0,"견적 요청일을 못 찾음: 관련 ID에 견적 ID(Q-…)를 넣었는지 확인",IF('설정 Settings'!$C$15&gt;N($N49),"문의 후 6개월 지남: 다른 동의 근거 필요","OK: 이름·주소·연락처·수신거부 문구 넣기")),IF($H49="REFERRAL","소개 후 첫 메시지만 OK: 소개자 이름 + 이름·주소·연락처·수신거부 문구. 두 번째부터는 다른 동의 근거 필요",IF(AND($H49="REPLY",$D49&lt;&gt;"QUOTE",$D49&lt;&gt;"CALLBACK"),"문의에 대한 답장이 아님: EXPRESS 또는 INQUIRY 동의 필요","OK: 이름·주소·연락처·수신거부 문구 넣기")))),"")))</f>
      </c>
      <c r="N49" s="40">
        <f>IF($H49="INQUIRY",IFERROR(EDATE(INDEX('견적 Quotes'!$B$3:$B$1002,MATCH($C49,'견적 Quotes'!$A$3:$A$1002,0)),'설정 Settings'!$C$20),""),"")</f>
      </c>
    </row>
    <row r="50" spans="12:14" x14ac:dyDescent="0.25">
      <c r="L50" s="42">
        <f>IF($A50="","",IF($G50="Y","완료 DONE",IF($F50="","날짜 없음",IF($F50&lt;'설정 Settings'!$C$15,"지남 OVERDUE",IF($F50='설정 Settings'!$C$15,"오늘 TODAY","예정 OPEN")))))</f>
      </c>
      <c r="M50" s="42">
        <f>IF($A50="","",IF($I50="Y","수신거부: 문자·이메일 보내지 않기",IF(OR($E50="SMS",$E50="EMAIL"),IF(OR($H50="",$H50="NONE"),"동의 근거 없음: 전화·방문만",IF($H50="INQUIRY",IF(N($N50)=0,"견적 요청일을 못 찾음: 관련 ID에 견적 ID(Q-…)를 넣었는지 확인",IF('설정 Settings'!$C$15&gt;N($N50),"문의 후 6개월 지남: 다른 동의 근거 필요","OK: 이름·주소·연락처·수신거부 문구 넣기")),IF($H50="REFERRAL","소개 후 첫 메시지만 OK: 소개자 이름 + 이름·주소·연락처·수신거부 문구. 두 번째부터는 다른 동의 근거 필요",IF(AND($H50="REPLY",$D50&lt;&gt;"QUOTE",$D50&lt;&gt;"CALLBACK"),"문의에 대한 답장이 아님: EXPRESS 또는 INQUIRY 동의 필요","OK: 이름·주소·연락처·수신거부 문구 넣기")))),"")))</f>
      </c>
      <c r="N50" s="40">
        <f>IF($H50="INQUIRY",IFERROR(EDATE(INDEX('견적 Quotes'!$B$3:$B$1002,MATCH($C50,'견적 Quotes'!$A$3:$A$1002,0)),'설정 Settings'!$C$20),""),"")</f>
      </c>
    </row>
    <row r="51" spans="12:14" x14ac:dyDescent="0.25">
      <c r="L51" s="42">
        <f>IF($A51="","",IF($G51="Y","완료 DONE",IF($F51="","날짜 없음",IF($F51&lt;'설정 Settings'!$C$15,"지남 OVERDUE",IF($F51='설정 Settings'!$C$15,"오늘 TODAY","예정 OPEN")))))</f>
      </c>
      <c r="M51" s="42">
        <f>IF($A51="","",IF($I51="Y","수신거부: 문자·이메일 보내지 않기",IF(OR($E51="SMS",$E51="EMAIL"),IF(OR($H51="",$H51="NONE"),"동의 근거 없음: 전화·방문만",IF($H51="INQUIRY",IF(N($N51)=0,"견적 요청일을 못 찾음: 관련 ID에 견적 ID(Q-…)를 넣었는지 확인",IF('설정 Settings'!$C$15&gt;N($N51),"문의 후 6개월 지남: 다른 동의 근거 필요","OK: 이름·주소·연락처·수신거부 문구 넣기")),IF($H51="REFERRAL","소개 후 첫 메시지만 OK: 소개자 이름 + 이름·주소·연락처·수신거부 문구. 두 번째부터는 다른 동의 근거 필요",IF(AND($H51="REPLY",$D51&lt;&gt;"QUOTE",$D51&lt;&gt;"CALLBACK"),"문의에 대한 답장이 아님: EXPRESS 또는 INQUIRY 동의 필요","OK: 이름·주소·연락처·수신거부 문구 넣기")))),"")))</f>
      </c>
      <c r="N51" s="40">
        <f>IF($H51="INQUIRY",IFERROR(EDATE(INDEX('견적 Quotes'!$B$3:$B$1002,MATCH($C51,'견적 Quotes'!$A$3:$A$1002,0)),'설정 Settings'!$C$20),""),"")</f>
      </c>
    </row>
    <row r="52" spans="12:14" x14ac:dyDescent="0.25">
      <c r="L52" s="42">
        <f>IF($A52="","",IF($G52="Y","완료 DONE",IF($F52="","날짜 없음",IF($F52&lt;'설정 Settings'!$C$15,"지남 OVERDUE",IF($F52='설정 Settings'!$C$15,"오늘 TODAY","예정 OPEN")))))</f>
      </c>
      <c r="M52" s="42">
        <f>IF($A52="","",IF($I52="Y","수신거부: 문자·이메일 보내지 않기",IF(OR($E52="SMS",$E52="EMAIL"),IF(OR($H52="",$H52="NONE"),"동의 근거 없음: 전화·방문만",IF($H52="INQUIRY",IF(N($N52)=0,"견적 요청일을 못 찾음: 관련 ID에 견적 ID(Q-…)를 넣었는지 확인",IF('설정 Settings'!$C$15&gt;N($N52),"문의 후 6개월 지남: 다른 동의 근거 필요","OK: 이름·주소·연락처·수신거부 문구 넣기")),IF($H52="REFERRAL","소개 후 첫 메시지만 OK: 소개자 이름 + 이름·주소·연락처·수신거부 문구. 두 번째부터는 다른 동의 근거 필요",IF(AND($H52="REPLY",$D52&lt;&gt;"QUOTE",$D52&lt;&gt;"CALLBACK"),"문의에 대한 답장이 아님: EXPRESS 또는 INQUIRY 동의 필요","OK: 이름·주소·연락처·수신거부 문구 넣기")))),"")))</f>
      </c>
      <c r="N52" s="40">
        <f>IF($H52="INQUIRY",IFERROR(EDATE(INDEX('견적 Quotes'!$B$3:$B$1002,MATCH($C52,'견적 Quotes'!$A$3:$A$1002,0)),'설정 Settings'!$C$20),""),"")</f>
      </c>
    </row>
    <row r="53" spans="12:14" x14ac:dyDescent="0.25">
      <c r="L53" s="42">
        <f>IF($A53="","",IF($G53="Y","완료 DONE",IF($F53="","날짜 없음",IF($F53&lt;'설정 Settings'!$C$15,"지남 OVERDUE",IF($F53='설정 Settings'!$C$15,"오늘 TODAY","예정 OPEN")))))</f>
      </c>
      <c r="M53" s="42">
        <f>IF($A53="","",IF($I53="Y","수신거부: 문자·이메일 보내지 않기",IF(OR($E53="SMS",$E53="EMAIL"),IF(OR($H53="",$H53="NONE"),"동의 근거 없음: 전화·방문만",IF($H53="INQUIRY",IF(N($N53)=0,"견적 요청일을 못 찾음: 관련 ID에 견적 ID(Q-…)를 넣었는지 확인",IF('설정 Settings'!$C$15&gt;N($N53),"문의 후 6개월 지남: 다른 동의 근거 필요","OK: 이름·주소·연락처·수신거부 문구 넣기")),IF($H53="REFERRAL","소개 후 첫 메시지만 OK: 소개자 이름 + 이름·주소·연락처·수신거부 문구. 두 번째부터는 다른 동의 근거 필요",IF(AND($H53="REPLY",$D53&lt;&gt;"QUOTE",$D53&lt;&gt;"CALLBACK"),"문의에 대한 답장이 아님: EXPRESS 또는 INQUIRY 동의 필요","OK: 이름·주소·연락처·수신거부 문구 넣기")))),"")))</f>
      </c>
      <c r="N53" s="40">
        <f>IF($H53="INQUIRY",IFERROR(EDATE(INDEX('견적 Quotes'!$B$3:$B$1002,MATCH($C53,'견적 Quotes'!$A$3:$A$1002,0)),'설정 Settings'!$C$20),""),"")</f>
      </c>
    </row>
    <row r="54" spans="12:14" x14ac:dyDescent="0.25">
      <c r="L54" s="42">
        <f>IF($A54="","",IF($G54="Y","완료 DONE",IF($F54="","날짜 없음",IF($F54&lt;'설정 Settings'!$C$15,"지남 OVERDUE",IF($F54='설정 Settings'!$C$15,"오늘 TODAY","예정 OPEN")))))</f>
      </c>
      <c r="M54" s="42">
        <f>IF($A54="","",IF($I54="Y","수신거부: 문자·이메일 보내지 않기",IF(OR($E54="SMS",$E54="EMAIL"),IF(OR($H54="",$H54="NONE"),"동의 근거 없음: 전화·방문만",IF($H54="INQUIRY",IF(N($N54)=0,"견적 요청일을 못 찾음: 관련 ID에 견적 ID(Q-…)를 넣었는지 확인",IF('설정 Settings'!$C$15&gt;N($N54),"문의 후 6개월 지남: 다른 동의 근거 필요","OK: 이름·주소·연락처·수신거부 문구 넣기")),IF($H54="REFERRAL","소개 후 첫 메시지만 OK: 소개자 이름 + 이름·주소·연락처·수신거부 문구. 두 번째부터는 다른 동의 근거 필요",IF(AND($H54="REPLY",$D54&lt;&gt;"QUOTE",$D54&lt;&gt;"CALLBACK"),"문의에 대한 답장이 아님: EXPRESS 또는 INQUIRY 동의 필요","OK: 이름·주소·연락처·수신거부 문구 넣기")))),"")))</f>
      </c>
      <c r="N54" s="40">
        <f>IF($H54="INQUIRY",IFERROR(EDATE(INDEX('견적 Quotes'!$B$3:$B$1002,MATCH($C54,'견적 Quotes'!$A$3:$A$1002,0)),'설정 Settings'!$C$20),""),"")</f>
      </c>
    </row>
    <row r="55" spans="12:14" x14ac:dyDescent="0.25">
      <c r="L55" s="42">
        <f>IF($A55="","",IF($G55="Y","완료 DONE",IF($F55="","날짜 없음",IF($F55&lt;'설정 Settings'!$C$15,"지남 OVERDUE",IF($F55='설정 Settings'!$C$15,"오늘 TODAY","예정 OPEN")))))</f>
      </c>
      <c r="M55" s="42">
        <f>IF($A55="","",IF($I55="Y","수신거부: 문자·이메일 보내지 않기",IF(OR($E55="SMS",$E55="EMAIL"),IF(OR($H55="",$H55="NONE"),"동의 근거 없음: 전화·방문만",IF($H55="INQUIRY",IF(N($N55)=0,"견적 요청일을 못 찾음: 관련 ID에 견적 ID(Q-…)를 넣었는지 확인",IF('설정 Settings'!$C$15&gt;N($N55),"문의 후 6개월 지남: 다른 동의 근거 필요","OK: 이름·주소·연락처·수신거부 문구 넣기")),IF($H55="REFERRAL","소개 후 첫 메시지만 OK: 소개자 이름 + 이름·주소·연락처·수신거부 문구. 두 번째부터는 다른 동의 근거 필요",IF(AND($H55="REPLY",$D55&lt;&gt;"QUOTE",$D55&lt;&gt;"CALLBACK"),"문의에 대한 답장이 아님: EXPRESS 또는 INQUIRY 동의 필요","OK: 이름·주소·연락처·수신거부 문구 넣기")))),"")))</f>
      </c>
      <c r="N55" s="40">
        <f>IF($H55="INQUIRY",IFERROR(EDATE(INDEX('견적 Quotes'!$B$3:$B$1002,MATCH($C55,'견적 Quotes'!$A$3:$A$1002,0)),'설정 Settings'!$C$20),""),"")</f>
      </c>
    </row>
    <row r="56" spans="12:14" x14ac:dyDescent="0.25">
      <c r="L56" s="42">
        <f>IF($A56="","",IF($G56="Y","완료 DONE",IF($F56="","날짜 없음",IF($F56&lt;'설정 Settings'!$C$15,"지남 OVERDUE",IF($F56='설정 Settings'!$C$15,"오늘 TODAY","예정 OPEN")))))</f>
      </c>
      <c r="M56" s="42">
        <f>IF($A56="","",IF($I56="Y","수신거부: 문자·이메일 보내지 않기",IF(OR($E56="SMS",$E56="EMAIL"),IF(OR($H56="",$H56="NONE"),"동의 근거 없음: 전화·방문만",IF($H56="INQUIRY",IF(N($N56)=0,"견적 요청일을 못 찾음: 관련 ID에 견적 ID(Q-…)를 넣었는지 확인",IF('설정 Settings'!$C$15&gt;N($N56),"문의 후 6개월 지남: 다른 동의 근거 필요","OK: 이름·주소·연락처·수신거부 문구 넣기")),IF($H56="REFERRAL","소개 후 첫 메시지만 OK: 소개자 이름 + 이름·주소·연락처·수신거부 문구. 두 번째부터는 다른 동의 근거 필요",IF(AND($H56="REPLY",$D56&lt;&gt;"QUOTE",$D56&lt;&gt;"CALLBACK"),"문의에 대한 답장이 아님: EXPRESS 또는 INQUIRY 동의 필요","OK: 이름·주소·연락처·수신거부 문구 넣기")))),"")))</f>
      </c>
      <c r="N56" s="40">
        <f>IF($H56="INQUIRY",IFERROR(EDATE(INDEX('견적 Quotes'!$B$3:$B$1002,MATCH($C56,'견적 Quotes'!$A$3:$A$1002,0)),'설정 Settings'!$C$20),""),"")</f>
      </c>
    </row>
    <row r="57" spans="12:14" x14ac:dyDescent="0.25">
      <c r="L57" s="42">
        <f>IF($A57="","",IF($G57="Y","완료 DONE",IF($F57="","날짜 없음",IF($F57&lt;'설정 Settings'!$C$15,"지남 OVERDUE",IF($F57='설정 Settings'!$C$15,"오늘 TODAY","예정 OPEN")))))</f>
      </c>
      <c r="M57" s="42">
        <f>IF($A57="","",IF($I57="Y","수신거부: 문자·이메일 보내지 않기",IF(OR($E57="SMS",$E57="EMAIL"),IF(OR($H57="",$H57="NONE"),"동의 근거 없음: 전화·방문만",IF($H57="INQUIRY",IF(N($N57)=0,"견적 요청일을 못 찾음: 관련 ID에 견적 ID(Q-…)를 넣었는지 확인",IF('설정 Settings'!$C$15&gt;N($N57),"문의 후 6개월 지남: 다른 동의 근거 필요","OK: 이름·주소·연락처·수신거부 문구 넣기")),IF($H57="REFERRAL","소개 후 첫 메시지만 OK: 소개자 이름 + 이름·주소·연락처·수신거부 문구. 두 번째부터는 다른 동의 근거 필요",IF(AND($H57="REPLY",$D57&lt;&gt;"QUOTE",$D57&lt;&gt;"CALLBACK"),"문의에 대한 답장이 아님: EXPRESS 또는 INQUIRY 동의 필요","OK: 이름·주소·연락처·수신거부 문구 넣기")))),"")))</f>
      </c>
      <c r="N57" s="40">
        <f>IF($H57="INQUIRY",IFERROR(EDATE(INDEX('견적 Quotes'!$B$3:$B$1002,MATCH($C57,'견적 Quotes'!$A$3:$A$1002,0)),'설정 Settings'!$C$20),""),"")</f>
      </c>
    </row>
    <row r="58" spans="12:14" x14ac:dyDescent="0.25">
      <c r="L58" s="42">
        <f>IF($A58="","",IF($G58="Y","완료 DONE",IF($F58="","날짜 없음",IF($F58&lt;'설정 Settings'!$C$15,"지남 OVERDUE",IF($F58='설정 Settings'!$C$15,"오늘 TODAY","예정 OPEN")))))</f>
      </c>
      <c r="M58" s="42">
        <f>IF($A58="","",IF($I58="Y","수신거부: 문자·이메일 보내지 않기",IF(OR($E58="SMS",$E58="EMAIL"),IF(OR($H58="",$H58="NONE"),"동의 근거 없음: 전화·방문만",IF($H58="INQUIRY",IF(N($N58)=0,"견적 요청일을 못 찾음: 관련 ID에 견적 ID(Q-…)를 넣었는지 확인",IF('설정 Settings'!$C$15&gt;N($N58),"문의 후 6개월 지남: 다른 동의 근거 필요","OK: 이름·주소·연락처·수신거부 문구 넣기")),IF($H58="REFERRAL","소개 후 첫 메시지만 OK: 소개자 이름 + 이름·주소·연락처·수신거부 문구. 두 번째부터는 다른 동의 근거 필요",IF(AND($H58="REPLY",$D58&lt;&gt;"QUOTE",$D58&lt;&gt;"CALLBACK"),"문의에 대한 답장이 아님: EXPRESS 또는 INQUIRY 동의 필요","OK: 이름·주소·연락처·수신거부 문구 넣기")))),"")))</f>
      </c>
      <c r="N58" s="40">
        <f>IF($H58="INQUIRY",IFERROR(EDATE(INDEX('견적 Quotes'!$B$3:$B$1002,MATCH($C58,'견적 Quotes'!$A$3:$A$1002,0)),'설정 Settings'!$C$20),""),"")</f>
      </c>
    </row>
    <row r="59" spans="12:14" x14ac:dyDescent="0.25">
      <c r="L59" s="42">
        <f>IF($A59="","",IF($G59="Y","완료 DONE",IF($F59="","날짜 없음",IF($F59&lt;'설정 Settings'!$C$15,"지남 OVERDUE",IF($F59='설정 Settings'!$C$15,"오늘 TODAY","예정 OPEN")))))</f>
      </c>
      <c r="M59" s="42">
        <f>IF($A59="","",IF($I59="Y","수신거부: 문자·이메일 보내지 않기",IF(OR($E59="SMS",$E59="EMAIL"),IF(OR($H59="",$H59="NONE"),"동의 근거 없음: 전화·방문만",IF($H59="INQUIRY",IF(N($N59)=0,"견적 요청일을 못 찾음: 관련 ID에 견적 ID(Q-…)를 넣었는지 확인",IF('설정 Settings'!$C$15&gt;N($N59),"문의 후 6개월 지남: 다른 동의 근거 필요","OK: 이름·주소·연락처·수신거부 문구 넣기")),IF($H59="REFERRAL","소개 후 첫 메시지만 OK: 소개자 이름 + 이름·주소·연락처·수신거부 문구. 두 번째부터는 다른 동의 근거 필요",IF(AND($H59="REPLY",$D59&lt;&gt;"QUOTE",$D59&lt;&gt;"CALLBACK"),"문의에 대한 답장이 아님: EXPRESS 또는 INQUIRY 동의 필요","OK: 이름·주소·연락처·수신거부 문구 넣기")))),"")))</f>
      </c>
      <c r="N59" s="40">
        <f>IF($H59="INQUIRY",IFERROR(EDATE(INDEX('견적 Quotes'!$B$3:$B$1002,MATCH($C59,'견적 Quotes'!$A$3:$A$1002,0)),'설정 Settings'!$C$20),""),"")</f>
      </c>
    </row>
    <row r="60" spans="12:14" x14ac:dyDescent="0.25">
      <c r="L60" s="42">
        <f>IF($A60="","",IF($G60="Y","완료 DONE",IF($F60="","날짜 없음",IF($F60&lt;'설정 Settings'!$C$15,"지남 OVERDUE",IF($F60='설정 Settings'!$C$15,"오늘 TODAY","예정 OPEN")))))</f>
      </c>
      <c r="M60" s="42">
        <f>IF($A60="","",IF($I60="Y","수신거부: 문자·이메일 보내지 않기",IF(OR($E60="SMS",$E60="EMAIL"),IF(OR($H60="",$H60="NONE"),"동의 근거 없음: 전화·방문만",IF($H60="INQUIRY",IF(N($N60)=0,"견적 요청일을 못 찾음: 관련 ID에 견적 ID(Q-…)를 넣었는지 확인",IF('설정 Settings'!$C$15&gt;N($N60),"문의 후 6개월 지남: 다른 동의 근거 필요","OK: 이름·주소·연락처·수신거부 문구 넣기")),IF($H60="REFERRAL","소개 후 첫 메시지만 OK: 소개자 이름 + 이름·주소·연락처·수신거부 문구. 두 번째부터는 다른 동의 근거 필요",IF(AND($H60="REPLY",$D60&lt;&gt;"QUOTE",$D60&lt;&gt;"CALLBACK"),"문의에 대한 답장이 아님: EXPRESS 또는 INQUIRY 동의 필요","OK: 이름·주소·연락처·수신거부 문구 넣기")))),"")))</f>
      </c>
      <c r="N60" s="40">
        <f>IF($H60="INQUIRY",IFERROR(EDATE(INDEX('견적 Quotes'!$B$3:$B$1002,MATCH($C60,'견적 Quotes'!$A$3:$A$1002,0)),'설정 Settings'!$C$20),""),"")</f>
      </c>
    </row>
    <row r="61" spans="12:14" x14ac:dyDescent="0.25">
      <c r="L61" s="42">
        <f>IF($A61="","",IF($G61="Y","완료 DONE",IF($F61="","날짜 없음",IF($F61&lt;'설정 Settings'!$C$15,"지남 OVERDUE",IF($F61='설정 Settings'!$C$15,"오늘 TODAY","예정 OPEN")))))</f>
      </c>
      <c r="M61" s="42">
        <f>IF($A61="","",IF($I61="Y","수신거부: 문자·이메일 보내지 않기",IF(OR($E61="SMS",$E61="EMAIL"),IF(OR($H61="",$H61="NONE"),"동의 근거 없음: 전화·방문만",IF($H61="INQUIRY",IF(N($N61)=0,"견적 요청일을 못 찾음: 관련 ID에 견적 ID(Q-…)를 넣었는지 확인",IF('설정 Settings'!$C$15&gt;N($N61),"문의 후 6개월 지남: 다른 동의 근거 필요","OK: 이름·주소·연락처·수신거부 문구 넣기")),IF($H61="REFERRAL","소개 후 첫 메시지만 OK: 소개자 이름 + 이름·주소·연락처·수신거부 문구. 두 번째부터는 다른 동의 근거 필요",IF(AND($H61="REPLY",$D61&lt;&gt;"QUOTE",$D61&lt;&gt;"CALLBACK"),"문의에 대한 답장이 아님: EXPRESS 또는 INQUIRY 동의 필요","OK: 이름·주소·연락처·수신거부 문구 넣기")))),"")))</f>
      </c>
      <c r="N61" s="40">
        <f>IF($H61="INQUIRY",IFERROR(EDATE(INDEX('견적 Quotes'!$B$3:$B$1002,MATCH($C61,'견적 Quotes'!$A$3:$A$1002,0)),'설정 Settings'!$C$20),""),"")</f>
      </c>
    </row>
    <row r="62" spans="12:14" x14ac:dyDescent="0.25">
      <c r="L62" s="42">
        <f>IF($A62="","",IF($G62="Y","완료 DONE",IF($F62="","날짜 없음",IF($F62&lt;'설정 Settings'!$C$15,"지남 OVERDUE",IF($F62='설정 Settings'!$C$15,"오늘 TODAY","예정 OPEN")))))</f>
      </c>
      <c r="M62" s="42">
        <f>IF($A62="","",IF($I62="Y","수신거부: 문자·이메일 보내지 않기",IF(OR($E62="SMS",$E62="EMAIL"),IF(OR($H62="",$H62="NONE"),"동의 근거 없음: 전화·방문만",IF($H62="INQUIRY",IF(N($N62)=0,"견적 요청일을 못 찾음: 관련 ID에 견적 ID(Q-…)를 넣었는지 확인",IF('설정 Settings'!$C$15&gt;N($N62),"문의 후 6개월 지남: 다른 동의 근거 필요","OK: 이름·주소·연락처·수신거부 문구 넣기")),IF($H62="REFERRAL","소개 후 첫 메시지만 OK: 소개자 이름 + 이름·주소·연락처·수신거부 문구. 두 번째부터는 다른 동의 근거 필요",IF(AND($H62="REPLY",$D62&lt;&gt;"QUOTE",$D62&lt;&gt;"CALLBACK"),"문의에 대한 답장이 아님: EXPRESS 또는 INQUIRY 동의 필요","OK: 이름·주소·연락처·수신거부 문구 넣기")))),"")))</f>
      </c>
      <c r="N62" s="40">
        <f>IF($H62="INQUIRY",IFERROR(EDATE(INDEX('견적 Quotes'!$B$3:$B$1002,MATCH($C62,'견적 Quotes'!$A$3:$A$1002,0)),'설정 Settings'!$C$20),""),"")</f>
      </c>
    </row>
    <row r="63" spans="12:14" x14ac:dyDescent="0.25">
      <c r="L63" s="42">
        <f>IF($A63="","",IF($G63="Y","완료 DONE",IF($F63="","날짜 없음",IF($F63&lt;'설정 Settings'!$C$15,"지남 OVERDUE",IF($F63='설정 Settings'!$C$15,"오늘 TODAY","예정 OPEN")))))</f>
      </c>
      <c r="M63" s="42">
        <f>IF($A63="","",IF($I63="Y","수신거부: 문자·이메일 보내지 않기",IF(OR($E63="SMS",$E63="EMAIL"),IF(OR($H63="",$H63="NONE"),"동의 근거 없음: 전화·방문만",IF($H63="INQUIRY",IF(N($N63)=0,"견적 요청일을 못 찾음: 관련 ID에 견적 ID(Q-…)를 넣었는지 확인",IF('설정 Settings'!$C$15&gt;N($N63),"문의 후 6개월 지남: 다른 동의 근거 필요","OK: 이름·주소·연락처·수신거부 문구 넣기")),IF($H63="REFERRAL","소개 후 첫 메시지만 OK: 소개자 이름 + 이름·주소·연락처·수신거부 문구. 두 번째부터는 다른 동의 근거 필요",IF(AND($H63="REPLY",$D63&lt;&gt;"QUOTE",$D63&lt;&gt;"CALLBACK"),"문의에 대한 답장이 아님: EXPRESS 또는 INQUIRY 동의 필요","OK: 이름·주소·연락처·수신거부 문구 넣기")))),"")))</f>
      </c>
      <c r="N63" s="40">
        <f>IF($H63="INQUIRY",IFERROR(EDATE(INDEX('견적 Quotes'!$B$3:$B$1002,MATCH($C63,'견적 Quotes'!$A$3:$A$1002,0)),'설정 Settings'!$C$20),""),"")</f>
      </c>
    </row>
    <row r="64" spans="12:14" x14ac:dyDescent="0.25">
      <c r="L64" s="42">
        <f>IF($A64="","",IF($G64="Y","완료 DONE",IF($F64="","날짜 없음",IF($F64&lt;'설정 Settings'!$C$15,"지남 OVERDUE",IF($F64='설정 Settings'!$C$15,"오늘 TODAY","예정 OPEN")))))</f>
      </c>
      <c r="M64" s="42">
        <f>IF($A64="","",IF($I64="Y","수신거부: 문자·이메일 보내지 않기",IF(OR($E64="SMS",$E64="EMAIL"),IF(OR($H64="",$H64="NONE"),"동의 근거 없음: 전화·방문만",IF($H64="INQUIRY",IF(N($N64)=0,"견적 요청일을 못 찾음: 관련 ID에 견적 ID(Q-…)를 넣었는지 확인",IF('설정 Settings'!$C$15&gt;N($N64),"문의 후 6개월 지남: 다른 동의 근거 필요","OK: 이름·주소·연락처·수신거부 문구 넣기")),IF($H64="REFERRAL","소개 후 첫 메시지만 OK: 소개자 이름 + 이름·주소·연락처·수신거부 문구. 두 번째부터는 다른 동의 근거 필요",IF(AND($H64="REPLY",$D64&lt;&gt;"QUOTE",$D64&lt;&gt;"CALLBACK"),"문의에 대한 답장이 아님: EXPRESS 또는 INQUIRY 동의 필요","OK: 이름·주소·연락처·수신거부 문구 넣기")))),"")))</f>
      </c>
      <c r="N64" s="40">
        <f>IF($H64="INQUIRY",IFERROR(EDATE(INDEX('견적 Quotes'!$B$3:$B$1002,MATCH($C64,'견적 Quotes'!$A$3:$A$1002,0)),'설정 Settings'!$C$20),""),"")</f>
      </c>
    </row>
    <row r="65" spans="12:14" x14ac:dyDescent="0.25">
      <c r="L65" s="42">
        <f>IF($A65="","",IF($G65="Y","완료 DONE",IF($F65="","날짜 없음",IF($F65&lt;'설정 Settings'!$C$15,"지남 OVERDUE",IF($F65='설정 Settings'!$C$15,"오늘 TODAY","예정 OPEN")))))</f>
      </c>
      <c r="M65" s="42">
        <f>IF($A65="","",IF($I65="Y","수신거부: 문자·이메일 보내지 않기",IF(OR($E65="SMS",$E65="EMAIL"),IF(OR($H65="",$H65="NONE"),"동의 근거 없음: 전화·방문만",IF($H65="INQUIRY",IF(N($N65)=0,"견적 요청일을 못 찾음: 관련 ID에 견적 ID(Q-…)를 넣었는지 확인",IF('설정 Settings'!$C$15&gt;N($N65),"문의 후 6개월 지남: 다른 동의 근거 필요","OK: 이름·주소·연락처·수신거부 문구 넣기")),IF($H65="REFERRAL","소개 후 첫 메시지만 OK: 소개자 이름 + 이름·주소·연락처·수신거부 문구. 두 번째부터는 다른 동의 근거 필요",IF(AND($H65="REPLY",$D65&lt;&gt;"QUOTE",$D65&lt;&gt;"CALLBACK"),"문의에 대한 답장이 아님: EXPRESS 또는 INQUIRY 동의 필요","OK: 이름·주소·연락처·수신거부 문구 넣기")))),"")))</f>
      </c>
      <c r="N65" s="40">
        <f>IF($H65="INQUIRY",IFERROR(EDATE(INDEX('견적 Quotes'!$B$3:$B$1002,MATCH($C65,'견적 Quotes'!$A$3:$A$1002,0)),'설정 Settings'!$C$20),""),"")</f>
      </c>
    </row>
    <row r="66" spans="12:14" x14ac:dyDescent="0.25">
      <c r="L66" s="42">
        <f>IF($A66="","",IF($G66="Y","완료 DONE",IF($F66="","날짜 없음",IF($F66&lt;'설정 Settings'!$C$15,"지남 OVERDUE",IF($F66='설정 Settings'!$C$15,"오늘 TODAY","예정 OPEN")))))</f>
      </c>
      <c r="M66" s="42">
        <f>IF($A66="","",IF($I66="Y","수신거부: 문자·이메일 보내지 않기",IF(OR($E66="SMS",$E66="EMAIL"),IF(OR($H66="",$H66="NONE"),"동의 근거 없음: 전화·방문만",IF($H66="INQUIRY",IF(N($N66)=0,"견적 요청일을 못 찾음: 관련 ID에 견적 ID(Q-…)를 넣었는지 확인",IF('설정 Settings'!$C$15&gt;N($N66),"문의 후 6개월 지남: 다른 동의 근거 필요","OK: 이름·주소·연락처·수신거부 문구 넣기")),IF($H66="REFERRAL","소개 후 첫 메시지만 OK: 소개자 이름 + 이름·주소·연락처·수신거부 문구. 두 번째부터는 다른 동의 근거 필요",IF(AND($H66="REPLY",$D66&lt;&gt;"QUOTE",$D66&lt;&gt;"CALLBACK"),"문의에 대한 답장이 아님: EXPRESS 또는 INQUIRY 동의 필요","OK: 이름·주소·연락처·수신거부 문구 넣기")))),"")))</f>
      </c>
      <c r="N66" s="40">
        <f>IF($H66="INQUIRY",IFERROR(EDATE(INDEX('견적 Quotes'!$B$3:$B$1002,MATCH($C66,'견적 Quotes'!$A$3:$A$1002,0)),'설정 Settings'!$C$20),""),"")</f>
      </c>
    </row>
    <row r="67" spans="12:14" x14ac:dyDescent="0.25">
      <c r="L67" s="42">
        <f>IF($A67="","",IF($G67="Y","완료 DONE",IF($F67="","날짜 없음",IF($F67&lt;'설정 Settings'!$C$15,"지남 OVERDUE",IF($F67='설정 Settings'!$C$15,"오늘 TODAY","예정 OPEN")))))</f>
      </c>
      <c r="M67" s="42">
        <f>IF($A67="","",IF($I67="Y","수신거부: 문자·이메일 보내지 않기",IF(OR($E67="SMS",$E67="EMAIL"),IF(OR($H67="",$H67="NONE"),"동의 근거 없음: 전화·방문만",IF($H67="INQUIRY",IF(N($N67)=0,"견적 요청일을 못 찾음: 관련 ID에 견적 ID(Q-…)를 넣었는지 확인",IF('설정 Settings'!$C$15&gt;N($N67),"문의 후 6개월 지남: 다른 동의 근거 필요","OK: 이름·주소·연락처·수신거부 문구 넣기")),IF($H67="REFERRAL","소개 후 첫 메시지만 OK: 소개자 이름 + 이름·주소·연락처·수신거부 문구. 두 번째부터는 다른 동의 근거 필요",IF(AND($H67="REPLY",$D67&lt;&gt;"QUOTE",$D67&lt;&gt;"CALLBACK"),"문의에 대한 답장이 아님: EXPRESS 또는 INQUIRY 동의 필요","OK: 이름·주소·연락처·수신거부 문구 넣기")))),"")))</f>
      </c>
      <c r="N67" s="40">
        <f>IF($H67="INQUIRY",IFERROR(EDATE(INDEX('견적 Quotes'!$B$3:$B$1002,MATCH($C67,'견적 Quotes'!$A$3:$A$1002,0)),'설정 Settings'!$C$20),""),"")</f>
      </c>
    </row>
    <row r="68" spans="12:14" x14ac:dyDescent="0.25">
      <c r="L68" s="42">
        <f>IF($A68="","",IF($G68="Y","완료 DONE",IF($F68="","날짜 없음",IF($F68&lt;'설정 Settings'!$C$15,"지남 OVERDUE",IF($F68='설정 Settings'!$C$15,"오늘 TODAY","예정 OPEN")))))</f>
      </c>
      <c r="M68" s="42">
        <f>IF($A68="","",IF($I68="Y","수신거부: 문자·이메일 보내지 않기",IF(OR($E68="SMS",$E68="EMAIL"),IF(OR($H68="",$H68="NONE"),"동의 근거 없음: 전화·방문만",IF($H68="INQUIRY",IF(N($N68)=0,"견적 요청일을 못 찾음: 관련 ID에 견적 ID(Q-…)를 넣었는지 확인",IF('설정 Settings'!$C$15&gt;N($N68),"문의 후 6개월 지남: 다른 동의 근거 필요","OK: 이름·주소·연락처·수신거부 문구 넣기")),IF($H68="REFERRAL","소개 후 첫 메시지만 OK: 소개자 이름 + 이름·주소·연락처·수신거부 문구. 두 번째부터는 다른 동의 근거 필요",IF(AND($H68="REPLY",$D68&lt;&gt;"QUOTE",$D68&lt;&gt;"CALLBACK"),"문의에 대한 답장이 아님: EXPRESS 또는 INQUIRY 동의 필요","OK: 이름·주소·연락처·수신거부 문구 넣기")))),"")))</f>
      </c>
      <c r="N68" s="40">
        <f>IF($H68="INQUIRY",IFERROR(EDATE(INDEX('견적 Quotes'!$B$3:$B$1002,MATCH($C68,'견적 Quotes'!$A$3:$A$1002,0)),'설정 Settings'!$C$20),""),"")</f>
      </c>
    </row>
    <row r="69" spans="12:14" x14ac:dyDescent="0.25">
      <c r="L69" s="42">
        <f>IF($A69="","",IF($G69="Y","완료 DONE",IF($F69="","날짜 없음",IF($F69&lt;'설정 Settings'!$C$15,"지남 OVERDUE",IF($F69='설정 Settings'!$C$15,"오늘 TODAY","예정 OPEN")))))</f>
      </c>
      <c r="M69" s="42">
        <f>IF($A69="","",IF($I69="Y","수신거부: 문자·이메일 보내지 않기",IF(OR($E69="SMS",$E69="EMAIL"),IF(OR($H69="",$H69="NONE"),"동의 근거 없음: 전화·방문만",IF($H69="INQUIRY",IF(N($N69)=0,"견적 요청일을 못 찾음: 관련 ID에 견적 ID(Q-…)를 넣었는지 확인",IF('설정 Settings'!$C$15&gt;N($N69),"문의 후 6개월 지남: 다른 동의 근거 필요","OK: 이름·주소·연락처·수신거부 문구 넣기")),IF($H69="REFERRAL","소개 후 첫 메시지만 OK: 소개자 이름 + 이름·주소·연락처·수신거부 문구. 두 번째부터는 다른 동의 근거 필요",IF(AND($H69="REPLY",$D69&lt;&gt;"QUOTE",$D69&lt;&gt;"CALLBACK"),"문의에 대한 답장이 아님: EXPRESS 또는 INQUIRY 동의 필요","OK: 이름·주소·연락처·수신거부 문구 넣기")))),"")))</f>
      </c>
      <c r="N69" s="40">
        <f>IF($H69="INQUIRY",IFERROR(EDATE(INDEX('견적 Quotes'!$B$3:$B$1002,MATCH($C69,'견적 Quotes'!$A$3:$A$1002,0)),'설정 Settings'!$C$20),""),"")</f>
      </c>
    </row>
    <row r="70" spans="12:14" x14ac:dyDescent="0.25">
      <c r="L70" s="42">
        <f>IF($A70="","",IF($G70="Y","완료 DONE",IF($F70="","날짜 없음",IF($F70&lt;'설정 Settings'!$C$15,"지남 OVERDUE",IF($F70='설정 Settings'!$C$15,"오늘 TODAY","예정 OPEN")))))</f>
      </c>
      <c r="M70" s="42">
        <f>IF($A70="","",IF($I70="Y","수신거부: 문자·이메일 보내지 않기",IF(OR($E70="SMS",$E70="EMAIL"),IF(OR($H70="",$H70="NONE"),"동의 근거 없음: 전화·방문만",IF($H70="INQUIRY",IF(N($N70)=0,"견적 요청일을 못 찾음: 관련 ID에 견적 ID(Q-…)를 넣었는지 확인",IF('설정 Settings'!$C$15&gt;N($N70),"문의 후 6개월 지남: 다른 동의 근거 필요","OK: 이름·주소·연락처·수신거부 문구 넣기")),IF($H70="REFERRAL","소개 후 첫 메시지만 OK: 소개자 이름 + 이름·주소·연락처·수신거부 문구. 두 번째부터는 다른 동의 근거 필요",IF(AND($H70="REPLY",$D70&lt;&gt;"QUOTE",$D70&lt;&gt;"CALLBACK"),"문의에 대한 답장이 아님: EXPRESS 또는 INQUIRY 동의 필요","OK: 이름·주소·연락처·수신거부 문구 넣기")))),"")))</f>
      </c>
      <c r="N70" s="40">
        <f>IF($H70="INQUIRY",IFERROR(EDATE(INDEX('견적 Quotes'!$B$3:$B$1002,MATCH($C70,'견적 Quotes'!$A$3:$A$1002,0)),'설정 Settings'!$C$20),""),"")</f>
      </c>
    </row>
    <row r="71" spans="12:14" x14ac:dyDescent="0.25">
      <c r="L71" s="42">
        <f>IF($A71="","",IF($G71="Y","완료 DONE",IF($F71="","날짜 없음",IF($F71&lt;'설정 Settings'!$C$15,"지남 OVERDUE",IF($F71='설정 Settings'!$C$15,"오늘 TODAY","예정 OPEN")))))</f>
      </c>
      <c r="M71" s="42">
        <f>IF($A71="","",IF($I71="Y","수신거부: 문자·이메일 보내지 않기",IF(OR($E71="SMS",$E71="EMAIL"),IF(OR($H71="",$H71="NONE"),"동의 근거 없음: 전화·방문만",IF($H71="INQUIRY",IF(N($N71)=0,"견적 요청일을 못 찾음: 관련 ID에 견적 ID(Q-…)를 넣었는지 확인",IF('설정 Settings'!$C$15&gt;N($N71),"문의 후 6개월 지남: 다른 동의 근거 필요","OK: 이름·주소·연락처·수신거부 문구 넣기")),IF($H71="REFERRAL","소개 후 첫 메시지만 OK: 소개자 이름 + 이름·주소·연락처·수신거부 문구. 두 번째부터는 다른 동의 근거 필요",IF(AND($H71="REPLY",$D71&lt;&gt;"QUOTE",$D71&lt;&gt;"CALLBACK"),"문의에 대한 답장이 아님: EXPRESS 또는 INQUIRY 동의 필요","OK: 이름·주소·연락처·수신거부 문구 넣기")))),"")))</f>
      </c>
      <c r="N71" s="40">
        <f>IF($H71="INQUIRY",IFERROR(EDATE(INDEX('견적 Quotes'!$B$3:$B$1002,MATCH($C71,'견적 Quotes'!$A$3:$A$1002,0)),'설정 Settings'!$C$20),""),"")</f>
      </c>
    </row>
    <row r="72" spans="12:14" x14ac:dyDescent="0.25">
      <c r="L72" s="42">
        <f>IF($A72="","",IF($G72="Y","완료 DONE",IF($F72="","날짜 없음",IF($F72&lt;'설정 Settings'!$C$15,"지남 OVERDUE",IF($F72='설정 Settings'!$C$15,"오늘 TODAY","예정 OPEN")))))</f>
      </c>
      <c r="M72" s="42">
        <f>IF($A72="","",IF($I72="Y","수신거부: 문자·이메일 보내지 않기",IF(OR($E72="SMS",$E72="EMAIL"),IF(OR($H72="",$H72="NONE"),"동의 근거 없음: 전화·방문만",IF($H72="INQUIRY",IF(N($N72)=0,"견적 요청일을 못 찾음: 관련 ID에 견적 ID(Q-…)를 넣었는지 확인",IF('설정 Settings'!$C$15&gt;N($N72),"문의 후 6개월 지남: 다른 동의 근거 필요","OK: 이름·주소·연락처·수신거부 문구 넣기")),IF($H72="REFERRAL","소개 후 첫 메시지만 OK: 소개자 이름 + 이름·주소·연락처·수신거부 문구. 두 번째부터는 다른 동의 근거 필요",IF(AND($H72="REPLY",$D72&lt;&gt;"QUOTE",$D72&lt;&gt;"CALLBACK"),"문의에 대한 답장이 아님: EXPRESS 또는 INQUIRY 동의 필요","OK: 이름·주소·연락처·수신거부 문구 넣기")))),"")))</f>
      </c>
      <c r="N72" s="40">
        <f>IF($H72="INQUIRY",IFERROR(EDATE(INDEX('견적 Quotes'!$B$3:$B$1002,MATCH($C72,'견적 Quotes'!$A$3:$A$1002,0)),'설정 Settings'!$C$20),""),"")</f>
      </c>
    </row>
    <row r="73" spans="12:14" x14ac:dyDescent="0.25">
      <c r="L73" s="42">
        <f>IF($A73="","",IF($G73="Y","완료 DONE",IF($F73="","날짜 없음",IF($F73&lt;'설정 Settings'!$C$15,"지남 OVERDUE",IF($F73='설정 Settings'!$C$15,"오늘 TODAY","예정 OPEN")))))</f>
      </c>
      <c r="M73" s="42">
        <f>IF($A73="","",IF($I73="Y","수신거부: 문자·이메일 보내지 않기",IF(OR($E73="SMS",$E73="EMAIL"),IF(OR($H73="",$H73="NONE"),"동의 근거 없음: 전화·방문만",IF($H73="INQUIRY",IF(N($N73)=0,"견적 요청일을 못 찾음: 관련 ID에 견적 ID(Q-…)를 넣었는지 확인",IF('설정 Settings'!$C$15&gt;N($N73),"문의 후 6개월 지남: 다른 동의 근거 필요","OK: 이름·주소·연락처·수신거부 문구 넣기")),IF($H73="REFERRAL","소개 후 첫 메시지만 OK: 소개자 이름 + 이름·주소·연락처·수신거부 문구. 두 번째부터는 다른 동의 근거 필요",IF(AND($H73="REPLY",$D73&lt;&gt;"QUOTE",$D73&lt;&gt;"CALLBACK"),"문의에 대한 답장이 아님: EXPRESS 또는 INQUIRY 동의 필요","OK: 이름·주소·연락처·수신거부 문구 넣기")))),"")))</f>
      </c>
      <c r="N73" s="40">
        <f>IF($H73="INQUIRY",IFERROR(EDATE(INDEX('견적 Quotes'!$B$3:$B$1002,MATCH($C73,'견적 Quotes'!$A$3:$A$1002,0)),'설정 Settings'!$C$20),""),"")</f>
      </c>
    </row>
    <row r="74" spans="12:14" x14ac:dyDescent="0.25">
      <c r="L74" s="42">
        <f>IF($A74="","",IF($G74="Y","완료 DONE",IF($F74="","날짜 없음",IF($F74&lt;'설정 Settings'!$C$15,"지남 OVERDUE",IF($F74='설정 Settings'!$C$15,"오늘 TODAY","예정 OPEN")))))</f>
      </c>
      <c r="M74" s="42">
        <f>IF($A74="","",IF($I74="Y","수신거부: 문자·이메일 보내지 않기",IF(OR($E74="SMS",$E74="EMAIL"),IF(OR($H74="",$H74="NONE"),"동의 근거 없음: 전화·방문만",IF($H74="INQUIRY",IF(N($N74)=0,"견적 요청일을 못 찾음: 관련 ID에 견적 ID(Q-…)를 넣었는지 확인",IF('설정 Settings'!$C$15&gt;N($N74),"문의 후 6개월 지남: 다른 동의 근거 필요","OK: 이름·주소·연락처·수신거부 문구 넣기")),IF($H74="REFERRAL","소개 후 첫 메시지만 OK: 소개자 이름 + 이름·주소·연락처·수신거부 문구. 두 번째부터는 다른 동의 근거 필요",IF(AND($H74="REPLY",$D74&lt;&gt;"QUOTE",$D74&lt;&gt;"CALLBACK"),"문의에 대한 답장이 아님: EXPRESS 또는 INQUIRY 동의 필요","OK: 이름·주소·연락처·수신거부 문구 넣기")))),"")))</f>
      </c>
      <c r="N74" s="40">
        <f>IF($H74="INQUIRY",IFERROR(EDATE(INDEX('견적 Quotes'!$B$3:$B$1002,MATCH($C74,'견적 Quotes'!$A$3:$A$1002,0)),'설정 Settings'!$C$20),""),"")</f>
      </c>
    </row>
    <row r="75" spans="12:14" x14ac:dyDescent="0.25">
      <c r="L75" s="42">
        <f>IF($A75="","",IF($G75="Y","완료 DONE",IF($F75="","날짜 없음",IF($F75&lt;'설정 Settings'!$C$15,"지남 OVERDUE",IF($F75='설정 Settings'!$C$15,"오늘 TODAY","예정 OPEN")))))</f>
      </c>
      <c r="M75" s="42">
        <f>IF($A75="","",IF($I75="Y","수신거부: 문자·이메일 보내지 않기",IF(OR($E75="SMS",$E75="EMAIL"),IF(OR($H75="",$H75="NONE"),"동의 근거 없음: 전화·방문만",IF($H75="INQUIRY",IF(N($N75)=0,"견적 요청일을 못 찾음: 관련 ID에 견적 ID(Q-…)를 넣었는지 확인",IF('설정 Settings'!$C$15&gt;N($N75),"문의 후 6개월 지남: 다른 동의 근거 필요","OK: 이름·주소·연락처·수신거부 문구 넣기")),IF($H75="REFERRAL","소개 후 첫 메시지만 OK: 소개자 이름 + 이름·주소·연락처·수신거부 문구. 두 번째부터는 다른 동의 근거 필요",IF(AND($H75="REPLY",$D75&lt;&gt;"QUOTE",$D75&lt;&gt;"CALLBACK"),"문의에 대한 답장이 아님: EXPRESS 또는 INQUIRY 동의 필요","OK: 이름·주소·연락처·수신거부 문구 넣기")))),"")))</f>
      </c>
      <c r="N75" s="40">
        <f>IF($H75="INQUIRY",IFERROR(EDATE(INDEX('견적 Quotes'!$B$3:$B$1002,MATCH($C75,'견적 Quotes'!$A$3:$A$1002,0)),'설정 Settings'!$C$20),""),"")</f>
      </c>
    </row>
    <row r="76" spans="12:14" x14ac:dyDescent="0.25">
      <c r="L76" s="42">
        <f>IF($A76="","",IF($G76="Y","완료 DONE",IF($F76="","날짜 없음",IF($F76&lt;'설정 Settings'!$C$15,"지남 OVERDUE",IF($F76='설정 Settings'!$C$15,"오늘 TODAY","예정 OPEN")))))</f>
      </c>
      <c r="M76" s="42">
        <f>IF($A76="","",IF($I76="Y","수신거부: 문자·이메일 보내지 않기",IF(OR($E76="SMS",$E76="EMAIL"),IF(OR($H76="",$H76="NONE"),"동의 근거 없음: 전화·방문만",IF($H76="INQUIRY",IF(N($N76)=0,"견적 요청일을 못 찾음: 관련 ID에 견적 ID(Q-…)를 넣었는지 확인",IF('설정 Settings'!$C$15&gt;N($N76),"문의 후 6개월 지남: 다른 동의 근거 필요","OK: 이름·주소·연락처·수신거부 문구 넣기")),IF($H76="REFERRAL","소개 후 첫 메시지만 OK: 소개자 이름 + 이름·주소·연락처·수신거부 문구. 두 번째부터는 다른 동의 근거 필요",IF(AND($H76="REPLY",$D76&lt;&gt;"QUOTE",$D76&lt;&gt;"CALLBACK"),"문의에 대한 답장이 아님: EXPRESS 또는 INQUIRY 동의 필요","OK: 이름·주소·연락처·수신거부 문구 넣기")))),"")))</f>
      </c>
      <c r="N76" s="40">
        <f>IF($H76="INQUIRY",IFERROR(EDATE(INDEX('견적 Quotes'!$B$3:$B$1002,MATCH($C76,'견적 Quotes'!$A$3:$A$1002,0)),'설정 Settings'!$C$20),""),"")</f>
      </c>
    </row>
    <row r="77" spans="12:14" x14ac:dyDescent="0.25">
      <c r="L77" s="42">
        <f>IF($A77="","",IF($G77="Y","완료 DONE",IF($F77="","날짜 없음",IF($F77&lt;'설정 Settings'!$C$15,"지남 OVERDUE",IF($F77='설정 Settings'!$C$15,"오늘 TODAY","예정 OPEN")))))</f>
      </c>
      <c r="M77" s="42">
        <f>IF($A77="","",IF($I77="Y","수신거부: 문자·이메일 보내지 않기",IF(OR($E77="SMS",$E77="EMAIL"),IF(OR($H77="",$H77="NONE"),"동의 근거 없음: 전화·방문만",IF($H77="INQUIRY",IF(N($N77)=0,"견적 요청일을 못 찾음: 관련 ID에 견적 ID(Q-…)를 넣었는지 확인",IF('설정 Settings'!$C$15&gt;N($N77),"문의 후 6개월 지남: 다른 동의 근거 필요","OK: 이름·주소·연락처·수신거부 문구 넣기")),IF($H77="REFERRAL","소개 후 첫 메시지만 OK: 소개자 이름 + 이름·주소·연락처·수신거부 문구. 두 번째부터는 다른 동의 근거 필요",IF(AND($H77="REPLY",$D77&lt;&gt;"QUOTE",$D77&lt;&gt;"CALLBACK"),"문의에 대한 답장이 아님: EXPRESS 또는 INQUIRY 동의 필요","OK: 이름·주소·연락처·수신거부 문구 넣기")))),"")))</f>
      </c>
      <c r="N77" s="40">
        <f>IF($H77="INQUIRY",IFERROR(EDATE(INDEX('견적 Quotes'!$B$3:$B$1002,MATCH($C77,'견적 Quotes'!$A$3:$A$1002,0)),'설정 Settings'!$C$20),""),"")</f>
      </c>
    </row>
    <row r="78" spans="12:14" x14ac:dyDescent="0.25">
      <c r="L78" s="42">
        <f>IF($A78="","",IF($G78="Y","완료 DONE",IF($F78="","날짜 없음",IF($F78&lt;'설정 Settings'!$C$15,"지남 OVERDUE",IF($F78='설정 Settings'!$C$15,"오늘 TODAY","예정 OPEN")))))</f>
      </c>
      <c r="M78" s="42">
        <f>IF($A78="","",IF($I78="Y","수신거부: 문자·이메일 보내지 않기",IF(OR($E78="SMS",$E78="EMAIL"),IF(OR($H78="",$H78="NONE"),"동의 근거 없음: 전화·방문만",IF($H78="INQUIRY",IF(N($N78)=0,"견적 요청일을 못 찾음: 관련 ID에 견적 ID(Q-…)를 넣었는지 확인",IF('설정 Settings'!$C$15&gt;N($N78),"문의 후 6개월 지남: 다른 동의 근거 필요","OK: 이름·주소·연락처·수신거부 문구 넣기")),IF($H78="REFERRAL","소개 후 첫 메시지만 OK: 소개자 이름 + 이름·주소·연락처·수신거부 문구. 두 번째부터는 다른 동의 근거 필요",IF(AND($H78="REPLY",$D78&lt;&gt;"QUOTE",$D78&lt;&gt;"CALLBACK"),"문의에 대한 답장이 아님: EXPRESS 또는 INQUIRY 동의 필요","OK: 이름·주소·연락처·수신거부 문구 넣기")))),"")))</f>
      </c>
      <c r="N78" s="40">
        <f>IF($H78="INQUIRY",IFERROR(EDATE(INDEX('견적 Quotes'!$B$3:$B$1002,MATCH($C78,'견적 Quotes'!$A$3:$A$1002,0)),'설정 Settings'!$C$20),""),"")</f>
      </c>
    </row>
    <row r="79" spans="12:14" x14ac:dyDescent="0.25">
      <c r="L79" s="42">
        <f>IF($A79="","",IF($G79="Y","완료 DONE",IF($F79="","날짜 없음",IF($F79&lt;'설정 Settings'!$C$15,"지남 OVERDUE",IF($F79='설정 Settings'!$C$15,"오늘 TODAY","예정 OPEN")))))</f>
      </c>
      <c r="M79" s="42">
        <f>IF($A79="","",IF($I79="Y","수신거부: 문자·이메일 보내지 않기",IF(OR($E79="SMS",$E79="EMAIL"),IF(OR($H79="",$H79="NONE"),"동의 근거 없음: 전화·방문만",IF($H79="INQUIRY",IF(N($N79)=0,"견적 요청일을 못 찾음: 관련 ID에 견적 ID(Q-…)를 넣었는지 확인",IF('설정 Settings'!$C$15&gt;N($N79),"문의 후 6개월 지남: 다른 동의 근거 필요","OK: 이름·주소·연락처·수신거부 문구 넣기")),IF($H79="REFERRAL","소개 후 첫 메시지만 OK: 소개자 이름 + 이름·주소·연락처·수신거부 문구. 두 번째부터는 다른 동의 근거 필요",IF(AND($H79="REPLY",$D79&lt;&gt;"QUOTE",$D79&lt;&gt;"CALLBACK"),"문의에 대한 답장이 아님: EXPRESS 또는 INQUIRY 동의 필요","OK: 이름·주소·연락처·수신거부 문구 넣기")))),"")))</f>
      </c>
      <c r="N79" s="40">
        <f>IF($H79="INQUIRY",IFERROR(EDATE(INDEX('견적 Quotes'!$B$3:$B$1002,MATCH($C79,'견적 Quotes'!$A$3:$A$1002,0)),'설정 Settings'!$C$20),""),"")</f>
      </c>
    </row>
    <row r="80" spans="12:14" x14ac:dyDescent="0.25">
      <c r="L80" s="42">
        <f>IF($A80="","",IF($G80="Y","완료 DONE",IF($F80="","날짜 없음",IF($F80&lt;'설정 Settings'!$C$15,"지남 OVERDUE",IF($F80='설정 Settings'!$C$15,"오늘 TODAY","예정 OPEN")))))</f>
      </c>
      <c r="M80" s="42">
        <f>IF($A80="","",IF($I80="Y","수신거부: 문자·이메일 보내지 않기",IF(OR($E80="SMS",$E80="EMAIL"),IF(OR($H80="",$H80="NONE"),"동의 근거 없음: 전화·방문만",IF($H80="INQUIRY",IF(N($N80)=0,"견적 요청일을 못 찾음: 관련 ID에 견적 ID(Q-…)를 넣었는지 확인",IF('설정 Settings'!$C$15&gt;N($N80),"문의 후 6개월 지남: 다른 동의 근거 필요","OK: 이름·주소·연락처·수신거부 문구 넣기")),IF($H80="REFERRAL","소개 후 첫 메시지만 OK: 소개자 이름 + 이름·주소·연락처·수신거부 문구. 두 번째부터는 다른 동의 근거 필요",IF(AND($H80="REPLY",$D80&lt;&gt;"QUOTE",$D80&lt;&gt;"CALLBACK"),"문의에 대한 답장이 아님: EXPRESS 또는 INQUIRY 동의 필요","OK: 이름·주소·연락처·수신거부 문구 넣기")))),"")))</f>
      </c>
      <c r="N80" s="40">
        <f>IF($H80="INQUIRY",IFERROR(EDATE(INDEX('견적 Quotes'!$B$3:$B$1002,MATCH($C80,'견적 Quotes'!$A$3:$A$1002,0)),'설정 Settings'!$C$20),""),"")</f>
      </c>
    </row>
    <row r="81" spans="12:14" x14ac:dyDescent="0.25">
      <c r="L81" s="42">
        <f>IF($A81="","",IF($G81="Y","완료 DONE",IF($F81="","날짜 없음",IF($F81&lt;'설정 Settings'!$C$15,"지남 OVERDUE",IF($F81='설정 Settings'!$C$15,"오늘 TODAY","예정 OPEN")))))</f>
      </c>
      <c r="M81" s="42">
        <f>IF($A81="","",IF($I81="Y","수신거부: 문자·이메일 보내지 않기",IF(OR($E81="SMS",$E81="EMAIL"),IF(OR($H81="",$H81="NONE"),"동의 근거 없음: 전화·방문만",IF($H81="INQUIRY",IF(N($N81)=0,"견적 요청일을 못 찾음: 관련 ID에 견적 ID(Q-…)를 넣었는지 확인",IF('설정 Settings'!$C$15&gt;N($N81),"문의 후 6개월 지남: 다른 동의 근거 필요","OK: 이름·주소·연락처·수신거부 문구 넣기")),IF($H81="REFERRAL","소개 후 첫 메시지만 OK: 소개자 이름 + 이름·주소·연락처·수신거부 문구. 두 번째부터는 다른 동의 근거 필요",IF(AND($H81="REPLY",$D81&lt;&gt;"QUOTE",$D81&lt;&gt;"CALLBACK"),"문의에 대한 답장이 아님: EXPRESS 또는 INQUIRY 동의 필요","OK: 이름·주소·연락처·수신거부 문구 넣기")))),"")))</f>
      </c>
      <c r="N81" s="40">
        <f>IF($H81="INQUIRY",IFERROR(EDATE(INDEX('견적 Quotes'!$B$3:$B$1002,MATCH($C81,'견적 Quotes'!$A$3:$A$1002,0)),'설정 Settings'!$C$20),""),"")</f>
      </c>
    </row>
    <row r="82" spans="12:14" x14ac:dyDescent="0.25">
      <c r="L82" s="42">
        <f>IF($A82="","",IF($G82="Y","완료 DONE",IF($F82="","날짜 없음",IF($F82&lt;'설정 Settings'!$C$15,"지남 OVERDUE",IF($F82='설정 Settings'!$C$15,"오늘 TODAY","예정 OPEN")))))</f>
      </c>
      <c r="M82" s="42">
        <f>IF($A82="","",IF($I82="Y","수신거부: 문자·이메일 보내지 않기",IF(OR($E82="SMS",$E82="EMAIL"),IF(OR($H82="",$H82="NONE"),"동의 근거 없음: 전화·방문만",IF($H82="INQUIRY",IF(N($N82)=0,"견적 요청일을 못 찾음: 관련 ID에 견적 ID(Q-…)를 넣었는지 확인",IF('설정 Settings'!$C$15&gt;N($N82),"문의 후 6개월 지남: 다른 동의 근거 필요","OK: 이름·주소·연락처·수신거부 문구 넣기")),IF($H82="REFERRAL","소개 후 첫 메시지만 OK: 소개자 이름 + 이름·주소·연락처·수신거부 문구. 두 번째부터는 다른 동의 근거 필요",IF(AND($H82="REPLY",$D82&lt;&gt;"QUOTE",$D82&lt;&gt;"CALLBACK"),"문의에 대한 답장이 아님: EXPRESS 또는 INQUIRY 동의 필요","OK: 이름·주소·연락처·수신거부 문구 넣기")))),"")))</f>
      </c>
      <c r="N82" s="40">
        <f>IF($H82="INQUIRY",IFERROR(EDATE(INDEX('견적 Quotes'!$B$3:$B$1002,MATCH($C82,'견적 Quotes'!$A$3:$A$1002,0)),'설정 Settings'!$C$20),""),"")</f>
      </c>
    </row>
    <row r="83" spans="12:14" x14ac:dyDescent="0.25">
      <c r="L83" s="42">
        <f>IF($A83="","",IF($G83="Y","완료 DONE",IF($F83="","날짜 없음",IF($F83&lt;'설정 Settings'!$C$15,"지남 OVERDUE",IF($F83='설정 Settings'!$C$15,"오늘 TODAY","예정 OPEN")))))</f>
      </c>
      <c r="M83" s="42">
        <f>IF($A83="","",IF($I83="Y","수신거부: 문자·이메일 보내지 않기",IF(OR($E83="SMS",$E83="EMAIL"),IF(OR($H83="",$H83="NONE"),"동의 근거 없음: 전화·방문만",IF($H83="INQUIRY",IF(N($N83)=0,"견적 요청일을 못 찾음: 관련 ID에 견적 ID(Q-…)를 넣었는지 확인",IF('설정 Settings'!$C$15&gt;N($N83),"문의 후 6개월 지남: 다른 동의 근거 필요","OK: 이름·주소·연락처·수신거부 문구 넣기")),IF($H83="REFERRAL","소개 후 첫 메시지만 OK: 소개자 이름 + 이름·주소·연락처·수신거부 문구. 두 번째부터는 다른 동의 근거 필요",IF(AND($H83="REPLY",$D83&lt;&gt;"QUOTE",$D83&lt;&gt;"CALLBACK"),"문의에 대한 답장이 아님: EXPRESS 또는 INQUIRY 동의 필요","OK: 이름·주소·연락처·수신거부 문구 넣기")))),"")))</f>
      </c>
      <c r="N83" s="40">
        <f>IF($H83="INQUIRY",IFERROR(EDATE(INDEX('견적 Quotes'!$B$3:$B$1002,MATCH($C83,'견적 Quotes'!$A$3:$A$1002,0)),'설정 Settings'!$C$20),""),"")</f>
      </c>
    </row>
    <row r="84" spans="12:14" x14ac:dyDescent="0.25">
      <c r="L84" s="42">
        <f>IF($A84="","",IF($G84="Y","완료 DONE",IF($F84="","날짜 없음",IF($F84&lt;'설정 Settings'!$C$15,"지남 OVERDUE",IF($F84='설정 Settings'!$C$15,"오늘 TODAY","예정 OPEN")))))</f>
      </c>
      <c r="M84" s="42">
        <f>IF($A84="","",IF($I84="Y","수신거부: 문자·이메일 보내지 않기",IF(OR($E84="SMS",$E84="EMAIL"),IF(OR($H84="",$H84="NONE"),"동의 근거 없음: 전화·방문만",IF($H84="INQUIRY",IF(N($N84)=0,"견적 요청일을 못 찾음: 관련 ID에 견적 ID(Q-…)를 넣었는지 확인",IF('설정 Settings'!$C$15&gt;N($N84),"문의 후 6개월 지남: 다른 동의 근거 필요","OK: 이름·주소·연락처·수신거부 문구 넣기")),IF($H84="REFERRAL","소개 후 첫 메시지만 OK: 소개자 이름 + 이름·주소·연락처·수신거부 문구. 두 번째부터는 다른 동의 근거 필요",IF(AND($H84="REPLY",$D84&lt;&gt;"QUOTE",$D84&lt;&gt;"CALLBACK"),"문의에 대한 답장이 아님: EXPRESS 또는 INQUIRY 동의 필요","OK: 이름·주소·연락처·수신거부 문구 넣기")))),"")))</f>
      </c>
      <c r="N84" s="40">
        <f>IF($H84="INQUIRY",IFERROR(EDATE(INDEX('견적 Quotes'!$B$3:$B$1002,MATCH($C84,'견적 Quotes'!$A$3:$A$1002,0)),'설정 Settings'!$C$20),""),"")</f>
      </c>
    </row>
    <row r="85" spans="12:14" x14ac:dyDescent="0.25">
      <c r="L85" s="42">
        <f>IF($A85="","",IF($G85="Y","완료 DONE",IF($F85="","날짜 없음",IF($F85&lt;'설정 Settings'!$C$15,"지남 OVERDUE",IF($F85='설정 Settings'!$C$15,"오늘 TODAY","예정 OPEN")))))</f>
      </c>
      <c r="M85" s="42">
        <f>IF($A85="","",IF($I85="Y","수신거부: 문자·이메일 보내지 않기",IF(OR($E85="SMS",$E85="EMAIL"),IF(OR($H85="",$H85="NONE"),"동의 근거 없음: 전화·방문만",IF($H85="INQUIRY",IF(N($N85)=0,"견적 요청일을 못 찾음: 관련 ID에 견적 ID(Q-…)를 넣었는지 확인",IF('설정 Settings'!$C$15&gt;N($N85),"문의 후 6개월 지남: 다른 동의 근거 필요","OK: 이름·주소·연락처·수신거부 문구 넣기")),IF($H85="REFERRAL","소개 후 첫 메시지만 OK: 소개자 이름 + 이름·주소·연락처·수신거부 문구. 두 번째부터는 다른 동의 근거 필요",IF(AND($H85="REPLY",$D85&lt;&gt;"QUOTE",$D85&lt;&gt;"CALLBACK"),"문의에 대한 답장이 아님: EXPRESS 또는 INQUIRY 동의 필요","OK: 이름·주소·연락처·수신거부 문구 넣기")))),"")))</f>
      </c>
      <c r="N85" s="40">
        <f>IF($H85="INQUIRY",IFERROR(EDATE(INDEX('견적 Quotes'!$B$3:$B$1002,MATCH($C85,'견적 Quotes'!$A$3:$A$1002,0)),'설정 Settings'!$C$20),""),"")</f>
      </c>
    </row>
    <row r="86" spans="12:14" x14ac:dyDescent="0.25">
      <c r="L86" s="42">
        <f>IF($A86="","",IF($G86="Y","완료 DONE",IF($F86="","날짜 없음",IF($F86&lt;'설정 Settings'!$C$15,"지남 OVERDUE",IF($F86='설정 Settings'!$C$15,"오늘 TODAY","예정 OPEN")))))</f>
      </c>
      <c r="M86" s="42">
        <f>IF($A86="","",IF($I86="Y","수신거부: 문자·이메일 보내지 않기",IF(OR($E86="SMS",$E86="EMAIL"),IF(OR($H86="",$H86="NONE"),"동의 근거 없음: 전화·방문만",IF($H86="INQUIRY",IF(N($N86)=0,"견적 요청일을 못 찾음: 관련 ID에 견적 ID(Q-…)를 넣었는지 확인",IF('설정 Settings'!$C$15&gt;N($N86),"문의 후 6개월 지남: 다른 동의 근거 필요","OK: 이름·주소·연락처·수신거부 문구 넣기")),IF($H86="REFERRAL","소개 후 첫 메시지만 OK: 소개자 이름 + 이름·주소·연락처·수신거부 문구. 두 번째부터는 다른 동의 근거 필요",IF(AND($H86="REPLY",$D86&lt;&gt;"QUOTE",$D86&lt;&gt;"CALLBACK"),"문의에 대한 답장이 아님: EXPRESS 또는 INQUIRY 동의 필요","OK: 이름·주소·연락처·수신거부 문구 넣기")))),"")))</f>
      </c>
      <c r="N86" s="40">
        <f>IF($H86="INQUIRY",IFERROR(EDATE(INDEX('견적 Quotes'!$B$3:$B$1002,MATCH($C86,'견적 Quotes'!$A$3:$A$1002,0)),'설정 Settings'!$C$20),""),"")</f>
      </c>
    </row>
    <row r="87" spans="12:14" x14ac:dyDescent="0.25">
      <c r="L87" s="42">
        <f>IF($A87="","",IF($G87="Y","완료 DONE",IF($F87="","날짜 없음",IF($F87&lt;'설정 Settings'!$C$15,"지남 OVERDUE",IF($F87='설정 Settings'!$C$15,"오늘 TODAY","예정 OPEN")))))</f>
      </c>
      <c r="M87" s="42">
        <f>IF($A87="","",IF($I87="Y","수신거부: 문자·이메일 보내지 않기",IF(OR($E87="SMS",$E87="EMAIL"),IF(OR($H87="",$H87="NONE"),"동의 근거 없음: 전화·방문만",IF($H87="INQUIRY",IF(N($N87)=0,"견적 요청일을 못 찾음: 관련 ID에 견적 ID(Q-…)를 넣었는지 확인",IF('설정 Settings'!$C$15&gt;N($N87),"문의 후 6개월 지남: 다른 동의 근거 필요","OK: 이름·주소·연락처·수신거부 문구 넣기")),IF($H87="REFERRAL","소개 후 첫 메시지만 OK: 소개자 이름 + 이름·주소·연락처·수신거부 문구. 두 번째부터는 다른 동의 근거 필요",IF(AND($H87="REPLY",$D87&lt;&gt;"QUOTE",$D87&lt;&gt;"CALLBACK"),"문의에 대한 답장이 아님: EXPRESS 또는 INQUIRY 동의 필요","OK: 이름·주소·연락처·수신거부 문구 넣기")))),"")))</f>
      </c>
      <c r="N87" s="40">
        <f>IF($H87="INQUIRY",IFERROR(EDATE(INDEX('견적 Quotes'!$B$3:$B$1002,MATCH($C87,'견적 Quotes'!$A$3:$A$1002,0)),'설정 Settings'!$C$20),""),"")</f>
      </c>
    </row>
    <row r="88" spans="12:14" x14ac:dyDescent="0.25">
      <c r="L88" s="42">
        <f>IF($A88="","",IF($G88="Y","완료 DONE",IF($F88="","날짜 없음",IF($F88&lt;'설정 Settings'!$C$15,"지남 OVERDUE",IF($F88='설정 Settings'!$C$15,"오늘 TODAY","예정 OPEN")))))</f>
      </c>
      <c r="M88" s="42">
        <f>IF($A88="","",IF($I88="Y","수신거부: 문자·이메일 보내지 않기",IF(OR($E88="SMS",$E88="EMAIL"),IF(OR($H88="",$H88="NONE"),"동의 근거 없음: 전화·방문만",IF($H88="INQUIRY",IF(N($N88)=0,"견적 요청일을 못 찾음: 관련 ID에 견적 ID(Q-…)를 넣었는지 확인",IF('설정 Settings'!$C$15&gt;N($N88),"문의 후 6개월 지남: 다른 동의 근거 필요","OK: 이름·주소·연락처·수신거부 문구 넣기")),IF($H88="REFERRAL","소개 후 첫 메시지만 OK: 소개자 이름 + 이름·주소·연락처·수신거부 문구. 두 번째부터는 다른 동의 근거 필요",IF(AND($H88="REPLY",$D88&lt;&gt;"QUOTE",$D88&lt;&gt;"CALLBACK"),"문의에 대한 답장이 아님: EXPRESS 또는 INQUIRY 동의 필요","OK: 이름·주소·연락처·수신거부 문구 넣기")))),"")))</f>
      </c>
      <c r="N88" s="40">
        <f>IF($H88="INQUIRY",IFERROR(EDATE(INDEX('견적 Quotes'!$B$3:$B$1002,MATCH($C88,'견적 Quotes'!$A$3:$A$1002,0)),'설정 Settings'!$C$20),""),"")</f>
      </c>
    </row>
    <row r="89" spans="12:14" x14ac:dyDescent="0.25">
      <c r="L89" s="42">
        <f>IF($A89="","",IF($G89="Y","완료 DONE",IF($F89="","날짜 없음",IF($F89&lt;'설정 Settings'!$C$15,"지남 OVERDUE",IF($F89='설정 Settings'!$C$15,"오늘 TODAY","예정 OPEN")))))</f>
      </c>
      <c r="M89" s="42">
        <f>IF($A89="","",IF($I89="Y","수신거부: 문자·이메일 보내지 않기",IF(OR($E89="SMS",$E89="EMAIL"),IF(OR($H89="",$H89="NONE"),"동의 근거 없음: 전화·방문만",IF($H89="INQUIRY",IF(N($N89)=0,"견적 요청일을 못 찾음: 관련 ID에 견적 ID(Q-…)를 넣었는지 확인",IF('설정 Settings'!$C$15&gt;N($N89),"문의 후 6개월 지남: 다른 동의 근거 필요","OK: 이름·주소·연락처·수신거부 문구 넣기")),IF($H89="REFERRAL","소개 후 첫 메시지만 OK: 소개자 이름 + 이름·주소·연락처·수신거부 문구. 두 번째부터는 다른 동의 근거 필요",IF(AND($H89="REPLY",$D89&lt;&gt;"QUOTE",$D89&lt;&gt;"CALLBACK"),"문의에 대한 답장이 아님: EXPRESS 또는 INQUIRY 동의 필요","OK: 이름·주소·연락처·수신거부 문구 넣기")))),"")))</f>
      </c>
      <c r="N89" s="40">
        <f>IF($H89="INQUIRY",IFERROR(EDATE(INDEX('견적 Quotes'!$B$3:$B$1002,MATCH($C89,'견적 Quotes'!$A$3:$A$1002,0)),'설정 Settings'!$C$20),""),"")</f>
      </c>
    </row>
    <row r="90" spans="12:14" x14ac:dyDescent="0.25">
      <c r="L90" s="42">
        <f>IF($A90="","",IF($G90="Y","완료 DONE",IF($F90="","날짜 없음",IF($F90&lt;'설정 Settings'!$C$15,"지남 OVERDUE",IF($F90='설정 Settings'!$C$15,"오늘 TODAY","예정 OPEN")))))</f>
      </c>
      <c r="M90" s="42">
        <f>IF($A90="","",IF($I90="Y","수신거부: 문자·이메일 보내지 않기",IF(OR($E90="SMS",$E90="EMAIL"),IF(OR($H90="",$H90="NONE"),"동의 근거 없음: 전화·방문만",IF($H90="INQUIRY",IF(N($N90)=0,"견적 요청일을 못 찾음: 관련 ID에 견적 ID(Q-…)를 넣었는지 확인",IF('설정 Settings'!$C$15&gt;N($N90),"문의 후 6개월 지남: 다른 동의 근거 필요","OK: 이름·주소·연락처·수신거부 문구 넣기")),IF($H90="REFERRAL","소개 후 첫 메시지만 OK: 소개자 이름 + 이름·주소·연락처·수신거부 문구. 두 번째부터는 다른 동의 근거 필요",IF(AND($H90="REPLY",$D90&lt;&gt;"QUOTE",$D90&lt;&gt;"CALLBACK"),"문의에 대한 답장이 아님: EXPRESS 또는 INQUIRY 동의 필요","OK: 이름·주소·연락처·수신거부 문구 넣기")))),"")))</f>
      </c>
      <c r="N90" s="40">
        <f>IF($H90="INQUIRY",IFERROR(EDATE(INDEX('견적 Quotes'!$B$3:$B$1002,MATCH($C90,'견적 Quotes'!$A$3:$A$1002,0)),'설정 Settings'!$C$20),""),"")</f>
      </c>
    </row>
    <row r="91" spans="12:14" x14ac:dyDescent="0.25">
      <c r="L91" s="42">
        <f>IF($A91="","",IF($G91="Y","완료 DONE",IF($F91="","날짜 없음",IF($F91&lt;'설정 Settings'!$C$15,"지남 OVERDUE",IF($F91='설정 Settings'!$C$15,"오늘 TODAY","예정 OPEN")))))</f>
      </c>
      <c r="M91" s="42">
        <f>IF($A91="","",IF($I91="Y","수신거부: 문자·이메일 보내지 않기",IF(OR($E91="SMS",$E91="EMAIL"),IF(OR($H91="",$H91="NONE"),"동의 근거 없음: 전화·방문만",IF($H91="INQUIRY",IF(N($N91)=0,"견적 요청일을 못 찾음: 관련 ID에 견적 ID(Q-…)를 넣었는지 확인",IF('설정 Settings'!$C$15&gt;N($N91),"문의 후 6개월 지남: 다른 동의 근거 필요","OK: 이름·주소·연락처·수신거부 문구 넣기")),IF($H91="REFERRAL","소개 후 첫 메시지만 OK: 소개자 이름 + 이름·주소·연락처·수신거부 문구. 두 번째부터는 다른 동의 근거 필요",IF(AND($H91="REPLY",$D91&lt;&gt;"QUOTE",$D91&lt;&gt;"CALLBACK"),"문의에 대한 답장이 아님: EXPRESS 또는 INQUIRY 동의 필요","OK: 이름·주소·연락처·수신거부 문구 넣기")))),"")))</f>
      </c>
      <c r="N91" s="40">
        <f>IF($H91="INQUIRY",IFERROR(EDATE(INDEX('견적 Quotes'!$B$3:$B$1002,MATCH($C91,'견적 Quotes'!$A$3:$A$1002,0)),'설정 Settings'!$C$20),""),"")</f>
      </c>
    </row>
    <row r="92" spans="12:14" x14ac:dyDescent="0.25">
      <c r="L92" s="42">
        <f>IF($A92="","",IF($G92="Y","완료 DONE",IF($F92="","날짜 없음",IF($F92&lt;'설정 Settings'!$C$15,"지남 OVERDUE",IF($F92='설정 Settings'!$C$15,"오늘 TODAY","예정 OPEN")))))</f>
      </c>
      <c r="M92" s="42">
        <f>IF($A92="","",IF($I92="Y","수신거부: 문자·이메일 보내지 않기",IF(OR($E92="SMS",$E92="EMAIL"),IF(OR($H92="",$H92="NONE"),"동의 근거 없음: 전화·방문만",IF($H92="INQUIRY",IF(N($N92)=0,"견적 요청일을 못 찾음: 관련 ID에 견적 ID(Q-…)를 넣었는지 확인",IF('설정 Settings'!$C$15&gt;N($N92),"문의 후 6개월 지남: 다른 동의 근거 필요","OK: 이름·주소·연락처·수신거부 문구 넣기")),IF($H92="REFERRAL","소개 후 첫 메시지만 OK: 소개자 이름 + 이름·주소·연락처·수신거부 문구. 두 번째부터는 다른 동의 근거 필요",IF(AND($H92="REPLY",$D92&lt;&gt;"QUOTE",$D92&lt;&gt;"CALLBACK"),"문의에 대한 답장이 아님: EXPRESS 또는 INQUIRY 동의 필요","OK: 이름·주소·연락처·수신거부 문구 넣기")))),"")))</f>
      </c>
      <c r="N92" s="40">
        <f>IF($H92="INQUIRY",IFERROR(EDATE(INDEX('견적 Quotes'!$B$3:$B$1002,MATCH($C92,'견적 Quotes'!$A$3:$A$1002,0)),'설정 Settings'!$C$20),""),"")</f>
      </c>
    </row>
    <row r="93" spans="12:14" x14ac:dyDescent="0.25">
      <c r="L93" s="42">
        <f>IF($A93="","",IF($G93="Y","완료 DONE",IF($F93="","날짜 없음",IF($F93&lt;'설정 Settings'!$C$15,"지남 OVERDUE",IF($F93='설정 Settings'!$C$15,"오늘 TODAY","예정 OPEN")))))</f>
      </c>
      <c r="M93" s="42">
        <f>IF($A93="","",IF($I93="Y","수신거부: 문자·이메일 보내지 않기",IF(OR($E93="SMS",$E93="EMAIL"),IF(OR($H93="",$H93="NONE"),"동의 근거 없음: 전화·방문만",IF($H93="INQUIRY",IF(N($N93)=0,"견적 요청일을 못 찾음: 관련 ID에 견적 ID(Q-…)를 넣었는지 확인",IF('설정 Settings'!$C$15&gt;N($N93),"문의 후 6개월 지남: 다른 동의 근거 필요","OK: 이름·주소·연락처·수신거부 문구 넣기")),IF($H93="REFERRAL","소개 후 첫 메시지만 OK: 소개자 이름 + 이름·주소·연락처·수신거부 문구. 두 번째부터는 다른 동의 근거 필요",IF(AND($H93="REPLY",$D93&lt;&gt;"QUOTE",$D93&lt;&gt;"CALLBACK"),"문의에 대한 답장이 아님: EXPRESS 또는 INQUIRY 동의 필요","OK: 이름·주소·연락처·수신거부 문구 넣기")))),"")))</f>
      </c>
      <c r="N93" s="40">
        <f>IF($H93="INQUIRY",IFERROR(EDATE(INDEX('견적 Quotes'!$B$3:$B$1002,MATCH($C93,'견적 Quotes'!$A$3:$A$1002,0)),'설정 Settings'!$C$20),""),"")</f>
      </c>
    </row>
    <row r="94" spans="12:14" x14ac:dyDescent="0.25">
      <c r="L94" s="42">
        <f>IF($A94="","",IF($G94="Y","완료 DONE",IF($F94="","날짜 없음",IF($F94&lt;'설정 Settings'!$C$15,"지남 OVERDUE",IF($F94='설정 Settings'!$C$15,"오늘 TODAY","예정 OPEN")))))</f>
      </c>
      <c r="M94" s="42">
        <f>IF($A94="","",IF($I94="Y","수신거부: 문자·이메일 보내지 않기",IF(OR($E94="SMS",$E94="EMAIL"),IF(OR($H94="",$H94="NONE"),"동의 근거 없음: 전화·방문만",IF($H94="INQUIRY",IF(N($N94)=0,"견적 요청일을 못 찾음: 관련 ID에 견적 ID(Q-…)를 넣었는지 확인",IF('설정 Settings'!$C$15&gt;N($N94),"문의 후 6개월 지남: 다른 동의 근거 필요","OK: 이름·주소·연락처·수신거부 문구 넣기")),IF($H94="REFERRAL","소개 후 첫 메시지만 OK: 소개자 이름 + 이름·주소·연락처·수신거부 문구. 두 번째부터는 다른 동의 근거 필요",IF(AND($H94="REPLY",$D94&lt;&gt;"QUOTE",$D94&lt;&gt;"CALLBACK"),"문의에 대한 답장이 아님: EXPRESS 또는 INQUIRY 동의 필요","OK: 이름·주소·연락처·수신거부 문구 넣기")))),"")))</f>
      </c>
      <c r="N94" s="40">
        <f>IF($H94="INQUIRY",IFERROR(EDATE(INDEX('견적 Quotes'!$B$3:$B$1002,MATCH($C94,'견적 Quotes'!$A$3:$A$1002,0)),'설정 Settings'!$C$20),""),"")</f>
      </c>
    </row>
    <row r="95" spans="12:14" x14ac:dyDescent="0.25">
      <c r="L95" s="42">
        <f>IF($A95="","",IF($G95="Y","완료 DONE",IF($F95="","날짜 없음",IF($F95&lt;'설정 Settings'!$C$15,"지남 OVERDUE",IF($F95='설정 Settings'!$C$15,"오늘 TODAY","예정 OPEN")))))</f>
      </c>
      <c r="M95" s="42">
        <f>IF($A95="","",IF($I95="Y","수신거부: 문자·이메일 보내지 않기",IF(OR($E95="SMS",$E95="EMAIL"),IF(OR($H95="",$H95="NONE"),"동의 근거 없음: 전화·방문만",IF($H95="INQUIRY",IF(N($N95)=0,"견적 요청일을 못 찾음: 관련 ID에 견적 ID(Q-…)를 넣었는지 확인",IF('설정 Settings'!$C$15&gt;N($N95),"문의 후 6개월 지남: 다른 동의 근거 필요","OK: 이름·주소·연락처·수신거부 문구 넣기")),IF($H95="REFERRAL","소개 후 첫 메시지만 OK: 소개자 이름 + 이름·주소·연락처·수신거부 문구. 두 번째부터는 다른 동의 근거 필요",IF(AND($H95="REPLY",$D95&lt;&gt;"QUOTE",$D95&lt;&gt;"CALLBACK"),"문의에 대한 답장이 아님: EXPRESS 또는 INQUIRY 동의 필요","OK: 이름·주소·연락처·수신거부 문구 넣기")))),"")))</f>
      </c>
      <c r="N95" s="40">
        <f>IF($H95="INQUIRY",IFERROR(EDATE(INDEX('견적 Quotes'!$B$3:$B$1002,MATCH($C95,'견적 Quotes'!$A$3:$A$1002,0)),'설정 Settings'!$C$20),""),"")</f>
      </c>
    </row>
    <row r="96" spans="12:14" x14ac:dyDescent="0.25">
      <c r="L96" s="42">
        <f>IF($A96="","",IF($G96="Y","완료 DONE",IF($F96="","날짜 없음",IF($F96&lt;'설정 Settings'!$C$15,"지남 OVERDUE",IF($F96='설정 Settings'!$C$15,"오늘 TODAY","예정 OPEN")))))</f>
      </c>
      <c r="M96" s="42">
        <f>IF($A96="","",IF($I96="Y","수신거부: 문자·이메일 보내지 않기",IF(OR($E96="SMS",$E96="EMAIL"),IF(OR($H96="",$H96="NONE"),"동의 근거 없음: 전화·방문만",IF($H96="INQUIRY",IF(N($N96)=0,"견적 요청일을 못 찾음: 관련 ID에 견적 ID(Q-…)를 넣었는지 확인",IF('설정 Settings'!$C$15&gt;N($N96),"문의 후 6개월 지남: 다른 동의 근거 필요","OK: 이름·주소·연락처·수신거부 문구 넣기")),IF($H96="REFERRAL","소개 후 첫 메시지만 OK: 소개자 이름 + 이름·주소·연락처·수신거부 문구. 두 번째부터는 다른 동의 근거 필요",IF(AND($H96="REPLY",$D96&lt;&gt;"QUOTE",$D96&lt;&gt;"CALLBACK"),"문의에 대한 답장이 아님: EXPRESS 또는 INQUIRY 동의 필요","OK: 이름·주소·연락처·수신거부 문구 넣기")))),"")))</f>
      </c>
      <c r="N96" s="40">
        <f>IF($H96="INQUIRY",IFERROR(EDATE(INDEX('견적 Quotes'!$B$3:$B$1002,MATCH($C96,'견적 Quotes'!$A$3:$A$1002,0)),'설정 Settings'!$C$20),""),"")</f>
      </c>
    </row>
    <row r="97" spans="12:14" x14ac:dyDescent="0.25">
      <c r="L97" s="42">
        <f>IF($A97="","",IF($G97="Y","완료 DONE",IF($F97="","날짜 없음",IF($F97&lt;'설정 Settings'!$C$15,"지남 OVERDUE",IF($F97='설정 Settings'!$C$15,"오늘 TODAY","예정 OPEN")))))</f>
      </c>
      <c r="M97" s="42">
        <f>IF($A97="","",IF($I97="Y","수신거부: 문자·이메일 보내지 않기",IF(OR($E97="SMS",$E97="EMAIL"),IF(OR($H97="",$H97="NONE"),"동의 근거 없음: 전화·방문만",IF($H97="INQUIRY",IF(N($N97)=0,"견적 요청일을 못 찾음: 관련 ID에 견적 ID(Q-…)를 넣었는지 확인",IF('설정 Settings'!$C$15&gt;N($N97),"문의 후 6개월 지남: 다른 동의 근거 필요","OK: 이름·주소·연락처·수신거부 문구 넣기")),IF($H97="REFERRAL","소개 후 첫 메시지만 OK: 소개자 이름 + 이름·주소·연락처·수신거부 문구. 두 번째부터는 다른 동의 근거 필요",IF(AND($H97="REPLY",$D97&lt;&gt;"QUOTE",$D97&lt;&gt;"CALLBACK"),"문의에 대한 답장이 아님: EXPRESS 또는 INQUIRY 동의 필요","OK: 이름·주소·연락처·수신거부 문구 넣기")))),"")))</f>
      </c>
      <c r="N97" s="40">
        <f>IF($H97="INQUIRY",IFERROR(EDATE(INDEX('견적 Quotes'!$B$3:$B$1002,MATCH($C97,'견적 Quotes'!$A$3:$A$1002,0)),'설정 Settings'!$C$20),""),"")</f>
      </c>
    </row>
    <row r="98" spans="12:14" x14ac:dyDescent="0.25">
      <c r="L98" s="42">
        <f>IF($A98="","",IF($G98="Y","완료 DONE",IF($F98="","날짜 없음",IF($F98&lt;'설정 Settings'!$C$15,"지남 OVERDUE",IF($F98='설정 Settings'!$C$15,"오늘 TODAY","예정 OPEN")))))</f>
      </c>
      <c r="M98" s="42">
        <f>IF($A98="","",IF($I98="Y","수신거부: 문자·이메일 보내지 않기",IF(OR($E98="SMS",$E98="EMAIL"),IF(OR($H98="",$H98="NONE"),"동의 근거 없음: 전화·방문만",IF($H98="INQUIRY",IF(N($N98)=0,"견적 요청일을 못 찾음: 관련 ID에 견적 ID(Q-…)를 넣었는지 확인",IF('설정 Settings'!$C$15&gt;N($N98),"문의 후 6개월 지남: 다른 동의 근거 필요","OK: 이름·주소·연락처·수신거부 문구 넣기")),IF($H98="REFERRAL","소개 후 첫 메시지만 OK: 소개자 이름 + 이름·주소·연락처·수신거부 문구. 두 번째부터는 다른 동의 근거 필요",IF(AND($H98="REPLY",$D98&lt;&gt;"QUOTE",$D98&lt;&gt;"CALLBACK"),"문의에 대한 답장이 아님: EXPRESS 또는 INQUIRY 동의 필요","OK: 이름·주소·연락처·수신거부 문구 넣기")))),"")))</f>
      </c>
      <c r="N98" s="40">
        <f>IF($H98="INQUIRY",IFERROR(EDATE(INDEX('견적 Quotes'!$B$3:$B$1002,MATCH($C98,'견적 Quotes'!$A$3:$A$1002,0)),'설정 Settings'!$C$20),""),"")</f>
      </c>
    </row>
    <row r="99" spans="12:14" x14ac:dyDescent="0.25">
      <c r="L99" s="42">
        <f>IF($A99="","",IF($G99="Y","완료 DONE",IF($F99="","날짜 없음",IF($F99&lt;'설정 Settings'!$C$15,"지남 OVERDUE",IF($F99='설정 Settings'!$C$15,"오늘 TODAY","예정 OPEN")))))</f>
      </c>
      <c r="M99" s="42">
        <f>IF($A99="","",IF($I99="Y","수신거부: 문자·이메일 보내지 않기",IF(OR($E99="SMS",$E99="EMAIL"),IF(OR($H99="",$H99="NONE"),"동의 근거 없음: 전화·방문만",IF($H99="INQUIRY",IF(N($N99)=0,"견적 요청일을 못 찾음: 관련 ID에 견적 ID(Q-…)를 넣었는지 확인",IF('설정 Settings'!$C$15&gt;N($N99),"문의 후 6개월 지남: 다른 동의 근거 필요","OK: 이름·주소·연락처·수신거부 문구 넣기")),IF($H99="REFERRAL","소개 후 첫 메시지만 OK: 소개자 이름 + 이름·주소·연락처·수신거부 문구. 두 번째부터는 다른 동의 근거 필요",IF(AND($H99="REPLY",$D99&lt;&gt;"QUOTE",$D99&lt;&gt;"CALLBACK"),"문의에 대한 답장이 아님: EXPRESS 또는 INQUIRY 동의 필요","OK: 이름·주소·연락처·수신거부 문구 넣기")))),"")))</f>
      </c>
      <c r="N99" s="40">
        <f>IF($H99="INQUIRY",IFERROR(EDATE(INDEX('견적 Quotes'!$B$3:$B$1002,MATCH($C99,'견적 Quotes'!$A$3:$A$1002,0)),'설정 Settings'!$C$20),""),"")</f>
      </c>
    </row>
    <row r="100" spans="12:14" x14ac:dyDescent="0.25">
      <c r="L100" s="42">
        <f>IF($A100="","",IF($G100="Y","완료 DONE",IF($F100="","날짜 없음",IF($F100&lt;'설정 Settings'!$C$15,"지남 OVERDUE",IF($F100='설정 Settings'!$C$15,"오늘 TODAY","예정 OPEN")))))</f>
      </c>
      <c r="M100" s="42">
        <f>IF($A100="","",IF($I100="Y","수신거부: 문자·이메일 보내지 않기",IF(OR($E100="SMS",$E100="EMAIL"),IF(OR($H100="",$H100="NONE"),"동의 근거 없음: 전화·방문만",IF($H100="INQUIRY",IF(N($N100)=0,"견적 요청일을 못 찾음: 관련 ID에 견적 ID(Q-…)를 넣었는지 확인",IF('설정 Settings'!$C$15&gt;N($N100),"문의 후 6개월 지남: 다른 동의 근거 필요","OK: 이름·주소·연락처·수신거부 문구 넣기")),IF($H100="REFERRAL","소개 후 첫 메시지만 OK: 소개자 이름 + 이름·주소·연락처·수신거부 문구. 두 번째부터는 다른 동의 근거 필요",IF(AND($H100="REPLY",$D100&lt;&gt;"QUOTE",$D100&lt;&gt;"CALLBACK"),"문의에 대한 답장이 아님: EXPRESS 또는 INQUIRY 동의 필요","OK: 이름·주소·연락처·수신거부 문구 넣기")))),"")))</f>
      </c>
      <c r="N100" s="40">
        <f>IF($H100="INQUIRY",IFERROR(EDATE(INDEX('견적 Quotes'!$B$3:$B$1002,MATCH($C100,'견적 Quotes'!$A$3:$A$1002,0)),'설정 Settings'!$C$20),""),"")</f>
      </c>
    </row>
    <row r="101" spans="12:14" x14ac:dyDescent="0.25">
      <c r="L101" s="42">
        <f>IF($A101="","",IF($G101="Y","완료 DONE",IF($F101="","날짜 없음",IF($F101&lt;'설정 Settings'!$C$15,"지남 OVERDUE",IF($F101='설정 Settings'!$C$15,"오늘 TODAY","예정 OPEN")))))</f>
      </c>
      <c r="M101" s="42">
        <f>IF($A101="","",IF($I101="Y","수신거부: 문자·이메일 보내지 않기",IF(OR($E101="SMS",$E101="EMAIL"),IF(OR($H101="",$H101="NONE"),"동의 근거 없음: 전화·방문만",IF($H101="INQUIRY",IF(N($N101)=0,"견적 요청일을 못 찾음: 관련 ID에 견적 ID(Q-…)를 넣었는지 확인",IF('설정 Settings'!$C$15&gt;N($N101),"문의 후 6개월 지남: 다른 동의 근거 필요","OK: 이름·주소·연락처·수신거부 문구 넣기")),IF($H101="REFERRAL","소개 후 첫 메시지만 OK: 소개자 이름 + 이름·주소·연락처·수신거부 문구. 두 번째부터는 다른 동의 근거 필요",IF(AND($H101="REPLY",$D101&lt;&gt;"QUOTE",$D101&lt;&gt;"CALLBACK"),"문의에 대한 답장이 아님: EXPRESS 또는 INQUIRY 동의 필요","OK: 이름·주소·연락처·수신거부 문구 넣기")))),"")))</f>
      </c>
      <c r="N101" s="40">
        <f>IF($H101="INQUIRY",IFERROR(EDATE(INDEX('견적 Quotes'!$B$3:$B$1002,MATCH($C101,'견적 Quotes'!$A$3:$A$1002,0)),'설정 Settings'!$C$20),""),"")</f>
      </c>
    </row>
    <row r="102" spans="12:14" x14ac:dyDescent="0.25">
      <c r="L102" s="42">
        <f>IF($A102="","",IF($G102="Y","완료 DONE",IF($F102="","날짜 없음",IF($F102&lt;'설정 Settings'!$C$15,"지남 OVERDUE",IF($F102='설정 Settings'!$C$15,"오늘 TODAY","예정 OPEN")))))</f>
      </c>
      <c r="M102" s="42">
        <f>IF($A102="","",IF($I102="Y","수신거부: 문자·이메일 보내지 않기",IF(OR($E102="SMS",$E102="EMAIL"),IF(OR($H102="",$H102="NONE"),"동의 근거 없음: 전화·방문만",IF($H102="INQUIRY",IF(N($N102)=0,"견적 요청일을 못 찾음: 관련 ID에 견적 ID(Q-…)를 넣었는지 확인",IF('설정 Settings'!$C$15&gt;N($N102),"문의 후 6개월 지남: 다른 동의 근거 필요","OK: 이름·주소·연락처·수신거부 문구 넣기")),IF($H102="REFERRAL","소개 후 첫 메시지만 OK: 소개자 이름 + 이름·주소·연락처·수신거부 문구. 두 번째부터는 다른 동의 근거 필요",IF(AND($H102="REPLY",$D102&lt;&gt;"QUOTE",$D102&lt;&gt;"CALLBACK"),"문의에 대한 답장이 아님: EXPRESS 또는 INQUIRY 동의 필요","OK: 이름·주소·연락처·수신거부 문구 넣기")))),"")))</f>
      </c>
      <c r="N102" s="40">
        <f>IF($H102="INQUIRY",IFERROR(EDATE(INDEX('견적 Quotes'!$B$3:$B$1002,MATCH($C102,'견적 Quotes'!$A$3:$A$1002,0)),'설정 Settings'!$C$20),""),"")</f>
      </c>
    </row>
    <row r="103" spans="12:14" x14ac:dyDescent="0.25">
      <c r="L103" s="42">
        <f>IF($A103="","",IF($G103="Y","완료 DONE",IF($F103="","날짜 없음",IF($F103&lt;'설정 Settings'!$C$15,"지남 OVERDUE",IF($F103='설정 Settings'!$C$15,"오늘 TODAY","예정 OPEN")))))</f>
      </c>
      <c r="M103" s="42">
        <f>IF($A103="","",IF($I103="Y","수신거부: 문자·이메일 보내지 않기",IF(OR($E103="SMS",$E103="EMAIL"),IF(OR($H103="",$H103="NONE"),"동의 근거 없음: 전화·방문만",IF($H103="INQUIRY",IF(N($N103)=0,"견적 요청일을 못 찾음: 관련 ID에 견적 ID(Q-…)를 넣었는지 확인",IF('설정 Settings'!$C$15&gt;N($N103),"문의 후 6개월 지남: 다른 동의 근거 필요","OK: 이름·주소·연락처·수신거부 문구 넣기")),IF($H103="REFERRAL","소개 후 첫 메시지만 OK: 소개자 이름 + 이름·주소·연락처·수신거부 문구. 두 번째부터는 다른 동의 근거 필요",IF(AND($H103="REPLY",$D103&lt;&gt;"QUOTE",$D103&lt;&gt;"CALLBACK"),"문의에 대한 답장이 아님: EXPRESS 또는 INQUIRY 동의 필요","OK: 이름·주소·연락처·수신거부 문구 넣기")))),"")))</f>
      </c>
      <c r="N103" s="40">
        <f>IF($H103="INQUIRY",IFERROR(EDATE(INDEX('견적 Quotes'!$B$3:$B$1002,MATCH($C103,'견적 Quotes'!$A$3:$A$1002,0)),'설정 Settings'!$C$20),""),"")</f>
      </c>
    </row>
    <row r="104" spans="12:14" x14ac:dyDescent="0.25">
      <c r="L104" s="42">
        <f>IF($A104="","",IF($G104="Y","완료 DONE",IF($F104="","날짜 없음",IF($F104&lt;'설정 Settings'!$C$15,"지남 OVERDUE",IF($F104='설정 Settings'!$C$15,"오늘 TODAY","예정 OPEN")))))</f>
      </c>
      <c r="M104" s="42">
        <f>IF($A104="","",IF($I104="Y","수신거부: 문자·이메일 보내지 않기",IF(OR($E104="SMS",$E104="EMAIL"),IF(OR($H104="",$H104="NONE"),"동의 근거 없음: 전화·방문만",IF($H104="INQUIRY",IF(N($N104)=0,"견적 요청일을 못 찾음: 관련 ID에 견적 ID(Q-…)를 넣었는지 확인",IF('설정 Settings'!$C$15&gt;N($N104),"문의 후 6개월 지남: 다른 동의 근거 필요","OK: 이름·주소·연락처·수신거부 문구 넣기")),IF($H104="REFERRAL","소개 후 첫 메시지만 OK: 소개자 이름 + 이름·주소·연락처·수신거부 문구. 두 번째부터는 다른 동의 근거 필요",IF(AND($H104="REPLY",$D104&lt;&gt;"QUOTE",$D104&lt;&gt;"CALLBACK"),"문의에 대한 답장이 아님: EXPRESS 또는 INQUIRY 동의 필요","OK: 이름·주소·연락처·수신거부 문구 넣기")))),"")))</f>
      </c>
      <c r="N104" s="40">
        <f>IF($H104="INQUIRY",IFERROR(EDATE(INDEX('견적 Quotes'!$B$3:$B$1002,MATCH($C104,'견적 Quotes'!$A$3:$A$1002,0)),'설정 Settings'!$C$20),""),"")</f>
      </c>
    </row>
    <row r="105" spans="12:14" x14ac:dyDescent="0.25">
      <c r="L105" s="42">
        <f>IF($A105="","",IF($G105="Y","완료 DONE",IF($F105="","날짜 없음",IF($F105&lt;'설정 Settings'!$C$15,"지남 OVERDUE",IF($F105='설정 Settings'!$C$15,"오늘 TODAY","예정 OPEN")))))</f>
      </c>
      <c r="M105" s="42">
        <f>IF($A105="","",IF($I105="Y","수신거부: 문자·이메일 보내지 않기",IF(OR($E105="SMS",$E105="EMAIL"),IF(OR($H105="",$H105="NONE"),"동의 근거 없음: 전화·방문만",IF($H105="INQUIRY",IF(N($N105)=0,"견적 요청일을 못 찾음: 관련 ID에 견적 ID(Q-…)를 넣었는지 확인",IF('설정 Settings'!$C$15&gt;N($N105),"문의 후 6개월 지남: 다른 동의 근거 필요","OK: 이름·주소·연락처·수신거부 문구 넣기")),IF($H105="REFERRAL","소개 후 첫 메시지만 OK: 소개자 이름 + 이름·주소·연락처·수신거부 문구. 두 번째부터는 다른 동의 근거 필요",IF(AND($H105="REPLY",$D105&lt;&gt;"QUOTE",$D105&lt;&gt;"CALLBACK"),"문의에 대한 답장이 아님: EXPRESS 또는 INQUIRY 동의 필요","OK: 이름·주소·연락처·수신거부 문구 넣기")))),"")))</f>
      </c>
      <c r="N105" s="40">
        <f>IF($H105="INQUIRY",IFERROR(EDATE(INDEX('견적 Quotes'!$B$3:$B$1002,MATCH($C105,'견적 Quotes'!$A$3:$A$1002,0)),'설정 Settings'!$C$20),""),"")</f>
      </c>
    </row>
    <row r="106" spans="12:14" x14ac:dyDescent="0.25">
      <c r="L106" s="42">
        <f>IF($A106="","",IF($G106="Y","완료 DONE",IF($F106="","날짜 없음",IF($F106&lt;'설정 Settings'!$C$15,"지남 OVERDUE",IF($F106='설정 Settings'!$C$15,"오늘 TODAY","예정 OPEN")))))</f>
      </c>
      <c r="M106" s="42">
        <f>IF($A106="","",IF($I106="Y","수신거부: 문자·이메일 보내지 않기",IF(OR($E106="SMS",$E106="EMAIL"),IF(OR($H106="",$H106="NONE"),"동의 근거 없음: 전화·방문만",IF($H106="INQUIRY",IF(N($N106)=0,"견적 요청일을 못 찾음: 관련 ID에 견적 ID(Q-…)를 넣었는지 확인",IF('설정 Settings'!$C$15&gt;N($N106),"문의 후 6개월 지남: 다른 동의 근거 필요","OK: 이름·주소·연락처·수신거부 문구 넣기")),IF($H106="REFERRAL","소개 후 첫 메시지만 OK: 소개자 이름 + 이름·주소·연락처·수신거부 문구. 두 번째부터는 다른 동의 근거 필요",IF(AND($H106="REPLY",$D106&lt;&gt;"QUOTE",$D106&lt;&gt;"CALLBACK"),"문의에 대한 답장이 아님: EXPRESS 또는 INQUIRY 동의 필요","OK: 이름·주소·연락처·수신거부 문구 넣기")))),"")))</f>
      </c>
      <c r="N106" s="40">
        <f>IF($H106="INQUIRY",IFERROR(EDATE(INDEX('견적 Quotes'!$B$3:$B$1002,MATCH($C106,'견적 Quotes'!$A$3:$A$1002,0)),'설정 Settings'!$C$20),""),"")</f>
      </c>
    </row>
    <row r="107" spans="12:14" x14ac:dyDescent="0.25">
      <c r="L107" s="42">
        <f>IF($A107="","",IF($G107="Y","완료 DONE",IF($F107="","날짜 없음",IF($F107&lt;'설정 Settings'!$C$15,"지남 OVERDUE",IF($F107='설정 Settings'!$C$15,"오늘 TODAY","예정 OPEN")))))</f>
      </c>
      <c r="M107" s="42">
        <f>IF($A107="","",IF($I107="Y","수신거부: 문자·이메일 보내지 않기",IF(OR($E107="SMS",$E107="EMAIL"),IF(OR($H107="",$H107="NONE"),"동의 근거 없음: 전화·방문만",IF($H107="INQUIRY",IF(N($N107)=0,"견적 요청일을 못 찾음: 관련 ID에 견적 ID(Q-…)를 넣었는지 확인",IF('설정 Settings'!$C$15&gt;N($N107),"문의 후 6개월 지남: 다른 동의 근거 필요","OK: 이름·주소·연락처·수신거부 문구 넣기")),IF($H107="REFERRAL","소개 후 첫 메시지만 OK: 소개자 이름 + 이름·주소·연락처·수신거부 문구. 두 번째부터는 다른 동의 근거 필요",IF(AND($H107="REPLY",$D107&lt;&gt;"QUOTE",$D107&lt;&gt;"CALLBACK"),"문의에 대한 답장이 아님: EXPRESS 또는 INQUIRY 동의 필요","OK: 이름·주소·연락처·수신거부 문구 넣기")))),"")))</f>
      </c>
      <c r="N107" s="40">
        <f>IF($H107="INQUIRY",IFERROR(EDATE(INDEX('견적 Quotes'!$B$3:$B$1002,MATCH($C107,'견적 Quotes'!$A$3:$A$1002,0)),'설정 Settings'!$C$20),""),"")</f>
      </c>
    </row>
    <row r="108" spans="12:14" x14ac:dyDescent="0.25">
      <c r="L108" s="42">
        <f>IF($A108="","",IF($G108="Y","완료 DONE",IF($F108="","날짜 없음",IF($F108&lt;'설정 Settings'!$C$15,"지남 OVERDUE",IF($F108='설정 Settings'!$C$15,"오늘 TODAY","예정 OPEN")))))</f>
      </c>
      <c r="M108" s="42">
        <f>IF($A108="","",IF($I108="Y","수신거부: 문자·이메일 보내지 않기",IF(OR($E108="SMS",$E108="EMAIL"),IF(OR($H108="",$H108="NONE"),"동의 근거 없음: 전화·방문만",IF($H108="INQUIRY",IF(N($N108)=0,"견적 요청일을 못 찾음: 관련 ID에 견적 ID(Q-…)를 넣었는지 확인",IF('설정 Settings'!$C$15&gt;N($N108),"문의 후 6개월 지남: 다른 동의 근거 필요","OK: 이름·주소·연락처·수신거부 문구 넣기")),IF($H108="REFERRAL","소개 후 첫 메시지만 OK: 소개자 이름 + 이름·주소·연락처·수신거부 문구. 두 번째부터는 다른 동의 근거 필요",IF(AND($H108="REPLY",$D108&lt;&gt;"QUOTE",$D108&lt;&gt;"CALLBACK"),"문의에 대한 답장이 아님: EXPRESS 또는 INQUIRY 동의 필요","OK: 이름·주소·연락처·수신거부 문구 넣기")))),"")))</f>
      </c>
      <c r="N108" s="40">
        <f>IF($H108="INQUIRY",IFERROR(EDATE(INDEX('견적 Quotes'!$B$3:$B$1002,MATCH($C108,'견적 Quotes'!$A$3:$A$1002,0)),'설정 Settings'!$C$20),""),"")</f>
      </c>
    </row>
    <row r="109" spans="12:14" x14ac:dyDescent="0.25">
      <c r="L109" s="42">
        <f>IF($A109="","",IF($G109="Y","완료 DONE",IF($F109="","날짜 없음",IF($F109&lt;'설정 Settings'!$C$15,"지남 OVERDUE",IF($F109='설정 Settings'!$C$15,"오늘 TODAY","예정 OPEN")))))</f>
      </c>
      <c r="M109" s="42">
        <f>IF($A109="","",IF($I109="Y","수신거부: 문자·이메일 보내지 않기",IF(OR($E109="SMS",$E109="EMAIL"),IF(OR($H109="",$H109="NONE"),"동의 근거 없음: 전화·방문만",IF($H109="INQUIRY",IF(N($N109)=0,"견적 요청일을 못 찾음: 관련 ID에 견적 ID(Q-…)를 넣었는지 확인",IF('설정 Settings'!$C$15&gt;N($N109),"문의 후 6개월 지남: 다른 동의 근거 필요","OK: 이름·주소·연락처·수신거부 문구 넣기")),IF($H109="REFERRAL","소개 후 첫 메시지만 OK: 소개자 이름 + 이름·주소·연락처·수신거부 문구. 두 번째부터는 다른 동의 근거 필요",IF(AND($H109="REPLY",$D109&lt;&gt;"QUOTE",$D109&lt;&gt;"CALLBACK"),"문의에 대한 답장이 아님: EXPRESS 또는 INQUIRY 동의 필요","OK: 이름·주소·연락처·수신거부 문구 넣기")))),"")))</f>
      </c>
      <c r="N109" s="40">
        <f>IF($H109="INQUIRY",IFERROR(EDATE(INDEX('견적 Quotes'!$B$3:$B$1002,MATCH($C109,'견적 Quotes'!$A$3:$A$1002,0)),'설정 Settings'!$C$20),""),"")</f>
      </c>
    </row>
    <row r="110" spans="12:14" x14ac:dyDescent="0.25">
      <c r="L110" s="42">
        <f>IF($A110="","",IF($G110="Y","완료 DONE",IF($F110="","날짜 없음",IF($F110&lt;'설정 Settings'!$C$15,"지남 OVERDUE",IF($F110='설정 Settings'!$C$15,"오늘 TODAY","예정 OPEN")))))</f>
      </c>
      <c r="M110" s="42">
        <f>IF($A110="","",IF($I110="Y","수신거부: 문자·이메일 보내지 않기",IF(OR($E110="SMS",$E110="EMAIL"),IF(OR($H110="",$H110="NONE"),"동의 근거 없음: 전화·방문만",IF($H110="INQUIRY",IF(N($N110)=0,"견적 요청일을 못 찾음: 관련 ID에 견적 ID(Q-…)를 넣었는지 확인",IF('설정 Settings'!$C$15&gt;N($N110),"문의 후 6개월 지남: 다른 동의 근거 필요","OK: 이름·주소·연락처·수신거부 문구 넣기")),IF($H110="REFERRAL","소개 후 첫 메시지만 OK: 소개자 이름 + 이름·주소·연락처·수신거부 문구. 두 번째부터는 다른 동의 근거 필요",IF(AND($H110="REPLY",$D110&lt;&gt;"QUOTE",$D110&lt;&gt;"CALLBACK"),"문의에 대한 답장이 아님: EXPRESS 또는 INQUIRY 동의 필요","OK: 이름·주소·연락처·수신거부 문구 넣기")))),"")))</f>
      </c>
      <c r="N110" s="40">
        <f>IF($H110="INQUIRY",IFERROR(EDATE(INDEX('견적 Quotes'!$B$3:$B$1002,MATCH($C110,'견적 Quotes'!$A$3:$A$1002,0)),'설정 Settings'!$C$20),""),"")</f>
      </c>
    </row>
    <row r="111" spans="12:14" x14ac:dyDescent="0.25">
      <c r="L111" s="42">
        <f>IF($A111="","",IF($G111="Y","완료 DONE",IF($F111="","날짜 없음",IF($F111&lt;'설정 Settings'!$C$15,"지남 OVERDUE",IF($F111='설정 Settings'!$C$15,"오늘 TODAY","예정 OPEN")))))</f>
      </c>
      <c r="M111" s="42">
        <f>IF($A111="","",IF($I111="Y","수신거부: 문자·이메일 보내지 않기",IF(OR($E111="SMS",$E111="EMAIL"),IF(OR($H111="",$H111="NONE"),"동의 근거 없음: 전화·방문만",IF($H111="INQUIRY",IF(N($N111)=0,"견적 요청일을 못 찾음: 관련 ID에 견적 ID(Q-…)를 넣었는지 확인",IF('설정 Settings'!$C$15&gt;N($N111),"문의 후 6개월 지남: 다른 동의 근거 필요","OK: 이름·주소·연락처·수신거부 문구 넣기")),IF($H111="REFERRAL","소개 후 첫 메시지만 OK: 소개자 이름 + 이름·주소·연락처·수신거부 문구. 두 번째부터는 다른 동의 근거 필요",IF(AND($H111="REPLY",$D111&lt;&gt;"QUOTE",$D111&lt;&gt;"CALLBACK"),"문의에 대한 답장이 아님: EXPRESS 또는 INQUIRY 동의 필요","OK: 이름·주소·연락처·수신거부 문구 넣기")))),"")))</f>
      </c>
      <c r="N111" s="40">
        <f>IF($H111="INQUIRY",IFERROR(EDATE(INDEX('견적 Quotes'!$B$3:$B$1002,MATCH($C111,'견적 Quotes'!$A$3:$A$1002,0)),'설정 Settings'!$C$20),""),"")</f>
      </c>
    </row>
    <row r="112" spans="12:14" x14ac:dyDescent="0.25">
      <c r="L112" s="42">
        <f>IF($A112="","",IF($G112="Y","완료 DONE",IF($F112="","날짜 없음",IF($F112&lt;'설정 Settings'!$C$15,"지남 OVERDUE",IF($F112='설정 Settings'!$C$15,"오늘 TODAY","예정 OPEN")))))</f>
      </c>
      <c r="M112" s="42">
        <f>IF($A112="","",IF($I112="Y","수신거부: 문자·이메일 보내지 않기",IF(OR($E112="SMS",$E112="EMAIL"),IF(OR($H112="",$H112="NONE"),"동의 근거 없음: 전화·방문만",IF($H112="INQUIRY",IF(N($N112)=0,"견적 요청일을 못 찾음: 관련 ID에 견적 ID(Q-…)를 넣었는지 확인",IF('설정 Settings'!$C$15&gt;N($N112),"문의 후 6개월 지남: 다른 동의 근거 필요","OK: 이름·주소·연락처·수신거부 문구 넣기")),IF($H112="REFERRAL","소개 후 첫 메시지만 OK: 소개자 이름 + 이름·주소·연락처·수신거부 문구. 두 번째부터는 다른 동의 근거 필요",IF(AND($H112="REPLY",$D112&lt;&gt;"QUOTE",$D112&lt;&gt;"CALLBACK"),"문의에 대한 답장이 아님: EXPRESS 또는 INQUIRY 동의 필요","OK: 이름·주소·연락처·수신거부 문구 넣기")))),"")))</f>
      </c>
      <c r="N112" s="40">
        <f>IF($H112="INQUIRY",IFERROR(EDATE(INDEX('견적 Quotes'!$B$3:$B$1002,MATCH($C112,'견적 Quotes'!$A$3:$A$1002,0)),'설정 Settings'!$C$20),""),"")</f>
      </c>
    </row>
    <row r="113" spans="12:14" x14ac:dyDescent="0.25">
      <c r="L113" s="42">
        <f>IF($A113="","",IF($G113="Y","완료 DONE",IF($F113="","날짜 없음",IF($F113&lt;'설정 Settings'!$C$15,"지남 OVERDUE",IF($F113='설정 Settings'!$C$15,"오늘 TODAY","예정 OPEN")))))</f>
      </c>
      <c r="M113" s="42">
        <f>IF($A113="","",IF($I113="Y","수신거부: 문자·이메일 보내지 않기",IF(OR($E113="SMS",$E113="EMAIL"),IF(OR($H113="",$H113="NONE"),"동의 근거 없음: 전화·방문만",IF($H113="INQUIRY",IF(N($N113)=0,"견적 요청일을 못 찾음: 관련 ID에 견적 ID(Q-…)를 넣었는지 확인",IF('설정 Settings'!$C$15&gt;N($N113),"문의 후 6개월 지남: 다른 동의 근거 필요","OK: 이름·주소·연락처·수신거부 문구 넣기")),IF($H113="REFERRAL","소개 후 첫 메시지만 OK: 소개자 이름 + 이름·주소·연락처·수신거부 문구. 두 번째부터는 다른 동의 근거 필요",IF(AND($H113="REPLY",$D113&lt;&gt;"QUOTE",$D113&lt;&gt;"CALLBACK"),"문의에 대한 답장이 아님: EXPRESS 또는 INQUIRY 동의 필요","OK: 이름·주소·연락처·수신거부 문구 넣기")))),"")))</f>
      </c>
      <c r="N113" s="40">
        <f>IF($H113="INQUIRY",IFERROR(EDATE(INDEX('견적 Quotes'!$B$3:$B$1002,MATCH($C113,'견적 Quotes'!$A$3:$A$1002,0)),'설정 Settings'!$C$20),""),"")</f>
      </c>
    </row>
    <row r="114" spans="12:14" x14ac:dyDescent="0.25">
      <c r="L114" s="42">
        <f>IF($A114="","",IF($G114="Y","완료 DONE",IF($F114="","날짜 없음",IF($F114&lt;'설정 Settings'!$C$15,"지남 OVERDUE",IF($F114='설정 Settings'!$C$15,"오늘 TODAY","예정 OPEN")))))</f>
      </c>
      <c r="M114" s="42">
        <f>IF($A114="","",IF($I114="Y","수신거부: 문자·이메일 보내지 않기",IF(OR($E114="SMS",$E114="EMAIL"),IF(OR($H114="",$H114="NONE"),"동의 근거 없음: 전화·방문만",IF($H114="INQUIRY",IF(N($N114)=0,"견적 요청일을 못 찾음: 관련 ID에 견적 ID(Q-…)를 넣었는지 확인",IF('설정 Settings'!$C$15&gt;N($N114),"문의 후 6개월 지남: 다른 동의 근거 필요","OK: 이름·주소·연락처·수신거부 문구 넣기")),IF($H114="REFERRAL","소개 후 첫 메시지만 OK: 소개자 이름 + 이름·주소·연락처·수신거부 문구. 두 번째부터는 다른 동의 근거 필요",IF(AND($H114="REPLY",$D114&lt;&gt;"QUOTE",$D114&lt;&gt;"CALLBACK"),"문의에 대한 답장이 아님: EXPRESS 또는 INQUIRY 동의 필요","OK: 이름·주소·연락처·수신거부 문구 넣기")))),"")))</f>
      </c>
      <c r="N114" s="40">
        <f>IF($H114="INQUIRY",IFERROR(EDATE(INDEX('견적 Quotes'!$B$3:$B$1002,MATCH($C114,'견적 Quotes'!$A$3:$A$1002,0)),'설정 Settings'!$C$20),""),"")</f>
      </c>
    </row>
    <row r="115" spans="12:14" x14ac:dyDescent="0.25">
      <c r="L115" s="42">
        <f>IF($A115="","",IF($G115="Y","완료 DONE",IF($F115="","날짜 없음",IF($F115&lt;'설정 Settings'!$C$15,"지남 OVERDUE",IF($F115='설정 Settings'!$C$15,"오늘 TODAY","예정 OPEN")))))</f>
      </c>
      <c r="M115" s="42">
        <f>IF($A115="","",IF($I115="Y","수신거부: 문자·이메일 보내지 않기",IF(OR($E115="SMS",$E115="EMAIL"),IF(OR($H115="",$H115="NONE"),"동의 근거 없음: 전화·방문만",IF($H115="INQUIRY",IF(N($N115)=0,"견적 요청일을 못 찾음: 관련 ID에 견적 ID(Q-…)를 넣었는지 확인",IF('설정 Settings'!$C$15&gt;N($N115),"문의 후 6개월 지남: 다른 동의 근거 필요","OK: 이름·주소·연락처·수신거부 문구 넣기")),IF($H115="REFERRAL","소개 후 첫 메시지만 OK: 소개자 이름 + 이름·주소·연락처·수신거부 문구. 두 번째부터는 다른 동의 근거 필요",IF(AND($H115="REPLY",$D115&lt;&gt;"QUOTE",$D115&lt;&gt;"CALLBACK"),"문의에 대한 답장이 아님: EXPRESS 또는 INQUIRY 동의 필요","OK: 이름·주소·연락처·수신거부 문구 넣기")))),"")))</f>
      </c>
      <c r="N115" s="40">
        <f>IF($H115="INQUIRY",IFERROR(EDATE(INDEX('견적 Quotes'!$B$3:$B$1002,MATCH($C115,'견적 Quotes'!$A$3:$A$1002,0)),'설정 Settings'!$C$20),""),"")</f>
      </c>
    </row>
    <row r="116" spans="12:14" x14ac:dyDescent="0.25">
      <c r="L116" s="42">
        <f>IF($A116="","",IF($G116="Y","완료 DONE",IF($F116="","날짜 없음",IF($F116&lt;'설정 Settings'!$C$15,"지남 OVERDUE",IF($F116='설정 Settings'!$C$15,"오늘 TODAY","예정 OPEN")))))</f>
      </c>
      <c r="M116" s="42">
        <f>IF($A116="","",IF($I116="Y","수신거부: 문자·이메일 보내지 않기",IF(OR($E116="SMS",$E116="EMAIL"),IF(OR($H116="",$H116="NONE"),"동의 근거 없음: 전화·방문만",IF($H116="INQUIRY",IF(N($N116)=0,"견적 요청일을 못 찾음: 관련 ID에 견적 ID(Q-…)를 넣었는지 확인",IF('설정 Settings'!$C$15&gt;N($N116),"문의 후 6개월 지남: 다른 동의 근거 필요","OK: 이름·주소·연락처·수신거부 문구 넣기")),IF($H116="REFERRAL","소개 후 첫 메시지만 OK: 소개자 이름 + 이름·주소·연락처·수신거부 문구. 두 번째부터는 다른 동의 근거 필요",IF(AND($H116="REPLY",$D116&lt;&gt;"QUOTE",$D116&lt;&gt;"CALLBACK"),"문의에 대한 답장이 아님: EXPRESS 또는 INQUIRY 동의 필요","OK: 이름·주소·연락처·수신거부 문구 넣기")))),"")))</f>
      </c>
      <c r="N116" s="40">
        <f>IF($H116="INQUIRY",IFERROR(EDATE(INDEX('견적 Quotes'!$B$3:$B$1002,MATCH($C116,'견적 Quotes'!$A$3:$A$1002,0)),'설정 Settings'!$C$20),""),"")</f>
      </c>
    </row>
    <row r="117" spans="12:14" x14ac:dyDescent="0.25">
      <c r="L117" s="42">
        <f>IF($A117="","",IF($G117="Y","완료 DONE",IF($F117="","날짜 없음",IF($F117&lt;'설정 Settings'!$C$15,"지남 OVERDUE",IF($F117='설정 Settings'!$C$15,"오늘 TODAY","예정 OPEN")))))</f>
      </c>
      <c r="M117" s="42">
        <f>IF($A117="","",IF($I117="Y","수신거부: 문자·이메일 보내지 않기",IF(OR($E117="SMS",$E117="EMAIL"),IF(OR($H117="",$H117="NONE"),"동의 근거 없음: 전화·방문만",IF($H117="INQUIRY",IF(N($N117)=0,"견적 요청일을 못 찾음: 관련 ID에 견적 ID(Q-…)를 넣었는지 확인",IF('설정 Settings'!$C$15&gt;N($N117),"문의 후 6개월 지남: 다른 동의 근거 필요","OK: 이름·주소·연락처·수신거부 문구 넣기")),IF($H117="REFERRAL","소개 후 첫 메시지만 OK: 소개자 이름 + 이름·주소·연락처·수신거부 문구. 두 번째부터는 다른 동의 근거 필요",IF(AND($H117="REPLY",$D117&lt;&gt;"QUOTE",$D117&lt;&gt;"CALLBACK"),"문의에 대한 답장이 아님: EXPRESS 또는 INQUIRY 동의 필요","OK: 이름·주소·연락처·수신거부 문구 넣기")))),"")))</f>
      </c>
      <c r="N117" s="40">
        <f>IF($H117="INQUIRY",IFERROR(EDATE(INDEX('견적 Quotes'!$B$3:$B$1002,MATCH($C117,'견적 Quotes'!$A$3:$A$1002,0)),'설정 Settings'!$C$20),""),"")</f>
      </c>
    </row>
    <row r="118" spans="12:14" x14ac:dyDescent="0.25">
      <c r="L118" s="42">
        <f>IF($A118="","",IF($G118="Y","완료 DONE",IF($F118="","날짜 없음",IF($F118&lt;'설정 Settings'!$C$15,"지남 OVERDUE",IF($F118='설정 Settings'!$C$15,"오늘 TODAY","예정 OPEN")))))</f>
      </c>
      <c r="M118" s="42">
        <f>IF($A118="","",IF($I118="Y","수신거부: 문자·이메일 보내지 않기",IF(OR($E118="SMS",$E118="EMAIL"),IF(OR($H118="",$H118="NONE"),"동의 근거 없음: 전화·방문만",IF($H118="INQUIRY",IF(N($N118)=0,"견적 요청일을 못 찾음: 관련 ID에 견적 ID(Q-…)를 넣었는지 확인",IF('설정 Settings'!$C$15&gt;N($N118),"문의 후 6개월 지남: 다른 동의 근거 필요","OK: 이름·주소·연락처·수신거부 문구 넣기")),IF($H118="REFERRAL","소개 후 첫 메시지만 OK: 소개자 이름 + 이름·주소·연락처·수신거부 문구. 두 번째부터는 다른 동의 근거 필요",IF(AND($H118="REPLY",$D118&lt;&gt;"QUOTE",$D118&lt;&gt;"CALLBACK"),"문의에 대한 답장이 아님: EXPRESS 또는 INQUIRY 동의 필요","OK: 이름·주소·연락처·수신거부 문구 넣기")))),"")))</f>
      </c>
      <c r="N118" s="40">
        <f>IF($H118="INQUIRY",IFERROR(EDATE(INDEX('견적 Quotes'!$B$3:$B$1002,MATCH($C118,'견적 Quotes'!$A$3:$A$1002,0)),'설정 Settings'!$C$20),""),"")</f>
      </c>
    </row>
    <row r="119" spans="12:14" x14ac:dyDescent="0.25">
      <c r="L119" s="42">
        <f>IF($A119="","",IF($G119="Y","완료 DONE",IF($F119="","날짜 없음",IF($F119&lt;'설정 Settings'!$C$15,"지남 OVERDUE",IF($F119='설정 Settings'!$C$15,"오늘 TODAY","예정 OPEN")))))</f>
      </c>
      <c r="M119" s="42">
        <f>IF($A119="","",IF($I119="Y","수신거부: 문자·이메일 보내지 않기",IF(OR($E119="SMS",$E119="EMAIL"),IF(OR($H119="",$H119="NONE"),"동의 근거 없음: 전화·방문만",IF($H119="INQUIRY",IF(N($N119)=0,"견적 요청일을 못 찾음: 관련 ID에 견적 ID(Q-…)를 넣었는지 확인",IF('설정 Settings'!$C$15&gt;N($N119),"문의 후 6개월 지남: 다른 동의 근거 필요","OK: 이름·주소·연락처·수신거부 문구 넣기")),IF($H119="REFERRAL","소개 후 첫 메시지만 OK: 소개자 이름 + 이름·주소·연락처·수신거부 문구. 두 번째부터는 다른 동의 근거 필요",IF(AND($H119="REPLY",$D119&lt;&gt;"QUOTE",$D119&lt;&gt;"CALLBACK"),"문의에 대한 답장이 아님: EXPRESS 또는 INQUIRY 동의 필요","OK: 이름·주소·연락처·수신거부 문구 넣기")))),"")))</f>
      </c>
      <c r="N119" s="40">
        <f>IF($H119="INQUIRY",IFERROR(EDATE(INDEX('견적 Quotes'!$B$3:$B$1002,MATCH($C119,'견적 Quotes'!$A$3:$A$1002,0)),'설정 Settings'!$C$20),""),"")</f>
      </c>
    </row>
    <row r="120" spans="12:14" x14ac:dyDescent="0.25">
      <c r="L120" s="42">
        <f>IF($A120="","",IF($G120="Y","완료 DONE",IF($F120="","날짜 없음",IF($F120&lt;'설정 Settings'!$C$15,"지남 OVERDUE",IF($F120='설정 Settings'!$C$15,"오늘 TODAY","예정 OPEN")))))</f>
      </c>
      <c r="M120" s="42">
        <f>IF($A120="","",IF($I120="Y","수신거부: 문자·이메일 보내지 않기",IF(OR($E120="SMS",$E120="EMAIL"),IF(OR($H120="",$H120="NONE"),"동의 근거 없음: 전화·방문만",IF($H120="INQUIRY",IF(N($N120)=0,"견적 요청일을 못 찾음: 관련 ID에 견적 ID(Q-…)를 넣었는지 확인",IF('설정 Settings'!$C$15&gt;N($N120),"문의 후 6개월 지남: 다른 동의 근거 필요","OK: 이름·주소·연락처·수신거부 문구 넣기")),IF($H120="REFERRAL","소개 후 첫 메시지만 OK: 소개자 이름 + 이름·주소·연락처·수신거부 문구. 두 번째부터는 다른 동의 근거 필요",IF(AND($H120="REPLY",$D120&lt;&gt;"QUOTE",$D120&lt;&gt;"CALLBACK"),"문의에 대한 답장이 아님: EXPRESS 또는 INQUIRY 동의 필요","OK: 이름·주소·연락처·수신거부 문구 넣기")))),"")))</f>
      </c>
      <c r="N120" s="40">
        <f>IF($H120="INQUIRY",IFERROR(EDATE(INDEX('견적 Quotes'!$B$3:$B$1002,MATCH($C120,'견적 Quotes'!$A$3:$A$1002,0)),'설정 Settings'!$C$20),""),"")</f>
      </c>
    </row>
    <row r="121" spans="12:14" x14ac:dyDescent="0.25">
      <c r="L121" s="42">
        <f>IF($A121="","",IF($G121="Y","완료 DONE",IF($F121="","날짜 없음",IF($F121&lt;'설정 Settings'!$C$15,"지남 OVERDUE",IF($F121='설정 Settings'!$C$15,"오늘 TODAY","예정 OPEN")))))</f>
      </c>
      <c r="M121" s="42">
        <f>IF($A121="","",IF($I121="Y","수신거부: 문자·이메일 보내지 않기",IF(OR($E121="SMS",$E121="EMAIL"),IF(OR($H121="",$H121="NONE"),"동의 근거 없음: 전화·방문만",IF($H121="INQUIRY",IF(N($N121)=0,"견적 요청일을 못 찾음: 관련 ID에 견적 ID(Q-…)를 넣었는지 확인",IF('설정 Settings'!$C$15&gt;N($N121),"문의 후 6개월 지남: 다른 동의 근거 필요","OK: 이름·주소·연락처·수신거부 문구 넣기")),IF($H121="REFERRAL","소개 후 첫 메시지만 OK: 소개자 이름 + 이름·주소·연락처·수신거부 문구. 두 번째부터는 다른 동의 근거 필요",IF(AND($H121="REPLY",$D121&lt;&gt;"QUOTE",$D121&lt;&gt;"CALLBACK"),"문의에 대한 답장이 아님: EXPRESS 또는 INQUIRY 동의 필요","OK: 이름·주소·연락처·수신거부 문구 넣기")))),"")))</f>
      </c>
      <c r="N121" s="40">
        <f>IF($H121="INQUIRY",IFERROR(EDATE(INDEX('견적 Quotes'!$B$3:$B$1002,MATCH($C121,'견적 Quotes'!$A$3:$A$1002,0)),'설정 Settings'!$C$20),""),"")</f>
      </c>
    </row>
    <row r="122" spans="12:14" x14ac:dyDescent="0.25">
      <c r="L122" s="42">
        <f>IF($A122="","",IF($G122="Y","완료 DONE",IF($F122="","날짜 없음",IF($F122&lt;'설정 Settings'!$C$15,"지남 OVERDUE",IF($F122='설정 Settings'!$C$15,"오늘 TODAY","예정 OPEN")))))</f>
      </c>
      <c r="M122" s="42">
        <f>IF($A122="","",IF($I122="Y","수신거부: 문자·이메일 보내지 않기",IF(OR($E122="SMS",$E122="EMAIL"),IF(OR($H122="",$H122="NONE"),"동의 근거 없음: 전화·방문만",IF($H122="INQUIRY",IF(N($N122)=0,"견적 요청일을 못 찾음: 관련 ID에 견적 ID(Q-…)를 넣었는지 확인",IF('설정 Settings'!$C$15&gt;N($N122),"문의 후 6개월 지남: 다른 동의 근거 필요","OK: 이름·주소·연락처·수신거부 문구 넣기")),IF($H122="REFERRAL","소개 후 첫 메시지만 OK: 소개자 이름 + 이름·주소·연락처·수신거부 문구. 두 번째부터는 다른 동의 근거 필요",IF(AND($H122="REPLY",$D122&lt;&gt;"QUOTE",$D122&lt;&gt;"CALLBACK"),"문의에 대한 답장이 아님: EXPRESS 또는 INQUIRY 동의 필요","OK: 이름·주소·연락처·수신거부 문구 넣기")))),"")))</f>
      </c>
      <c r="N122" s="40">
        <f>IF($H122="INQUIRY",IFERROR(EDATE(INDEX('견적 Quotes'!$B$3:$B$1002,MATCH($C122,'견적 Quotes'!$A$3:$A$1002,0)),'설정 Settings'!$C$20),""),"")</f>
      </c>
    </row>
    <row r="123" spans="12:14" x14ac:dyDescent="0.25">
      <c r="L123" s="42">
        <f>IF($A123="","",IF($G123="Y","완료 DONE",IF($F123="","날짜 없음",IF($F123&lt;'설정 Settings'!$C$15,"지남 OVERDUE",IF($F123='설정 Settings'!$C$15,"오늘 TODAY","예정 OPEN")))))</f>
      </c>
      <c r="M123" s="42">
        <f>IF($A123="","",IF($I123="Y","수신거부: 문자·이메일 보내지 않기",IF(OR($E123="SMS",$E123="EMAIL"),IF(OR($H123="",$H123="NONE"),"동의 근거 없음: 전화·방문만",IF($H123="INQUIRY",IF(N($N123)=0,"견적 요청일을 못 찾음: 관련 ID에 견적 ID(Q-…)를 넣었는지 확인",IF('설정 Settings'!$C$15&gt;N($N123),"문의 후 6개월 지남: 다른 동의 근거 필요","OK: 이름·주소·연락처·수신거부 문구 넣기")),IF($H123="REFERRAL","소개 후 첫 메시지만 OK: 소개자 이름 + 이름·주소·연락처·수신거부 문구. 두 번째부터는 다른 동의 근거 필요",IF(AND($H123="REPLY",$D123&lt;&gt;"QUOTE",$D123&lt;&gt;"CALLBACK"),"문의에 대한 답장이 아님: EXPRESS 또는 INQUIRY 동의 필요","OK: 이름·주소·연락처·수신거부 문구 넣기")))),"")))</f>
      </c>
      <c r="N123" s="40">
        <f>IF($H123="INQUIRY",IFERROR(EDATE(INDEX('견적 Quotes'!$B$3:$B$1002,MATCH($C123,'견적 Quotes'!$A$3:$A$1002,0)),'설정 Settings'!$C$20),""),"")</f>
      </c>
    </row>
    <row r="124" spans="12:14" x14ac:dyDescent="0.25">
      <c r="L124" s="42">
        <f>IF($A124="","",IF($G124="Y","완료 DONE",IF($F124="","날짜 없음",IF($F124&lt;'설정 Settings'!$C$15,"지남 OVERDUE",IF($F124='설정 Settings'!$C$15,"오늘 TODAY","예정 OPEN")))))</f>
      </c>
      <c r="M124" s="42">
        <f>IF($A124="","",IF($I124="Y","수신거부: 문자·이메일 보내지 않기",IF(OR($E124="SMS",$E124="EMAIL"),IF(OR($H124="",$H124="NONE"),"동의 근거 없음: 전화·방문만",IF($H124="INQUIRY",IF(N($N124)=0,"견적 요청일을 못 찾음: 관련 ID에 견적 ID(Q-…)를 넣었는지 확인",IF('설정 Settings'!$C$15&gt;N($N124),"문의 후 6개월 지남: 다른 동의 근거 필요","OK: 이름·주소·연락처·수신거부 문구 넣기")),IF($H124="REFERRAL","소개 후 첫 메시지만 OK: 소개자 이름 + 이름·주소·연락처·수신거부 문구. 두 번째부터는 다른 동의 근거 필요",IF(AND($H124="REPLY",$D124&lt;&gt;"QUOTE",$D124&lt;&gt;"CALLBACK"),"문의에 대한 답장이 아님: EXPRESS 또는 INQUIRY 동의 필요","OK: 이름·주소·연락처·수신거부 문구 넣기")))),"")))</f>
      </c>
      <c r="N124" s="40">
        <f>IF($H124="INQUIRY",IFERROR(EDATE(INDEX('견적 Quotes'!$B$3:$B$1002,MATCH($C124,'견적 Quotes'!$A$3:$A$1002,0)),'설정 Settings'!$C$20),""),"")</f>
      </c>
    </row>
    <row r="125" spans="12:14" x14ac:dyDescent="0.25">
      <c r="L125" s="42">
        <f>IF($A125="","",IF($G125="Y","완료 DONE",IF($F125="","날짜 없음",IF($F125&lt;'설정 Settings'!$C$15,"지남 OVERDUE",IF($F125='설정 Settings'!$C$15,"오늘 TODAY","예정 OPEN")))))</f>
      </c>
      <c r="M125" s="42">
        <f>IF($A125="","",IF($I125="Y","수신거부: 문자·이메일 보내지 않기",IF(OR($E125="SMS",$E125="EMAIL"),IF(OR($H125="",$H125="NONE"),"동의 근거 없음: 전화·방문만",IF($H125="INQUIRY",IF(N($N125)=0,"견적 요청일을 못 찾음: 관련 ID에 견적 ID(Q-…)를 넣었는지 확인",IF('설정 Settings'!$C$15&gt;N($N125),"문의 후 6개월 지남: 다른 동의 근거 필요","OK: 이름·주소·연락처·수신거부 문구 넣기")),IF($H125="REFERRAL","소개 후 첫 메시지만 OK: 소개자 이름 + 이름·주소·연락처·수신거부 문구. 두 번째부터는 다른 동의 근거 필요",IF(AND($H125="REPLY",$D125&lt;&gt;"QUOTE",$D125&lt;&gt;"CALLBACK"),"문의에 대한 답장이 아님: EXPRESS 또는 INQUIRY 동의 필요","OK: 이름·주소·연락처·수신거부 문구 넣기")))),"")))</f>
      </c>
      <c r="N125" s="40">
        <f>IF($H125="INQUIRY",IFERROR(EDATE(INDEX('견적 Quotes'!$B$3:$B$1002,MATCH($C125,'견적 Quotes'!$A$3:$A$1002,0)),'설정 Settings'!$C$20),""),"")</f>
      </c>
    </row>
    <row r="126" spans="12:14" x14ac:dyDescent="0.25">
      <c r="L126" s="42">
        <f>IF($A126="","",IF($G126="Y","완료 DONE",IF($F126="","날짜 없음",IF($F126&lt;'설정 Settings'!$C$15,"지남 OVERDUE",IF($F126='설정 Settings'!$C$15,"오늘 TODAY","예정 OPEN")))))</f>
      </c>
      <c r="M126" s="42">
        <f>IF($A126="","",IF($I126="Y","수신거부: 문자·이메일 보내지 않기",IF(OR($E126="SMS",$E126="EMAIL"),IF(OR($H126="",$H126="NONE"),"동의 근거 없음: 전화·방문만",IF($H126="INQUIRY",IF(N($N126)=0,"견적 요청일을 못 찾음: 관련 ID에 견적 ID(Q-…)를 넣었는지 확인",IF('설정 Settings'!$C$15&gt;N($N126),"문의 후 6개월 지남: 다른 동의 근거 필요","OK: 이름·주소·연락처·수신거부 문구 넣기")),IF($H126="REFERRAL","소개 후 첫 메시지만 OK: 소개자 이름 + 이름·주소·연락처·수신거부 문구. 두 번째부터는 다른 동의 근거 필요",IF(AND($H126="REPLY",$D126&lt;&gt;"QUOTE",$D126&lt;&gt;"CALLBACK"),"문의에 대한 답장이 아님: EXPRESS 또는 INQUIRY 동의 필요","OK: 이름·주소·연락처·수신거부 문구 넣기")))),"")))</f>
      </c>
      <c r="N126" s="40">
        <f>IF($H126="INQUIRY",IFERROR(EDATE(INDEX('견적 Quotes'!$B$3:$B$1002,MATCH($C126,'견적 Quotes'!$A$3:$A$1002,0)),'설정 Settings'!$C$20),""),"")</f>
      </c>
    </row>
    <row r="127" spans="12:14" x14ac:dyDescent="0.25">
      <c r="L127" s="42">
        <f>IF($A127="","",IF($G127="Y","완료 DONE",IF($F127="","날짜 없음",IF($F127&lt;'설정 Settings'!$C$15,"지남 OVERDUE",IF($F127='설정 Settings'!$C$15,"오늘 TODAY","예정 OPEN")))))</f>
      </c>
      <c r="M127" s="42">
        <f>IF($A127="","",IF($I127="Y","수신거부: 문자·이메일 보내지 않기",IF(OR($E127="SMS",$E127="EMAIL"),IF(OR($H127="",$H127="NONE"),"동의 근거 없음: 전화·방문만",IF($H127="INQUIRY",IF(N($N127)=0,"견적 요청일을 못 찾음: 관련 ID에 견적 ID(Q-…)를 넣었는지 확인",IF('설정 Settings'!$C$15&gt;N($N127),"문의 후 6개월 지남: 다른 동의 근거 필요","OK: 이름·주소·연락처·수신거부 문구 넣기")),IF($H127="REFERRAL","소개 후 첫 메시지만 OK: 소개자 이름 + 이름·주소·연락처·수신거부 문구. 두 번째부터는 다른 동의 근거 필요",IF(AND($H127="REPLY",$D127&lt;&gt;"QUOTE",$D127&lt;&gt;"CALLBACK"),"문의에 대한 답장이 아님: EXPRESS 또는 INQUIRY 동의 필요","OK: 이름·주소·연락처·수신거부 문구 넣기")))),"")))</f>
      </c>
      <c r="N127" s="40">
        <f>IF($H127="INQUIRY",IFERROR(EDATE(INDEX('견적 Quotes'!$B$3:$B$1002,MATCH($C127,'견적 Quotes'!$A$3:$A$1002,0)),'설정 Settings'!$C$20),""),"")</f>
      </c>
    </row>
    <row r="128" spans="12:14" x14ac:dyDescent="0.25">
      <c r="L128" s="42">
        <f>IF($A128="","",IF($G128="Y","완료 DONE",IF($F128="","날짜 없음",IF($F128&lt;'설정 Settings'!$C$15,"지남 OVERDUE",IF($F128='설정 Settings'!$C$15,"오늘 TODAY","예정 OPEN")))))</f>
      </c>
      <c r="M128" s="42">
        <f>IF($A128="","",IF($I128="Y","수신거부: 문자·이메일 보내지 않기",IF(OR($E128="SMS",$E128="EMAIL"),IF(OR($H128="",$H128="NONE"),"동의 근거 없음: 전화·방문만",IF($H128="INQUIRY",IF(N($N128)=0,"견적 요청일을 못 찾음: 관련 ID에 견적 ID(Q-…)를 넣었는지 확인",IF('설정 Settings'!$C$15&gt;N($N128),"문의 후 6개월 지남: 다른 동의 근거 필요","OK: 이름·주소·연락처·수신거부 문구 넣기")),IF($H128="REFERRAL","소개 후 첫 메시지만 OK: 소개자 이름 + 이름·주소·연락처·수신거부 문구. 두 번째부터는 다른 동의 근거 필요",IF(AND($H128="REPLY",$D128&lt;&gt;"QUOTE",$D128&lt;&gt;"CALLBACK"),"문의에 대한 답장이 아님: EXPRESS 또는 INQUIRY 동의 필요","OK: 이름·주소·연락처·수신거부 문구 넣기")))),"")))</f>
      </c>
      <c r="N128" s="40">
        <f>IF($H128="INQUIRY",IFERROR(EDATE(INDEX('견적 Quotes'!$B$3:$B$1002,MATCH($C128,'견적 Quotes'!$A$3:$A$1002,0)),'설정 Settings'!$C$20),""),"")</f>
      </c>
    </row>
    <row r="129" spans="12:14" x14ac:dyDescent="0.25">
      <c r="L129" s="42">
        <f>IF($A129="","",IF($G129="Y","완료 DONE",IF($F129="","날짜 없음",IF($F129&lt;'설정 Settings'!$C$15,"지남 OVERDUE",IF($F129='설정 Settings'!$C$15,"오늘 TODAY","예정 OPEN")))))</f>
      </c>
      <c r="M129" s="42">
        <f>IF($A129="","",IF($I129="Y","수신거부: 문자·이메일 보내지 않기",IF(OR($E129="SMS",$E129="EMAIL"),IF(OR($H129="",$H129="NONE"),"동의 근거 없음: 전화·방문만",IF($H129="INQUIRY",IF(N($N129)=0,"견적 요청일을 못 찾음: 관련 ID에 견적 ID(Q-…)를 넣었는지 확인",IF('설정 Settings'!$C$15&gt;N($N129),"문의 후 6개월 지남: 다른 동의 근거 필요","OK: 이름·주소·연락처·수신거부 문구 넣기")),IF($H129="REFERRAL","소개 후 첫 메시지만 OK: 소개자 이름 + 이름·주소·연락처·수신거부 문구. 두 번째부터는 다른 동의 근거 필요",IF(AND($H129="REPLY",$D129&lt;&gt;"QUOTE",$D129&lt;&gt;"CALLBACK"),"문의에 대한 답장이 아님: EXPRESS 또는 INQUIRY 동의 필요","OK: 이름·주소·연락처·수신거부 문구 넣기")))),"")))</f>
      </c>
      <c r="N129" s="40">
        <f>IF($H129="INQUIRY",IFERROR(EDATE(INDEX('견적 Quotes'!$B$3:$B$1002,MATCH($C129,'견적 Quotes'!$A$3:$A$1002,0)),'설정 Settings'!$C$20),""),"")</f>
      </c>
    </row>
    <row r="130" spans="12:14" x14ac:dyDescent="0.25">
      <c r="L130" s="42">
        <f>IF($A130="","",IF($G130="Y","완료 DONE",IF($F130="","날짜 없음",IF($F130&lt;'설정 Settings'!$C$15,"지남 OVERDUE",IF($F130='설정 Settings'!$C$15,"오늘 TODAY","예정 OPEN")))))</f>
      </c>
      <c r="M130" s="42">
        <f>IF($A130="","",IF($I130="Y","수신거부: 문자·이메일 보내지 않기",IF(OR($E130="SMS",$E130="EMAIL"),IF(OR($H130="",$H130="NONE"),"동의 근거 없음: 전화·방문만",IF($H130="INQUIRY",IF(N($N130)=0,"견적 요청일을 못 찾음: 관련 ID에 견적 ID(Q-…)를 넣었는지 확인",IF('설정 Settings'!$C$15&gt;N($N130),"문의 후 6개월 지남: 다른 동의 근거 필요","OK: 이름·주소·연락처·수신거부 문구 넣기")),IF($H130="REFERRAL","소개 후 첫 메시지만 OK: 소개자 이름 + 이름·주소·연락처·수신거부 문구. 두 번째부터는 다른 동의 근거 필요",IF(AND($H130="REPLY",$D130&lt;&gt;"QUOTE",$D130&lt;&gt;"CALLBACK"),"문의에 대한 답장이 아님: EXPRESS 또는 INQUIRY 동의 필요","OK: 이름·주소·연락처·수신거부 문구 넣기")))),"")))</f>
      </c>
      <c r="N130" s="40">
        <f>IF($H130="INQUIRY",IFERROR(EDATE(INDEX('견적 Quotes'!$B$3:$B$1002,MATCH($C130,'견적 Quotes'!$A$3:$A$1002,0)),'설정 Settings'!$C$20),""),"")</f>
      </c>
    </row>
    <row r="131" spans="12:14" x14ac:dyDescent="0.25">
      <c r="L131" s="42">
        <f>IF($A131="","",IF($G131="Y","완료 DONE",IF($F131="","날짜 없음",IF($F131&lt;'설정 Settings'!$C$15,"지남 OVERDUE",IF($F131='설정 Settings'!$C$15,"오늘 TODAY","예정 OPEN")))))</f>
      </c>
      <c r="M131" s="42">
        <f>IF($A131="","",IF($I131="Y","수신거부: 문자·이메일 보내지 않기",IF(OR($E131="SMS",$E131="EMAIL"),IF(OR($H131="",$H131="NONE"),"동의 근거 없음: 전화·방문만",IF($H131="INQUIRY",IF(N($N131)=0,"견적 요청일을 못 찾음: 관련 ID에 견적 ID(Q-…)를 넣었는지 확인",IF('설정 Settings'!$C$15&gt;N($N131),"문의 후 6개월 지남: 다른 동의 근거 필요","OK: 이름·주소·연락처·수신거부 문구 넣기")),IF($H131="REFERRAL","소개 후 첫 메시지만 OK: 소개자 이름 + 이름·주소·연락처·수신거부 문구. 두 번째부터는 다른 동의 근거 필요",IF(AND($H131="REPLY",$D131&lt;&gt;"QUOTE",$D131&lt;&gt;"CALLBACK"),"문의에 대한 답장이 아님: EXPRESS 또는 INQUIRY 동의 필요","OK: 이름·주소·연락처·수신거부 문구 넣기")))),"")))</f>
      </c>
      <c r="N131" s="40">
        <f>IF($H131="INQUIRY",IFERROR(EDATE(INDEX('견적 Quotes'!$B$3:$B$1002,MATCH($C131,'견적 Quotes'!$A$3:$A$1002,0)),'설정 Settings'!$C$20),""),"")</f>
      </c>
    </row>
    <row r="132" spans="12:14" x14ac:dyDescent="0.25">
      <c r="L132" s="42">
        <f>IF($A132="","",IF($G132="Y","완료 DONE",IF($F132="","날짜 없음",IF($F132&lt;'설정 Settings'!$C$15,"지남 OVERDUE",IF($F132='설정 Settings'!$C$15,"오늘 TODAY","예정 OPEN")))))</f>
      </c>
      <c r="M132" s="42">
        <f>IF($A132="","",IF($I132="Y","수신거부: 문자·이메일 보내지 않기",IF(OR($E132="SMS",$E132="EMAIL"),IF(OR($H132="",$H132="NONE"),"동의 근거 없음: 전화·방문만",IF($H132="INQUIRY",IF(N($N132)=0,"견적 요청일을 못 찾음: 관련 ID에 견적 ID(Q-…)를 넣었는지 확인",IF('설정 Settings'!$C$15&gt;N($N132),"문의 후 6개월 지남: 다른 동의 근거 필요","OK: 이름·주소·연락처·수신거부 문구 넣기")),IF($H132="REFERRAL","소개 후 첫 메시지만 OK: 소개자 이름 + 이름·주소·연락처·수신거부 문구. 두 번째부터는 다른 동의 근거 필요",IF(AND($H132="REPLY",$D132&lt;&gt;"QUOTE",$D132&lt;&gt;"CALLBACK"),"문의에 대한 답장이 아님: EXPRESS 또는 INQUIRY 동의 필요","OK: 이름·주소·연락처·수신거부 문구 넣기")))),"")))</f>
      </c>
      <c r="N132" s="40">
        <f>IF($H132="INQUIRY",IFERROR(EDATE(INDEX('견적 Quotes'!$B$3:$B$1002,MATCH($C132,'견적 Quotes'!$A$3:$A$1002,0)),'설정 Settings'!$C$20),""),"")</f>
      </c>
    </row>
    <row r="133" spans="12:14" x14ac:dyDescent="0.25">
      <c r="L133" s="42">
        <f>IF($A133="","",IF($G133="Y","완료 DONE",IF($F133="","날짜 없음",IF($F133&lt;'설정 Settings'!$C$15,"지남 OVERDUE",IF($F133='설정 Settings'!$C$15,"오늘 TODAY","예정 OPEN")))))</f>
      </c>
      <c r="M133" s="42">
        <f>IF($A133="","",IF($I133="Y","수신거부: 문자·이메일 보내지 않기",IF(OR($E133="SMS",$E133="EMAIL"),IF(OR($H133="",$H133="NONE"),"동의 근거 없음: 전화·방문만",IF($H133="INQUIRY",IF(N($N133)=0,"견적 요청일을 못 찾음: 관련 ID에 견적 ID(Q-…)를 넣었는지 확인",IF('설정 Settings'!$C$15&gt;N($N133),"문의 후 6개월 지남: 다른 동의 근거 필요","OK: 이름·주소·연락처·수신거부 문구 넣기")),IF($H133="REFERRAL","소개 후 첫 메시지만 OK: 소개자 이름 + 이름·주소·연락처·수신거부 문구. 두 번째부터는 다른 동의 근거 필요",IF(AND($H133="REPLY",$D133&lt;&gt;"QUOTE",$D133&lt;&gt;"CALLBACK"),"문의에 대한 답장이 아님: EXPRESS 또는 INQUIRY 동의 필요","OK: 이름·주소·연락처·수신거부 문구 넣기")))),"")))</f>
      </c>
      <c r="N133" s="40">
        <f>IF($H133="INQUIRY",IFERROR(EDATE(INDEX('견적 Quotes'!$B$3:$B$1002,MATCH($C133,'견적 Quotes'!$A$3:$A$1002,0)),'설정 Settings'!$C$20),""),"")</f>
      </c>
    </row>
    <row r="134" spans="12:14" x14ac:dyDescent="0.25">
      <c r="L134" s="42">
        <f>IF($A134="","",IF($G134="Y","완료 DONE",IF($F134="","날짜 없음",IF($F134&lt;'설정 Settings'!$C$15,"지남 OVERDUE",IF($F134='설정 Settings'!$C$15,"오늘 TODAY","예정 OPEN")))))</f>
      </c>
      <c r="M134" s="42">
        <f>IF($A134="","",IF($I134="Y","수신거부: 문자·이메일 보내지 않기",IF(OR($E134="SMS",$E134="EMAIL"),IF(OR($H134="",$H134="NONE"),"동의 근거 없음: 전화·방문만",IF($H134="INQUIRY",IF(N($N134)=0,"견적 요청일을 못 찾음: 관련 ID에 견적 ID(Q-…)를 넣었는지 확인",IF('설정 Settings'!$C$15&gt;N($N134),"문의 후 6개월 지남: 다른 동의 근거 필요","OK: 이름·주소·연락처·수신거부 문구 넣기")),IF($H134="REFERRAL","소개 후 첫 메시지만 OK: 소개자 이름 + 이름·주소·연락처·수신거부 문구. 두 번째부터는 다른 동의 근거 필요",IF(AND($H134="REPLY",$D134&lt;&gt;"QUOTE",$D134&lt;&gt;"CALLBACK"),"문의에 대한 답장이 아님: EXPRESS 또는 INQUIRY 동의 필요","OK: 이름·주소·연락처·수신거부 문구 넣기")))),"")))</f>
      </c>
      <c r="N134" s="40">
        <f>IF($H134="INQUIRY",IFERROR(EDATE(INDEX('견적 Quotes'!$B$3:$B$1002,MATCH($C134,'견적 Quotes'!$A$3:$A$1002,0)),'설정 Settings'!$C$20),""),"")</f>
      </c>
    </row>
    <row r="135" spans="12:14" x14ac:dyDescent="0.25">
      <c r="L135" s="42">
        <f>IF($A135="","",IF($G135="Y","완료 DONE",IF($F135="","날짜 없음",IF($F135&lt;'설정 Settings'!$C$15,"지남 OVERDUE",IF($F135='설정 Settings'!$C$15,"오늘 TODAY","예정 OPEN")))))</f>
      </c>
      <c r="M135" s="42">
        <f>IF($A135="","",IF($I135="Y","수신거부: 문자·이메일 보내지 않기",IF(OR($E135="SMS",$E135="EMAIL"),IF(OR($H135="",$H135="NONE"),"동의 근거 없음: 전화·방문만",IF($H135="INQUIRY",IF(N($N135)=0,"견적 요청일을 못 찾음: 관련 ID에 견적 ID(Q-…)를 넣었는지 확인",IF('설정 Settings'!$C$15&gt;N($N135),"문의 후 6개월 지남: 다른 동의 근거 필요","OK: 이름·주소·연락처·수신거부 문구 넣기")),IF($H135="REFERRAL","소개 후 첫 메시지만 OK: 소개자 이름 + 이름·주소·연락처·수신거부 문구. 두 번째부터는 다른 동의 근거 필요",IF(AND($H135="REPLY",$D135&lt;&gt;"QUOTE",$D135&lt;&gt;"CALLBACK"),"문의에 대한 답장이 아님: EXPRESS 또는 INQUIRY 동의 필요","OK: 이름·주소·연락처·수신거부 문구 넣기")))),"")))</f>
      </c>
      <c r="N135" s="40">
        <f>IF($H135="INQUIRY",IFERROR(EDATE(INDEX('견적 Quotes'!$B$3:$B$1002,MATCH($C135,'견적 Quotes'!$A$3:$A$1002,0)),'설정 Settings'!$C$20),""),"")</f>
      </c>
    </row>
    <row r="136" spans="12:14" x14ac:dyDescent="0.25">
      <c r="L136" s="42">
        <f>IF($A136="","",IF($G136="Y","완료 DONE",IF($F136="","날짜 없음",IF($F136&lt;'설정 Settings'!$C$15,"지남 OVERDUE",IF($F136='설정 Settings'!$C$15,"오늘 TODAY","예정 OPEN")))))</f>
      </c>
      <c r="M136" s="42">
        <f>IF($A136="","",IF($I136="Y","수신거부: 문자·이메일 보내지 않기",IF(OR($E136="SMS",$E136="EMAIL"),IF(OR($H136="",$H136="NONE"),"동의 근거 없음: 전화·방문만",IF($H136="INQUIRY",IF(N($N136)=0,"견적 요청일을 못 찾음: 관련 ID에 견적 ID(Q-…)를 넣었는지 확인",IF('설정 Settings'!$C$15&gt;N($N136),"문의 후 6개월 지남: 다른 동의 근거 필요","OK: 이름·주소·연락처·수신거부 문구 넣기")),IF($H136="REFERRAL","소개 후 첫 메시지만 OK: 소개자 이름 + 이름·주소·연락처·수신거부 문구. 두 번째부터는 다른 동의 근거 필요",IF(AND($H136="REPLY",$D136&lt;&gt;"QUOTE",$D136&lt;&gt;"CALLBACK"),"문의에 대한 답장이 아님: EXPRESS 또는 INQUIRY 동의 필요","OK: 이름·주소·연락처·수신거부 문구 넣기")))),"")))</f>
      </c>
      <c r="N136" s="40">
        <f>IF($H136="INQUIRY",IFERROR(EDATE(INDEX('견적 Quotes'!$B$3:$B$1002,MATCH($C136,'견적 Quotes'!$A$3:$A$1002,0)),'설정 Settings'!$C$20),""),"")</f>
      </c>
    </row>
    <row r="137" spans="12:14" x14ac:dyDescent="0.25">
      <c r="L137" s="42">
        <f>IF($A137="","",IF($G137="Y","완료 DONE",IF($F137="","날짜 없음",IF($F137&lt;'설정 Settings'!$C$15,"지남 OVERDUE",IF($F137='설정 Settings'!$C$15,"오늘 TODAY","예정 OPEN")))))</f>
      </c>
      <c r="M137" s="42">
        <f>IF($A137="","",IF($I137="Y","수신거부: 문자·이메일 보내지 않기",IF(OR($E137="SMS",$E137="EMAIL"),IF(OR($H137="",$H137="NONE"),"동의 근거 없음: 전화·방문만",IF($H137="INQUIRY",IF(N($N137)=0,"견적 요청일을 못 찾음: 관련 ID에 견적 ID(Q-…)를 넣었는지 확인",IF('설정 Settings'!$C$15&gt;N($N137),"문의 후 6개월 지남: 다른 동의 근거 필요","OK: 이름·주소·연락처·수신거부 문구 넣기")),IF($H137="REFERRAL","소개 후 첫 메시지만 OK: 소개자 이름 + 이름·주소·연락처·수신거부 문구. 두 번째부터는 다른 동의 근거 필요",IF(AND($H137="REPLY",$D137&lt;&gt;"QUOTE",$D137&lt;&gt;"CALLBACK"),"문의에 대한 답장이 아님: EXPRESS 또는 INQUIRY 동의 필요","OK: 이름·주소·연락처·수신거부 문구 넣기")))),"")))</f>
      </c>
      <c r="N137" s="40">
        <f>IF($H137="INQUIRY",IFERROR(EDATE(INDEX('견적 Quotes'!$B$3:$B$1002,MATCH($C137,'견적 Quotes'!$A$3:$A$1002,0)),'설정 Settings'!$C$20),""),"")</f>
      </c>
    </row>
    <row r="138" spans="12:14" x14ac:dyDescent="0.25">
      <c r="L138" s="42">
        <f>IF($A138="","",IF($G138="Y","완료 DONE",IF($F138="","날짜 없음",IF($F138&lt;'설정 Settings'!$C$15,"지남 OVERDUE",IF($F138='설정 Settings'!$C$15,"오늘 TODAY","예정 OPEN")))))</f>
      </c>
      <c r="M138" s="42">
        <f>IF($A138="","",IF($I138="Y","수신거부: 문자·이메일 보내지 않기",IF(OR($E138="SMS",$E138="EMAIL"),IF(OR($H138="",$H138="NONE"),"동의 근거 없음: 전화·방문만",IF($H138="INQUIRY",IF(N($N138)=0,"견적 요청일을 못 찾음: 관련 ID에 견적 ID(Q-…)를 넣었는지 확인",IF('설정 Settings'!$C$15&gt;N($N138),"문의 후 6개월 지남: 다른 동의 근거 필요","OK: 이름·주소·연락처·수신거부 문구 넣기")),IF($H138="REFERRAL","소개 후 첫 메시지만 OK: 소개자 이름 + 이름·주소·연락처·수신거부 문구. 두 번째부터는 다른 동의 근거 필요",IF(AND($H138="REPLY",$D138&lt;&gt;"QUOTE",$D138&lt;&gt;"CALLBACK"),"문의에 대한 답장이 아님: EXPRESS 또는 INQUIRY 동의 필요","OK: 이름·주소·연락처·수신거부 문구 넣기")))),"")))</f>
      </c>
      <c r="N138" s="40">
        <f>IF($H138="INQUIRY",IFERROR(EDATE(INDEX('견적 Quotes'!$B$3:$B$1002,MATCH($C138,'견적 Quotes'!$A$3:$A$1002,0)),'설정 Settings'!$C$20),""),"")</f>
      </c>
    </row>
    <row r="139" spans="12:14" x14ac:dyDescent="0.25">
      <c r="L139" s="42">
        <f>IF($A139="","",IF($G139="Y","완료 DONE",IF($F139="","날짜 없음",IF($F139&lt;'설정 Settings'!$C$15,"지남 OVERDUE",IF($F139='설정 Settings'!$C$15,"오늘 TODAY","예정 OPEN")))))</f>
      </c>
      <c r="M139" s="42">
        <f>IF($A139="","",IF($I139="Y","수신거부: 문자·이메일 보내지 않기",IF(OR($E139="SMS",$E139="EMAIL"),IF(OR($H139="",$H139="NONE"),"동의 근거 없음: 전화·방문만",IF($H139="INQUIRY",IF(N($N139)=0,"견적 요청일을 못 찾음: 관련 ID에 견적 ID(Q-…)를 넣었는지 확인",IF('설정 Settings'!$C$15&gt;N($N139),"문의 후 6개월 지남: 다른 동의 근거 필요","OK: 이름·주소·연락처·수신거부 문구 넣기")),IF($H139="REFERRAL","소개 후 첫 메시지만 OK: 소개자 이름 + 이름·주소·연락처·수신거부 문구. 두 번째부터는 다른 동의 근거 필요",IF(AND($H139="REPLY",$D139&lt;&gt;"QUOTE",$D139&lt;&gt;"CALLBACK"),"문의에 대한 답장이 아님: EXPRESS 또는 INQUIRY 동의 필요","OK: 이름·주소·연락처·수신거부 문구 넣기")))),"")))</f>
      </c>
      <c r="N139" s="40">
        <f>IF($H139="INQUIRY",IFERROR(EDATE(INDEX('견적 Quotes'!$B$3:$B$1002,MATCH($C139,'견적 Quotes'!$A$3:$A$1002,0)),'설정 Settings'!$C$20),""),"")</f>
      </c>
    </row>
    <row r="140" spans="12:14" x14ac:dyDescent="0.25">
      <c r="L140" s="42">
        <f>IF($A140="","",IF($G140="Y","완료 DONE",IF($F140="","날짜 없음",IF($F140&lt;'설정 Settings'!$C$15,"지남 OVERDUE",IF($F140='설정 Settings'!$C$15,"오늘 TODAY","예정 OPEN")))))</f>
      </c>
      <c r="M140" s="42">
        <f>IF($A140="","",IF($I140="Y","수신거부: 문자·이메일 보내지 않기",IF(OR($E140="SMS",$E140="EMAIL"),IF(OR($H140="",$H140="NONE"),"동의 근거 없음: 전화·방문만",IF($H140="INQUIRY",IF(N($N140)=0,"견적 요청일을 못 찾음: 관련 ID에 견적 ID(Q-…)를 넣었는지 확인",IF('설정 Settings'!$C$15&gt;N($N140),"문의 후 6개월 지남: 다른 동의 근거 필요","OK: 이름·주소·연락처·수신거부 문구 넣기")),IF($H140="REFERRAL","소개 후 첫 메시지만 OK: 소개자 이름 + 이름·주소·연락처·수신거부 문구. 두 번째부터는 다른 동의 근거 필요",IF(AND($H140="REPLY",$D140&lt;&gt;"QUOTE",$D140&lt;&gt;"CALLBACK"),"문의에 대한 답장이 아님: EXPRESS 또는 INQUIRY 동의 필요","OK: 이름·주소·연락처·수신거부 문구 넣기")))),"")))</f>
      </c>
      <c r="N140" s="40">
        <f>IF($H140="INQUIRY",IFERROR(EDATE(INDEX('견적 Quotes'!$B$3:$B$1002,MATCH($C140,'견적 Quotes'!$A$3:$A$1002,0)),'설정 Settings'!$C$20),""),"")</f>
      </c>
    </row>
    <row r="141" spans="12:14" x14ac:dyDescent="0.25">
      <c r="L141" s="42">
        <f>IF($A141="","",IF($G141="Y","완료 DONE",IF($F141="","날짜 없음",IF($F141&lt;'설정 Settings'!$C$15,"지남 OVERDUE",IF($F141='설정 Settings'!$C$15,"오늘 TODAY","예정 OPEN")))))</f>
      </c>
      <c r="M141" s="42">
        <f>IF($A141="","",IF($I141="Y","수신거부: 문자·이메일 보내지 않기",IF(OR($E141="SMS",$E141="EMAIL"),IF(OR($H141="",$H141="NONE"),"동의 근거 없음: 전화·방문만",IF($H141="INQUIRY",IF(N($N141)=0,"견적 요청일을 못 찾음: 관련 ID에 견적 ID(Q-…)를 넣었는지 확인",IF('설정 Settings'!$C$15&gt;N($N141),"문의 후 6개월 지남: 다른 동의 근거 필요","OK: 이름·주소·연락처·수신거부 문구 넣기")),IF($H141="REFERRAL","소개 후 첫 메시지만 OK: 소개자 이름 + 이름·주소·연락처·수신거부 문구. 두 번째부터는 다른 동의 근거 필요",IF(AND($H141="REPLY",$D141&lt;&gt;"QUOTE",$D141&lt;&gt;"CALLBACK"),"문의에 대한 답장이 아님: EXPRESS 또는 INQUIRY 동의 필요","OK: 이름·주소·연락처·수신거부 문구 넣기")))),"")))</f>
      </c>
      <c r="N141" s="40">
        <f>IF($H141="INQUIRY",IFERROR(EDATE(INDEX('견적 Quotes'!$B$3:$B$1002,MATCH($C141,'견적 Quotes'!$A$3:$A$1002,0)),'설정 Settings'!$C$20),""),"")</f>
      </c>
    </row>
    <row r="142" spans="12:14" x14ac:dyDescent="0.25">
      <c r="L142" s="42">
        <f>IF($A142="","",IF($G142="Y","완료 DONE",IF($F142="","날짜 없음",IF($F142&lt;'설정 Settings'!$C$15,"지남 OVERDUE",IF($F142='설정 Settings'!$C$15,"오늘 TODAY","예정 OPEN")))))</f>
      </c>
      <c r="M142" s="42">
        <f>IF($A142="","",IF($I142="Y","수신거부: 문자·이메일 보내지 않기",IF(OR($E142="SMS",$E142="EMAIL"),IF(OR($H142="",$H142="NONE"),"동의 근거 없음: 전화·방문만",IF($H142="INQUIRY",IF(N($N142)=0,"견적 요청일을 못 찾음: 관련 ID에 견적 ID(Q-…)를 넣었는지 확인",IF('설정 Settings'!$C$15&gt;N($N142),"문의 후 6개월 지남: 다른 동의 근거 필요","OK: 이름·주소·연락처·수신거부 문구 넣기")),IF($H142="REFERRAL","소개 후 첫 메시지만 OK: 소개자 이름 + 이름·주소·연락처·수신거부 문구. 두 번째부터는 다른 동의 근거 필요",IF(AND($H142="REPLY",$D142&lt;&gt;"QUOTE",$D142&lt;&gt;"CALLBACK"),"문의에 대한 답장이 아님: EXPRESS 또는 INQUIRY 동의 필요","OK: 이름·주소·연락처·수신거부 문구 넣기")))),"")))</f>
      </c>
      <c r="N142" s="40">
        <f>IF($H142="INQUIRY",IFERROR(EDATE(INDEX('견적 Quotes'!$B$3:$B$1002,MATCH($C142,'견적 Quotes'!$A$3:$A$1002,0)),'설정 Settings'!$C$20),""),"")</f>
      </c>
    </row>
    <row r="143" spans="12:14" x14ac:dyDescent="0.25">
      <c r="L143" s="42">
        <f>IF($A143="","",IF($G143="Y","완료 DONE",IF($F143="","날짜 없음",IF($F143&lt;'설정 Settings'!$C$15,"지남 OVERDUE",IF($F143='설정 Settings'!$C$15,"오늘 TODAY","예정 OPEN")))))</f>
      </c>
      <c r="M143" s="42">
        <f>IF($A143="","",IF($I143="Y","수신거부: 문자·이메일 보내지 않기",IF(OR($E143="SMS",$E143="EMAIL"),IF(OR($H143="",$H143="NONE"),"동의 근거 없음: 전화·방문만",IF($H143="INQUIRY",IF(N($N143)=0,"견적 요청일을 못 찾음: 관련 ID에 견적 ID(Q-…)를 넣었는지 확인",IF('설정 Settings'!$C$15&gt;N($N143),"문의 후 6개월 지남: 다른 동의 근거 필요","OK: 이름·주소·연락처·수신거부 문구 넣기")),IF($H143="REFERRAL","소개 후 첫 메시지만 OK: 소개자 이름 + 이름·주소·연락처·수신거부 문구. 두 번째부터는 다른 동의 근거 필요",IF(AND($H143="REPLY",$D143&lt;&gt;"QUOTE",$D143&lt;&gt;"CALLBACK"),"문의에 대한 답장이 아님: EXPRESS 또는 INQUIRY 동의 필요","OK: 이름·주소·연락처·수신거부 문구 넣기")))),"")))</f>
      </c>
      <c r="N143" s="40">
        <f>IF($H143="INQUIRY",IFERROR(EDATE(INDEX('견적 Quotes'!$B$3:$B$1002,MATCH($C143,'견적 Quotes'!$A$3:$A$1002,0)),'설정 Settings'!$C$20),""),"")</f>
      </c>
    </row>
    <row r="144" spans="12:14" x14ac:dyDescent="0.25">
      <c r="L144" s="42">
        <f>IF($A144="","",IF($G144="Y","완료 DONE",IF($F144="","날짜 없음",IF($F144&lt;'설정 Settings'!$C$15,"지남 OVERDUE",IF($F144='설정 Settings'!$C$15,"오늘 TODAY","예정 OPEN")))))</f>
      </c>
      <c r="M144" s="42">
        <f>IF($A144="","",IF($I144="Y","수신거부: 문자·이메일 보내지 않기",IF(OR($E144="SMS",$E144="EMAIL"),IF(OR($H144="",$H144="NONE"),"동의 근거 없음: 전화·방문만",IF($H144="INQUIRY",IF(N($N144)=0,"견적 요청일을 못 찾음: 관련 ID에 견적 ID(Q-…)를 넣었는지 확인",IF('설정 Settings'!$C$15&gt;N($N144),"문의 후 6개월 지남: 다른 동의 근거 필요","OK: 이름·주소·연락처·수신거부 문구 넣기")),IF($H144="REFERRAL","소개 후 첫 메시지만 OK: 소개자 이름 + 이름·주소·연락처·수신거부 문구. 두 번째부터는 다른 동의 근거 필요",IF(AND($H144="REPLY",$D144&lt;&gt;"QUOTE",$D144&lt;&gt;"CALLBACK"),"문의에 대한 답장이 아님: EXPRESS 또는 INQUIRY 동의 필요","OK: 이름·주소·연락처·수신거부 문구 넣기")))),"")))</f>
      </c>
      <c r="N144" s="40">
        <f>IF($H144="INQUIRY",IFERROR(EDATE(INDEX('견적 Quotes'!$B$3:$B$1002,MATCH($C144,'견적 Quotes'!$A$3:$A$1002,0)),'설정 Settings'!$C$20),""),"")</f>
      </c>
    </row>
    <row r="145" spans="12:14" x14ac:dyDescent="0.25">
      <c r="L145" s="42">
        <f>IF($A145="","",IF($G145="Y","완료 DONE",IF($F145="","날짜 없음",IF($F145&lt;'설정 Settings'!$C$15,"지남 OVERDUE",IF($F145='설정 Settings'!$C$15,"오늘 TODAY","예정 OPEN")))))</f>
      </c>
      <c r="M145" s="42">
        <f>IF($A145="","",IF($I145="Y","수신거부: 문자·이메일 보내지 않기",IF(OR($E145="SMS",$E145="EMAIL"),IF(OR($H145="",$H145="NONE"),"동의 근거 없음: 전화·방문만",IF($H145="INQUIRY",IF(N($N145)=0,"견적 요청일을 못 찾음: 관련 ID에 견적 ID(Q-…)를 넣었는지 확인",IF('설정 Settings'!$C$15&gt;N($N145),"문의 후 6개월 지남: 다른 동의 근거 필요","OK: 이름·주소·연락처·수신거부 문구 넣기")),IF($H145="REFERRAL","소개 후 첫 메시지만 OK: 소개자 이름 + 이름·주소·연락처·수신거부 문구. 두 번째부터는 다른 동의 근거 필요",IF(AND($H145="REPLY",$D145&lt;&gt;"QUOTE",$D145&lt;&gt;"CALLBACK"),"문의에 대한 답장이 아님: EXPRESS 또는 INQUIRY 동의 필요","OK: 이름·주소·연락처·수신거부 문구 넣기")))),"")))</f>
      </c>
      <c r="N145" s="40">
        <f>IF($H145="INQUIRY",IFERROR(EDATE(INDEX('견적 Quotes'!$B$3:$B$1002,MATCH($C145,'견적 Quotes'!$A$3:$A$1002,0)),'설정 Settings'!$C$20),""),"")</f>
      </c>
    </row>
    <row r="146" spans="12:14" x14ac:dyDescent="0.25">
      <c r="L146" s="42">
        <f>IF($A146="","",IF($G146="Y","완료 DONE",IF($F146="","날짜 없음",IF($F146&lt;'설정 Settings'!$C$15,"지남 OVERDUE",IF($F146='설정 Settings'!$C$15,"오늘 TODAY","예정 OPEN")))))</f>
      </c>
      <c r="M146" s="42">
        <f>IF($A146="","",IF($I146="Y","수신거부: 문자·이메일 보내지 않기",IF(OR($E146="SMS",$E146="EMAIL"),IF(OR($H146="",$H146="NONE"),"동의 근거 없음: 전화·방문만",IF($H146="INQUIRY",IF(N($N146)=0,"견적 요청일을 못 찾음: 관련 ID에 견적 ID(Q-…)를 넣었는지 확인",IF('설정 Settings'!$C$15&gt;N($N146),"문의 후 6개월 지남: 다른 동의 근거 필요","OK: 이름·주소·연락처·수신거부 문구 넣기")),IF($H146="REFERRAL","소개 후 첫 메시지만 OK: 소개자 이름 + 이름·주소·연락처·수신거부 문구. 두 번째부터는 다른 동의 근거 필요",IF(AND($H146="REPLY",$D146&lt;&gt;"QUOTE",$D146&lt;&gt;"CALLBACK"),"문의에 대한 답장이 아님: EXPRESS 또는 INQUIRY 동의 필요","OK: 이름·주소·연락처·수신거부 문구 넣기")))),"")))</f>
      </c>
      <c r="N146" s="40">
        <f>IF($H146="INQUIRY",IFERROR(EDATE(INDEX('견적 Quotes'!$B$3:$B$1002,MATCH($C146,'견적 Quotes'!$A$3:$A$1002,0)),'설정 Settings'!$C$20),""),"")</f>
      </c>
    </row>
    <row r="147" spans="12:14" x14ac:dyDescent="0.25">
      <c r="L147" s="42">
        <f>IF($A147="","",IF($G147="Y","완료 DONE",IF($F147="","날짜 없음",IF($F147&lt;'설정 Settings'!$C$15,"지남 OVERDUE",IF($F147='설정 Settings'!$C$15,"오늘 TODAY","예정 OPEN")))))</f>
      </c>
      <c r="M147" s="42">
        <f>IF($A147="","",IF($I147="Y","수신거부: 문자·이메일 보내지 않기",IF(OR($E147="SMS",$E147="EMAIL"),IF(OR($H147="",$H147="NONE"),"동의 근거 없음: 전화·방문만",IF($H147="INQUIRY",IF(N($N147)=0,"견적 요청일을 못 찾음: 관련 ID에 견적 ID(Q-…)를 넣었는지 확인",IF('설정 Settings'!$C$15&gt;N($N147),"문의 후 6개월 지남: 다른 동의 근거 필요","OK: 이름·주소·연락처·수신거부 문구 넣기")),IF($H147="REFERRAL","소개 후 첫 메시지만 OK: 소개자 이름 + 이름·주소·연락처·수신거부 문구. 두 번째부터는 다른 동의 근거 필요",IF(AND($H147="REPLY",$D147&lt;&gt;"QUOTE",$D147&lt;&gt;"CALLBACK"),"문의에 대한 답장이 아님: EXPRESS 또는 INQUIRY 동의 필요","OK: 이름·주소·연락처·수신거부 문구 넣기")))),"")))</f>
      </c>
      <c r="N147" s="40">
        <f>IF($H147="INQUIRY",IFERROR(EDATE(INDEX('견적 Quotes'!$B$3:$B$1002,MATCH($C147,'견적 Quotes'!$A$3:$A$1002,0)),'설정 Settings'!$C$20),""),"")</f>
      </c>
    </row>
    <row r="148" spans="12:14" x14ac:dyDescent="0.25">
      <c r="L148" s="42">
        <f>IF($A148="","",IF($G148="Y","완료 DONE",IF($F148="","날짜 없음",IF($F148&lt;'설정 Settings'!$C$15,"지남 OVERDUE",IF($F148='설정 Settings'!$C$15,"오늘 TODAY","예정 OPEN")))))</f>
      </c>
      <c r="M148" s="42">
        <f>IF($A148="","",IF($I148="Y","수신거부: 문자·이메일 보내지 않기",IF(OR($E148="SMS",$E148="EMAIL"),IF(OR($H148="",$H148="NONE"),"동의 근거 없음: 전화·방문만",IF($H148="INQUIRY",IF(N($N148)=0,"견적 요청일을 못 찾음: 관련 ID에 견적 ID(Q-…)를 넣었는지 확인",IF('설정 Settings'!$C$15&gt;N($N148),"문의 후 6개월 지남: 다른 동의 근거 필요","OK: 이름·주소·연락처·수신거부 문구 넣기")),IF($H148="REFERRAL","소개 후 첫 메시지만 OK: 소개자 이름 + 이름·주소·연락처·수신거부 문구. 두 번째부터는 다른 동의 근거 필요",IF(AND($H148="REPLY",$D148&lt;&gt;"QUOTE",$D148&lt;&gt;"CALLBACK"),"문의에 대한 답장이 아님: EXPRESS 또는 INQUIRY 동의 필요","OK: 이름·주소·연락처·수신거부 문구 넣기")))),"")))</f>
      </c>
      <c r="N148" s="40">
        <f>IF($H148="INQUIRY",IFERROR(EDATE(INDEX('견적 Quotes'!$B$3:$B$1002,MATCH($C148,'견적 Quotes'!$A$3:$A$1002,0)),'설정 Settings'!$C$20),""),"")</f>
      </c>
    </row>
    <row r="149" spans="12:14" x14ac:dyDescent="0.25">
      <c r="L149" s="42">
        <f>IF($A149="","",IF($G149="Y","완료 DONE",IF($F149="","날짜 없음",IF($F149&lt;'설정 Settings'!$C$15,"지남 OVERDUE",IF($F149='설정 Settings'!$C$15,"오늘 TODAY","예정 OPEN")))))</f>
      </c>
      <c r="M149" s="42">
        <f>IF($A149="","",IF($I149="Y","수신거부: 문자·이메일 보내지 않기",IF(OR($E149="SMS",$E149="EMAIL"),IF(OR($H149="",$H149="NONE"),"동의 근거 없음: 전화·방문만",IF($H149="INQUIRY",IF(N($N149)=0,"견적 요청일을 못 찾음: 관련 ID에 견적 ID(Q-…)를 넣었는지 확인",IF('설정 Settings'!$C$15&gt;N($N149),"문의 후 6개월 지남: 다른 동의 근거 필요","OK: 이름·주소·연락처·수신거부 문구 넣기")),IF($H149="REFERRAL","소개 후 첫 메시지만 OK: 소개자 이름 + 이름·주소·연락처·수신거부 문구. 두 번째부터는 다른 동의 근거 필요",IF(AND($H149="REPLY",$D149&lt;&gt;"QUOTE",$D149&lt;&gt;"CALLBACK"),"문의에 대한 답장이 아님: EXPRESS 또는 INQUIRY 동의 필요","OK: 이름·주소·연락처·수신거부 문구 넣기")))),"")))</f>
      </c>
      <c r="N149" s="40">
        <f>IF($H149="INQUIRY",IFERROR(EDATE(INDEX('견적 Quotes'!$B$3:$B$1002,MATCH($C149,'견적 Quotes'!$A$3:$A$1002,0)),'설정 Settings'!$C$20),""),"")</f>
      </c>
    </row>
    <row r="150" spans="12:14" x14ac:dyDescent="0.25">
      <c r="L150" s="42">
        <f>IF($A150="","",IF($G150="Y","완료 DONE",IF($F150="","날짜 없음",IF($F150&lt;'설정 Settings'!$C$15,"지남 OVERDUE",IF($F150='설정 Settings'!$C$15,"오늘 TODAY","예정 OPEN")))))</f>
      </c>
      <c r="M150" s="42">
        <f>IF($A150="","",IF($I150="Y","수신거부: 문자·이메일 보내지 않기",IF(OR($E150="SMS",$E150="EMAIL"),IF(OR($H150="",$H150="NONE"),"동의 근거 없음: 전화·방문만",IF($H150="INQUIRY",IF(N($N150)=0,"견적 요청일을 못 찾음: 관련 ID에 견적 ID(Q-…)를 넣었는지 확인",IF('설정 Settings'!$C$15&gt;N($N150),"문의 후 6개월 지남: 다른 동의 근거 필요","OK: 이름·주소·연락처·수신거부 문구 넣기")),IF($H150="REFERRAL","소개 후 첫 메시지만 OK: 소개자 이름 + 이름·주소·연락처·수신거부 문구. 두 번째부터는 다른 동의 근거 필요",IF(AND($H150="REPLY",$D150&lt;&gt;"QUOTE",$D150&lt;&gt;"CALLBACK"),"문의에 대한 답장이 아님: EXPRESS 또는 INQUIRY 동의 필요","OK: 이름·주소·연락처·수신거부 문구 넣기")))),"")))</f>
      </c>
      <c r="N150" s="40">
        <f>IF($H150="INQUIRY",IFERROR(EDATE(INDEX('견적 Quotes'!$B$3:$B$1002,MATCH($C150,'견적 Quotes'!$A$3:$A$1002,0)),'설정 Settings'!$C$20),""),"")</f>
      </c>
    </row>
    <row r="151" spans="12:14" x14ac:dyDescent="0.25">
      <c r="L151" s="42">
        <f>IF($A151="","",IF($G151="Y","완료 DONE",IF($F151="","날짜 없음",IF($F151&lt;'설정 Settings'!$C$15,"지남 OVERDUE",IF($F151='설정 Settings'!$C$15,"오늘 TODAY","예정 OPEN")))))</f>
      </c>
      <c r="M151" s="42">
        <f>IF($A151="","",IF($I151="Y","수신거부: 문자·이메일 보내지 않기",IF(OR($E151="SMS",$E151="EMAIL"),IF(OR($H151="",$H151="NONE"),"동의 근거 없음: 전화·방문만",IF($H151="INQUIRY",IF(N($N151)=0,"견적 요청일을 못 찾음: 관련 ID에 견적 ID(Q-…)를 넣었는지 확인",IF('설정 Settings'!$C$15&gt;N($N151),"문의 후 6개월 지남: 다른 동의 근거 필요","OK: 이름·주소·연락처·수신거부 문구 넣기")),IF($H151="REFERRAL","소개 후 첫 메시지만 OK: 소개자 이름 + 이름·주소·연락처·수신거부 문구. 두 번째부터는 다른 동의 근거 필요",IF(AND($H151="REPLY",$D151&lt;&gt;"QUOTE",$D151&lt;&gt;"CALLBACK"),"문의에 대한 답장이 아님: EXPRESS 또는 INQUIRY 동의 필요","OK: 이름·주소·연락처·수신거부 문구 넣기")))),"")))</f>
      </c>
      <c r="N151" s="40">
        <f>IF($H151="INQUIRY",IFERROR(EDATE(INDEX('견적 Quotes'!$B$3:$B$1002,MATCH($C151,'견적 Quotes'!$A$3:$A$1002,0)),'설정 Settings'!$C$20),""),"")</f>
      </c>
    </row>
    <row r="152" spans="12:14" x14ac:dyDescent="0.25">
      <c r="L152" s="42">
        <f>IF($A152="","",IF($G152="Y","완료 DONE",IF($F152="","날짜 없음",IF($F152&lt;'설정 Settings'!$C$15,"지남 OVERDUE",IF($F152='설정 Settings'!$C$15,"오늘 TODAY","예정 OPEN")))))</f>
      </c>
      <c r="M152" s="42">
        <f>IF($A152="","",IF($I152="Y","수신거부: 문자·이메일 보내지 않기",IF(OR($E152="SMS",$E152="EMAIL"),IF(OR($H152="",$H152="NONE"),"동의 근거 없음: 전화·방문만",IF($H152="INQUIRY",IF(N($N152)=0,"견적 요청일을 못 찾음: 관련 ID에 견적 ID(Q-…)를 넣었는지 확인",IF('설정 Settings'!$C$15&gt;N($N152),"문의 후 6개월 지남: 다른 동의 근거 필요","OK: 이름·주소·연락처·수신거부 문구 넣기")),IF($H152="REFERRAL","소개 후 첫 메시지만 OK: 소개자 이름 + 이름·주소·연락처·수신거부 문구. 두 번째부터는 다른 동의 근거 필요",IF(AND($H152="REPLY",$D152&lt;&gt;"QUOTE",$D152&lt;&gt;"CALLBACK"),"문의에 대한 답장이 아님: EXPRESS 또는 INQUIRY 동의 필요","OK: 이름·주소·연락처·수신거부 문구 넣기")))),"")))</f>
      </c>
      <c r="N152" s="40">
        <f>IF($H152="INQUIRY",IFERROR(EDATE(INDEX('견적 Quotes'!$B$3:$B$1002,MATCH($C152,'견적 Quotes'!$A$3:$A$1002,0)),'설정 Settings'!$C$20),""),"")</f>
      </c>
    </row>
    <row r="153" spans="12:14" x14ac:dyDescent="0.25">
      <c r="L153" s="42">
        <f>IF($A153="","",IF($G153="Y","완료 DONE",IF($F153="","날짜 없음",IF($F153&lt;'설정 Settings'!$C$15,"지남 OVERDUE",IF($F153='설정 Settings'!$C$15,"오늘 TODAY","예정 OPEN")))))</f>
      </c>
      <c r="M153" s="42">
        <f>IF($A153="","",IF($I153="Y","수신거부: 문자·이메일 보내지 않기",IF(OR($E153="SMS",$E153="EMAIL"),IF(OR($H153="",$H153="NONE"),"동의 근거 없음: 전화·방문만",IF($H153="INQUIRY",IF(N($N153)=0,"견적 요청일을 못 찾음: 관련 ID에 견적 ID(Q-…)를 넣었는지 확인",IF('설정 Settings'!$C$15&gt;N($N153),"문의 후 6개월 지남: 다른 동의 근거 필요","OK: 이름·주소·연락처·수신거부 문구 넣기")),IF($H153="REFERRAL","소개 후 첫 메시지만 OK: 소개자 이름 + 이름·주소·연락처·수신거부 문구. 두 번째부터는 다른 동의 근거 필요",IF(AND($H153="REPLY",$D153&lt;&gt;"QUOTE",$D153&lt;&gt;"CALLBACK"),"문의에 대한 답장이 아님: EXPRESS 또는 INQUIRY 동의 필요","OK: 이름·주소·연락처·수신거부 문구 넣기")))),"")))</f>
      </c>
      <c r="N153" s="40">
        <f>IF($H153="INQUIRY",IFERROR(EDATE(INDEX('견적 Quotes'!$B$3:$B$1002,MATCH($C153,'견적 Quotes'!$A$3:$A$1002,0)),'설정 Settings'!$C$20),""),"")</f>
      </c>
    </row>
    <row r="154" spans="12:14" x14ac:dyDescent="0.25">
      <c r="L154" s="42">
        <f>IF($A154="","",IF($G154="Y","완료 DONE",IF($F154="","날짜 없음",IF($F154&lt;'설정 Settings'!$C$15,"지남 OVERDUE",IF($F154='설정 Settings'!$C$15,"오늘 TODAY","예정 OPEN")))))</f>
      </c>
      <c r="M154" s="42">
        <f>IF($A154="","",IF($I154="Y","수신거부: 문자·이메일 보내지 않기",IF(OR($E154="SMS",$E154="EMAIL"),IF(OR($H154="",$H154="NONE"),"동의 근거 없음: 전화·방문만",IF($H154="INQUIRY",IF(N($N154)=0,"견적 요청일을 못 찾음: 관련 ID에 견적 ID(Q-…)를 넣었는지 확인",IF('설정 Settings'!$C$15&gt;N($N154),"문의 후 6개월 지남: 다른 동의 근거 필요","OK: 이름·주소·연락처·수신거부 문구 넣기")),IF($H154="REFERRAL","소개 후 첫 메시지만 OK: 소개자 이름 + 이름·주소·연락처·수신거부 문구. 두 번째부터는 다른 동의 근거 필요",IF(AND($H154="REPLY",$D154&lt;&gt;"QUOTE",$D154&lt;&gt;"CALLBACK"),"문의에 대한 답장이 아님: EXPRESS 또는 INQUIRY 동의 필요","OK: 이름·주소·연락처·수신거부 문구 넣기")))),"")))</f>
      </c>
      <c r="N154" s="40">
        <f>IF($H154="INQUIRY",IFERROR(EDATE(INDEX('견적 Quotes'!$B$3:$B$1002,MATCH($C154,'견적 Quotes'!$A$3:$A$1002,0)),'설정 Settings'!$C$20),""),"")</f>
      </c>
    </row>
    <row r="155" spans="12:14" x14ac:dyDescent="0.25">
      <c r="L155" s="42">
        <f>IF($A155="","",IF($G155="Y","완료 DONE",IF($F155="","날짜 없음",IF($F155&lt;'설정 Settings'!$C$15,"지남 OVERDUE",IF($F155='설정 Settings'!$C$15,"오늘 TODAY","예정 OPEN")))))</f>
      </c>
      <c r="M155" s="42">
        <f>IF($A155="","",IF($I155="Y","수신거부: 문자·이메일 보내지 않기",IF(OR($E155="SMS",$E155="EMAIL"),IF(OR($H155="",$H155="NONE"),"동의 근거 없음: 전화·방문만",IF($H155="INQUIRY",IF(N($N155)=0,"견적 요청일을 못 찾음: 관련 ID에 견적 ID(Q-…)를 넣었는지 확인",IF('설정 Settings'!$C$15&gt;N($N155),"문의 후 6개월 지남: 다른 동의 근거 필요","OK: 이름·주소·연락처·수신거부 문구 넣기")),IF($H155="REFERRAL","소개 후 첫 메시지만 OK: 소개자 이름 + 이름·주소·연락처·수신거부 문구. 두 번째부터는 다른 동의 근거 필요",IF(AND($H155="REPLY",$D155&lt;&gt;"QUOTE",$D155&lt;&gt;"CALLBACK"),"문의에 대한 답장이 아님: EXPRESS 또는 INQUIRY 동의 필요","OK: 이름·주소·연락처·수신거부 문구 넣기")))),"")))</f>
      </c>
      <c r="N155" s="40">
        <f>IF($H155="INQUIRY",IFERROR(EDATE(INDEX('견적 Quotes'!$B$3:$B$1002,MATCH($C155,'견적 Quotes'!$A$3:$A$1002,0)),'설정 Settings'!$C$20),""),"")</f>
      </c>
    </row>
    <row r="156" spans="12:14" x14ac:dyDescent="0.25">
      <c r="L156" s="42">
        <f>IF($A156="","",IF($G156="Y","완료 DONE",IF($F156="","날짜 없음",IF($F156&lt;'설정 Settings'!$C$15,"지남 OVERDUE",IF($F156='설정 Settings'!$C$15,"오늘 TODAY","예정 OPEN")))))</f>
      </c>
      <c r="M156" s="42">
        <f>IF($A156="","",IF($I156="Y","수신거부: 문자·이메일 보내지 않기",IF(OR($E156="SMS",$E156="EMAIL"),IF(OR($H156="",$H156="NONE"),"동의 근거 없음: 전화·방문만",IF($H156="INQUIRY",IF(N($N156)=0,"견적 요청일을 못 찾음: 관련 ID에 견적 ID(Q-…)를 넣었는지 확인",IF('설정 Settings'!$C$15&gt;N($N156),"문의 후 6개월 지남: 다른 동의 근거 필요","OK: 이름·주소·연락처·수신거부 문구 넣기")),IF($H156="REFERRAL","소개 후 첫 메시지만 OK: 소개자 이름 + 이름·주소·연락처·수신거부 문구. 두 번째부터는 다른 동의 근거 필요",IF(AND($H156="REPLY",$D156&lt;&gt;"QUOTE",$D156&lt;&gt;"CALLBACK"),"문의에 대한 답장이 아님: EXPRESS 또는 INQUIRY 동의 필요","OK: 이름·주소·연락처·수신거부 문구 넣기")))),"")))</f>
      </c>
      <c r="N156" s="40">
        <f>IF($H156="INQUIRY",IFERROR(EDATE(INDEX('견적 Quotes'!$B$3:$B$1002,MATCH($C156,'견적 Quotes'!$A$3:$A$1002,0)),'설정 Settings'!$C$20),""),"")</f>
      </c>
    </row>
    <row r="157" spans="12:14" x14ac:dyDescent="0.25">
      <c r="L157" s="42">
        <f>IF($A157="","",IF($G157="Y","완료 DONE",IF($F157="","날짜 없음",IF($F157&lt;'설정 Settings'!$C$15,"지남 OVERDUE",IF($F157='설정 Settings'!$C$15,"오늘 TODAY","예정 OPEN")))))</f>
      </c>
      <c r="M157" s="42">
        <f>IF($A157="","",IF($I157="Y","수신거부: 문자·이메일 보내지 않기",IF(OR($E157="SMS",$E157="EMAIL"),IF(OR($H157="",$H157="NONE"),"동의 근거 없음: 전화·방문만",IF($H157="INQUIRY",IF(N($N157)=0,"견적 요청일을 못 찾음: 관련 ID에 견적 ID(Q-…)를 넣었는지 확인",IF('설정 Settings'!$C$15&gt;N($N157),"문의 후 6개월 지남: 다른 동의 근거 필요","OK: 이름·주소·연락처·수신거부 문구 넣기")),IF($H157="REFERRAL","소개 후 첫 메시지만 OK: 소개자 이름 + 이름·주소·연락처·수신거부 문구. 두 번째부터는 다른 동의 근거 필요",IF(AND($H157="REPLY",$D157&lt;&gt;"QUOTE",$D157&lt;&gt;"CALLBACK"),"문의에 대한 답장이 아님: EXPRESS 또는 INQUIRY 동의 필요","OK: 이름·주소·연락처·수신거부 문구 넣기")))),"")))</f>
      </c>
      <c r="N157" s="40">
        <f>IF($H157="INQUIRY",IFERROR(EDATE(INDEX('견적 Quotes'!$B$3:$B$1002,MATCH($C157,'견적 Quotes'!$A$3:$A$1002,0)),'설정 Settings'!$C$20),""),"")</f>
      </c>
    </row>
    <row r="158" spans="12:14" x14ac:dyDescent="0.25">
      <c r="L158" s="42">
        <f>IF($A158="","",IF($G158="Y","완료 DONE",IF($F158="","날짜 없음",IF($F158&lt;'설정 Settings'!$C$15,"지남 OVERDUE",IF($F158='설정 Settings'!$C$15,"오늘 TODAY","예정 OPEN")))))</f>
      </c>
      <c r="M158" s="42">
        <f>IF($A158="","",IF($I158="Y","수신거부: 문자·이메일 보내지 않기",IF(OR($E158="SMS",$E158="EMAIL"),IF(OR($H158="",$H158="NONE"),"동의 근거 없음: 전화·방문만",IF($H158="INQUIRY",IF(N($N158)=0,"견적 요청일을 못 찾음: 관련 ID에 견적 ID(Q-…)를 넣었는지 확인",IF('설정 Settings'!$C$15&gt;N($N158),"문의 후 6개월 지남: 다른 동의 근거 필요","OK: 이름·주소·연락처·수신거부 문구 넣기")),IF($H158="REFERRAL","소개 후 첫 메시지만 OK: 소개자 이름 + 이름·주소·연락처·수신거부 문구. 두 번째부터는 다른 동의 근거 필요",IF(AND($H158="REPLY",$D158&lt;&gt;"QUOTE",$D158&lt;&gt;"CALLBACK"),"문의에 대한 답장이 아님: EXPRESS 또는 INQUIRY 동의 필요","OK: 이름·주소·연락처·수신거부 문구 넣기")))),"")))</f>
      </c>
      <c r="N158" s="40">
        <f>IF($H158="INQUIRY",IFERROR(EDATE(INDEX('견적 Quotes'!$B$3:$B$1002,MATCH($C158,'견적 Quotes'!$A$3:$A$1002,0)),'설정 Settings'!$C$20),""),"")</f>
      </c>
    </row>
    <row r="159" spans="12:14" x14ac:dyDescent="0.25">
      <c r="L159" s="42">
        <f>IF($A159="","",IF($G159="Y","완료 DONE",IF($F159="","날짜 없음",IF($F159&lt;'설정 Settings'!$C$15,"지남 OVERDUE",IF($F159='설정 Settings'!$C$15,"오늘 TODAY","예정 OPEN")))))</f>
      </c>
      <c r="M159" s="42">
        <f>IF($A159="","",IF($I159="Y","수신거부: 문자·이메일 보내지 않기",IF(OR($E159="SMS",$E159="EMAIL"),IF(OR($H159="",$H159="NONE"),"동의 근거 없음: 전화·방문만",IF($H159="INQUIRY",IF(N($N159)=0,"견적 요청일을 못 찾음: 관련 ID에 견적 ID(Q-…)를 넣었는지 확인",IF('설정 Settings'!$C$15&gt;N($N159),"문의 후 6개월 지남: 다른 동의 근거 필요","OK: 이름·주소·연락처·수신거부 문구 넣기")),IF($H159="REFERRAL","소개 후 첫 메시지만 OK: 소개자 이름 + 이름·주소·연락처·수신거부 문구. 두 번째부터는 다른 동의 근거 필요",IF(AND($H159="REPLY",$D159&lt;&gt;"QUOTE",$D159&lt;&gt;"CALLBACK"),"문의에 대한 답장이 아님: EXPRESS 또는 INQUIRY 동의 필요","OK: 이름·주소·연락처·수신거부 문구 넣기")))),"")))</f>
      </c>
      <c r="N159" s="40">
        <f>IF($H159="INQUIRY",IFERROR(EDATE(INDEX('견적 Quotes'!$B$3:$B$1002,MATCH($C159,'견적 Quotes'!$A$3:$A$1002,0)),'설정 Settings'!$C$20),""),"")</f>
      </c>
    </row>
    <row r="160" spans="12:14" x14ac:dyDescent="0.25">
      <c r="L160" s="42">
        <f>IF($A160="","",IF($G160="Y","완료 DONE",IF($F160="","날짜 없음",IF($F160&lt;'설정 Settings'!$C$15,"지남 OVERDUE",IF($F160='설정 Settings'!$C$15,"오늘 TODAY","예정 OPEN")))))</f>
      </c>
      <c r="M160" s="42">
        <f>IF($A160="","",IF($I160="Y","수신거부: 문자·이메일 보내지 않기",IF(OR($E160="SMS",$E160="EMAIL"),IF(OR($H160="",$H160="NONE"),"동의 근거 없음: 전화·방문만",IF($H160="INQUIRY",IF(N($N160)=0,"견적 요청일을 못 찾음: 관련 ID에 견적 ID(Q-…)를 넣었는지 확인",IF('설정 Settings'!$C$15&gt;N($N160),"문의 후 6개월 지남: 다른 동의 근거 필요","OK: 이름·주소·연락처·수신거부 문구 넣기")),IF($H160="REFERRAL","소개 후 첫 메시지만 OK: 소개자 이름 + 이름·주소·연락처·수신거부 문구. 두 번째부터는 다른 동의 근거 필요",IF(AND($H160="REPLY",$D160&lt;&gt;"QUOTE",$D160&lt;&gt;"CALLBACK"),"문의에 대한 답장이 아님: EXPRESS 또는 INQUIRY 동의 필요","OK: 이름·주소·연락처·수신거부 문구 넣기")))),"")))</f>
      </c>
      <c r="N160" s="40">
        <f>IF($H160="INQUIRY",IFERROR(EDATE(INDEX('견적 Quotes'!$B$3:$B$1002,MATCH($C160,'견적 Quotes'!$A$3:$A$1002,0)),'설정 Settings'!$C$20),""),"")</f>
      </c>
    </row>
    <row r="161" spans="12:14" x14ac:dyDescent="0.25">
      <c r="L161" s="42">
        <f>IF($A161="","",IF($G161="Y","완료 DONE",IF($F161="","날짜 없음",IF($F161&lt;'설정 Settings'!$C$15,"지남 OVERDUE",IF($F161='설정 Settings'!$C$15,"오늘 TODAY","예정 OPEN")))))</f>
      </c>
      <c r="M161" s="42">
        <f>IF($A161="","",IF($I161="Y","수신거부: 문자·이메일 보내지 않기",IF(OR($E161="SMS",$E161="EMAIL"),IF(OR($H161="",$H161="NONE"),"동의 근거 없음: 전화·방문만",IF($H161="INQUIRY",IF(N($N161)=0,"견적 요청일을 못 찾음: 관련 ID에 견적 ID(Q-…)를 넣었는지 확인",IF('설정 Settings'!$C$15&gt;N($N161),"문의 후 6개월 지남: 다른 동의 근거 필요","OK: 이름·주소·연락처·수신거부 문구 넣기")),IF($H161="REFERRAL","소개 후 첫 메시지만 OK: 소개자 이름 + 이름·주소·연락처·수신거부 문구. 두 번째부터는 다른 동의 근거 필요",IF(AND($H161="REPLY",$D161&lt;&gt;"QUOTE",$D161&lt;&gt;"CALLBACK"),"문의에 대한 답장이 아님: EXPRESS 또는 INQUIRY 동의 필요","OK: 이름·주소·연락처·수신거부 문구 넣기")))),"")))</f>
      </c>
      <c r="N161" s="40">
        <f>IF($H161="INQUIRY",IFERROR(EDATE(INDEX('견적 Quotes'!$B$3:$B$1002,MATCH($C161,'견적 Quotes'!$A$3:$A$1002,0)),'설정 Settings'!$C$20),""),"")</f>
      </c>
    </row>
    <row r="162" spans="12:14" x14ac:dyDescent="0.25">
      <c r="L162" s="42">
        <f>IF($A162="","",IF($G162="Y","완료 DONE",IF($F162="","날짜 없음",IF($F162&lt;'설정 Settings'!$C$15,"지남 OVERDUE",IF($F162='설정 Settings'!$C$15,"오늘 TODAY","예정 OPEN")))))</f>
      </c>
      <c r="M162" s="42">
        <f>IF($A162="","",IF($I162="Y","수신거부: 문자·이메일 보내지 않기",IF(OR($E162="SMS",$E162="EMAIL"),IF(OR($H162="",$H162="NONE"),"동의 근거 없음: 전화·방문만",IF($H162="INQUIRY",IF(N($N162)=0,"견적 요청일을 못 찾음: 관련 ID에 견적 ID(Q-…)를 넣었는지 확인",IF('설정 Settings'!$C$15&gt;N($N162),"문의 후 6개월 지남: 다른 동의 근거 필요","OK: 이름·주소·연락처·수신거부 문구 넣기")),IF($H162="REFERRAL","소개 후 첫 메시지만 OK: 소개자 이름 + 이름·주소·연락처·수신거부 문구. 두 번째부터는 다른 동의 근거 필요",IF(AND($H162="REPLY",$D162&lt;&gt;"QUOTE",$D162&lt;&gt;"CALLBACK"),"문의에 대한 답장이 아님: EXPRESS 또는 INQUIRY 동의 필요","OK: 이름·주소·연락처·수신거부 문구 넣기")))),"")))</f>
      </c>
      <c r="N162" s="40">
        <f>IF($H162="INQUIRY",IFERROR(EDATE(INDEX('견적 Quotes'!$B$3:$B$1002,MATCH($C162,'견적 Quotes'!$A$3:$A$1002,0)),'설정 Settings'!$C$20),""),"")</f>
      </c>
    </row>
    <row r="163" spans="12:14" x14ac:dyDescent="0.25">
      <c r="L163" s="42">
        <f>IF($A163="","",IF($G163="Y","완료 DONE",IF($F163="","날짜 없음",IF($F163&lt;'설정 Settings'!$C$15,"지남 OVERDUE",IF($F163='설정 Settings'!$C$15,"오늘 TODAY","예정 OPEN")))))</f>
      </c>
      <c r="M163" s="42">
        <f>IF($A163="","",IF($I163="Y","수신거부: 문자·이메일 보내지 않기",IF(OR($E163="SMS",$E163="EMAIL"),IF(OR($H163="",$H163="NONE"),"동의 근거 없음: 전화·방문만",IF($H163="INQUIRY",IF(N($N163)=0,"견적 요청일을 못 찾음: 관련 ID에 견적 ID(Q-…)를 넣었는지 확인",IF('설정 Settings'!$C$15&gt;N($N163),"문의 후 6개월 지남: 다른 동의 근거 필요","OK: 이름·주소·연락처·수신거부 문구 넣기")),IF($H163="REFERRAL","소개 후 첫 메시지만 OK: 소개자 이름 + 이름·주소·연락처·수신거부 문구. 두 번째부터는 다른 동의 근거 필요",IF(AND($H163="REPLY",$D163&lt;&gt;"QUOTE",$D163&lt;&gt;"CALLBACK"),"문의에 대한 답장이 아님: EXPRESS 또는 INQUIRY 동의 필요","OK: 이름·주소·연락처·수신거부 문구 넣기")))),"")))</f>
      </c>
      <c r="N163" s="40">
        <f>IF($H163="INQUIRY",IFERROR(EDATE(INDEX('견적 Quotes'!$B$3:$B$1002,MATCH($C163,'견적 Quotes'!$A$3:$A$1002,0)),'설정 Settings'!$C$20),""),"")</f>
      </c>
    </row>
    <row r="164" spans="12:14" x14ac:dyDescent="0.25">
      <c r="L164" s="42">
        <f>IF($A164="","",IF($G164="Y","완료 DONE",IF($F164="","날짜 없음",IF($F164&lt;'설정 Settings'!$C$15,"지남 OVERDUE",IF($F164='설정 Settings'!$C$15,"오늘 TODAY","예정 OPEN")))))</f>
      </c>
      <c r="M164" s="42">
        <f>IF($A164="","",IF($I164="Y","수신거부: 문자·이메일 보내지 않기",IF(OR($E164="SMS",$E164="EMAIL"),IF(OR($H164="",$H164="NONE"),"동의 근거 없음: 전화·방문만",IF($H164="INQUIRY",IF(N($N164)=0,"견적 요청일을 못 찾음: 관련 ID에 견적 ID(Q-…)를 넣었는지 확인",IF('설정 Settings'!$C$15&gt;N($N164),"문의 후 6개월 지남: 다른 동의 근거 필요","OK: 이름·주소·연락처·수신거부 문구 넣기")),IF($H164="REFERRAL","소개 후 첫 메시지만 OK: 소개자 이름 + 이름·주소·연락처·수신거부 문구. 두 번째부터는 다른 동의 근거 필요",IF(AND($H164="REPLY",$D164&lt;&gt;"QUOTE",$D164&lt;&gt;"CALLBACK"),"문의에 대한 답장이 아님: EXPRESS 또는 INQUIRY 동의 필요","OK: 이름·주소·연락처·수신거부 문구 넣기")))),"")))</f>
      </c>
      <c r="N164" s="40">
        <f>IF($H164="INQUIRY",IFERROR(EDATE(INDEX('견적 Quotes'!$B$3:$B$1002,MATCH($C164,'견적 Quotes'!$A$3:$A$1002,0)),'설정 Settings'!$C$20),""),"")</f>
      </c>
    </row>
    <row r="165" spans="12:14" x14ac:dyDescent="0.25">
      <c r="L165" s="42">
        <f>IF($A165="","",IF($G165="Y","완료 DONE",IF($F165="","날짜 없음",IF($F165&lt;'설정 Settings'!$C$15,"지남 OVERDUE",IF($F165='설정 Settings'!$C$15,"오늘 TODAY","예정 OPEN")))))</f>
      </c>
      <c r="M165" s="42">
        <f>IF($A165="","",IF($I165="Y","수신거부: 문자·이메일 보내지 않기",IF(OR($E165="SMS",$E165="EMAIL"),IF(OR($H165="",$H165="NONE"),"동의 근거 없음: 전화·방문만",IF($H165="INQUIRY",IF(N($N165)=0,"견적 요청일을 못 찾음: 관련 ID에 견적 ID(Q-…)를 넣었는지 확인",IF('설정 Settings'!$C$15&gt;N($N165),"문의 후 6개월 지남: 다른 동의 근거 필요","OK: 이름·주소·연락처·수신거부 문구 넣기")),IF($H165="REFERRAL","소개 후 첫 메시지만 OK: 소개자 이름 + 이름·주소·연락처·수신거부 문구. 두 번째부터는 다른 동의 근거 필요",IF(AND($H165="REPLY",$D165&lt;&gt;"QUOTE",$D165&lt;&gt;"CALLBACK"),"문의에 대한 답장이 아님: EXPRESS 또는 INQUIRY 동의 필요","OK: 이름·주소·연락처·수신거부 문구 넣기")))),"")))</f>
      </c>
      <c r="N165" s="40">
        <f>IF($H165="INQUIRY",IFERROR(EDATE(INDEX('견적 Quotes'!$B$3:$B$1002,MATCH($C165,'견적 Quotes'!$A$3:$A$1002,0)),'설정 Settings'!$C$20),""),"")</f>
      </c>
    </row>
    <row r="166" spans="12:14" x14ac:dyDescent="0.25">
      <c r="L166" s="42">
        <f>IF($A166="","",IF($G166="Y","완료 DONE",IF($F166="","날짜 없음",IF($F166&lt;'설정 Settings'!$C$15,"지남 OVERDUE",IF($F166='설정 Settings'!$C$15,"오늘 TODAY","예정 OPEN")))))</f>
      </c>
      <c r="M166" s="42">
        <f>IF($A166="","",IF($I166="Y","수신거부: 문자·이메일 보내지 않기",IF(OR($E166="SMS",$E166="EMAIL"),IF(OR($H166="",$H166="NONE"),"동의 근거 없음: 전화·방문만",IF($H166="INQUIRY",IF(N($N166)=0,"견적 요청일을 못 찾음: 관련 ID에 견적 ID(Q-…)를 넣었는지 확인",IF('설정 Settings'!$C$15&gt;N($N166),"문의 후 6개월 지남: 다른 동의 근거 필요","OK: 이름·주소·연락처·수신거부 문구 넣기")),IF($H166="REFERRAL","소개 후 첫 메시지만 OK: 소개자 이름 + 이름·주소·연락처·수신거부 문구. 두 번째부터는 다른 동의 근거 필요",IF(AND($H166="REPLY",$D166&lt;&gt;"QUOTE",$D166&lt;&gt;"CALLBACK"),"문의에 대한 답장이 아님: EXPRESS 또는 INQUIRY 동의 필요","OK: 이름·주소·연락처·수신거부 문구 넣기")))),"")))</f>
      </c>
      <c r="N166" s="40">
        <f>IF($H166="INQUIRY",IFERROR(EDATE(INDEX('견적 Quotes'!$B$3:$B$1002,MATCH($C166,'견적 Quotes'!$A$3:$A$1002,0)),'설정 Settings'!$C$20),""),"")</f>
      </c>
    </row>
    <row r="167" spans="12:14" x14ac:dyDescent="0.25">
      <c r="L167" s="42">
        <f>IF($A167="","",IF($G167="Y","완료 DONE",IF($F167="","날짜 없음",IF($F167&lt;'설정 Settings'!$C$15,"지남 OVERDUE",IF($F167='설정 Settings'!$C$15,"오늘 TODAY","예정 OPEN")))))</f>
      </c>
      <c r="M167" s="42">
        <f>IF($A167="","",IF($I167="Y","수신거부: 문자·이메일 보내지 않기",IF(OR($E167="SMS",$E167="EMAIL"),IF(OR($H167="",$H167="NONE"),"동의 근거 없음: 전화·방문만",IF($H167="INQUIRY",IF(N($N167)=0,"견적 요청일을 못 찾음: 관련 ID에 견적 ID(Q-…)를 넣었는지 확인",IF('설정 Settings'!$C$15&gt;N($N167),"문의 후 6개월 지남: 다른 동의 근거 필요","OK: 이름·주소·연락처·수신거부 문구 넣기")),IF($H167="REFERRAL","소개 후 첫 메시지만 OK: 소개자 이름 + 이름·주소·연락처·수신거부 문구. 두 번째부터는 다른 동의 근거 필요",IF(AND($H167="REPLY",$D167&lt;&gt;"QUOTE",$D167&lt;&gt;"CALLBACK"),"문의에 대한 답장이 아님: EXPRESS 또는 INQUIRY 동의 필요","OK: 이름·주소·연락처·수신거부 문구 넣기")))),"")))</f>
      </c>
      <c r="N167" s="40">
        <f>IF($H167="INQUIRY",IFERROR(EDATE(INDEX('견적 Quotes'!$B$3:$B$1002,MATCH($C167,'견적 Quotes'!$A$3:$A$1002,0)),'설정 Settings'!$C$20),""),"")</f>
      </c>
    </row>
    <row r="168" spans="12:14" x14ac:dyDescent="0.25">
      <c r="L168" s="42">
        <f>IF($A168="","",IF($G168="Y","완료 DONE",IF($F168="","날짜 없음",IF($F168&lt;'설정 Settings'!$C$15,"지남 OVERDUE",IF($F168='설정 Settings'!$C$15,"오늘 TODAY","예정 OPEN")))))</f>
      </c>
      <c r="M168" s="42">
        <f>IF($A168="","",IF($I168="Y","수신거부: 문자·이메일 보내지 않기",IF(OR($E168="SMS",$E168="EMAIL"),IF(OR($H168="",$H168="NONE"),"동의 근거 없음: 전화·방문만",IF($H168="INQUIRY",IF(N($N168)=0,"견적 요청일을 못 찾음: 관련 ID에 견적 ID(Q-…)를 넣었는지 확인",IF('설정 Settings'!$C$15&gt;N($N168),"문의 후 6개월 지남: 다른 동의 근거 필요","OK: 이름·주소·연락처·수신거부 문구 넣기")),IF($H168="REFERRAL","소개 후 첫 메시지만 OK: 소개자 이름 + 이름·주소·연락처·수신거부 문구. 두 번째부터는 다른 동의 근거 필요",IF(AND($H168="REPLY",$D168&lt;&gt;"QUOTE",$D168&lt;&gt;"CALLBACK"),"문의에 대한 답장이 아님: EXPRESS 또는 INQUIRY 동의 필요","OK: 이름·주소·연락처·수신거부 문구 넣기")))),"")))</f>
      </c>
      <c r="N168" s="40">
        <f>IF($H168="INQUIRY",IFERROR(EDATE(INDEX('견적 Quotes'!$B$3:$B$1002,MATCH($C168,'견적 Quotes'!$A$3:$A$1002,0)),'설정 Settings'!$C$20),""),"")</f>
      </c>
    </row>
    <row r="169" spans="12:14" x14ac:dyDescent="0.25">
      <c r="L169" s="42">
        <f>IF($A169="","",IF($G169="Y","완료 DONE",IF($F169="","날짜 없음",IF($F169&lt;'설정 Settings'!$C$15,"지남 OVERDUE",IF($F169='설정 Settings'!$C$15,"오늘 TODAY","예정 OPEN")))))</f>
      </c>
      <c r="M169" s="42">
        <f>IF($A169="","",IF($I169="Y","수신거부: 문자·이메일 보내지 않기",IF(OR($E169="SMS",$E169="EMAIL"),IF(OR($H169="",$H169="NONE"),"동의 근거 없음: 전화·방문만",IF($H169="INQUIRY",IF(N($N169)=0,"견적 요청일을 못 찾음: 관련 ID에 견적 ID(Q-…)를 넣었는지 확인",IF('설정 Settings'!$C$15&gt;N($N169),"문의 후 6개월 지남: 다른 동의 근거 필요","OK: 이름·주소·연락처·수신거부 문구 넣기")),IF($H169="REFERRAL","소개 후 첫 메시지만 OK: 소개자 이름 + 이름·주소·연락처·수신거부 문구. 두 번째부터는 다른 동의 근거 필요",IF(AND($H169="REPLY",$D169&lt;&gt;"QUOTE",$D169&lt;&gt;"CALLBACK"),"문의에 대한 답장이 아님: EXPRESS 또는 INQUIRY 동의 필요","OK: 이름·주소·연락처·수신거부 문구 넣기")))),"")))</f>
      </c>
      <c r="N169" s="40">
        <f>IF($H169="INQUIRY",IFERROR(EDATE(INDEX('견적 Quotes'!$B$3:$B$1002,MATCH($C169,'견적 Quotes'!$A$3:$A$1002,0)),'설정 Settings'!$C$20),""),"")</f>
      </c>
    </row>
    <row r="170" spans="12:14" x14ac:dyDescent="0.25">
      <c r="L170" s="42">
        <f>IF($A170="","",IF($G170="Y","완료 DONE",IF($F170="","날짜 없음",IF($F170&lt;'설정 Settings'!$C$15,"지남 OVERDUE",IF($F170='설정 Settings'!$C$15,"오늘 TODAY","예정 OPEN")))))</f>
      </c>
      <c r="M170" s="42">
        <f>IF($A170="","",IF($I170="Y","수신거부: 문자·이메일 보내지 않기",IF(OR($E170="SMS",$E170="EMAIL"),IF(OR($H170="",$H170="NONE"),"동의 근거 없음: 전화·방문만",IF($H170="INQUIRY",IF(N($N170)=0,"견적 요청일을 못 찾음: 관련 ID에 견적 ID(Q-…)를 넣었는지 확인",IF('설정 Settings'!$C$15&gt;N($N170),"문의 후 6개월 지남: 다른 동의 근거 필요","OK: 이름·주소·연락처·수신거부 문구 넣기")),IF($H170="REFERRAL","소개 후 첫 메시지만 OK: 소개자 이름 + 이름·주소·연락처·수신거부 문구. 두 번째부터는 다른 동의 근거 필요",IF(AND($H170="REPLY",$D170&lt;&gt;"QUOTE",$D170&lt;&gt;"CALLBACK"),"문의에 대한 답장이 아님: EXPRESS 또는 INQUIRY 동의 필요","OK: 이름·주소·연락처·수신거부 문구 넣기")))),"")))</f>
      </c>
      <c r="N170" s="40">
        <f>IF($H170="INQUIRY",IFERROR(EDATE(INDEX('견적 Quotes'!$B$3:$B$1002,MATCH($C170,'견적 Quotes'!$A$3:$A$1002,0)),'설정 Settings'!$C$20),""),"")</f>
      </c>
    </row>
    <row r="171" spans="12:14" x14ac:dyDescent="0.25">
      <c r="L171" s="42">
        <f>IF($A171="","",IF($G171="Y","완료 DONE",IF($F171="","날짜 없음",IF($F171&lt;'설정 Settings'!$C$15,"지남 OVERDUE",IF($F171='설정 Settings'!$C$15,"오늘 TODAY","예정 OPEN")))))</f>
      </c>
      <c r="M171" s="42">
        <f>IF($A171="","",IF($I171="Y","수신거부: 문자·이메일 보내지 않기",IF(OR($E171="SMS",$E171="EMAIL"),IF(OR($H171="",$H171="NONE"),"동의 근거 없음: 전화·방문만",IF($H171="INQUIRY",IF(N($N171)=0,"견적 요청일을 못 찾음: 관련 ID에 견적 ID(Q-…)를 넣었는지 확인",IF('설정 Settings'!$C$15&gt;N($N171),"문의 후 6개월 지남: 다른 동의 근거 필요","OK: 이름·주소·연락처·수신거부 문구 넣기")),IF($H171="REFERRAL","소개 후 첫 메시지만 OK: 소개자 이름 + 이름·주소·연락처·수신거부 문구. 두 번째부터는 다른 동의 근거 필요",IF(AND($H171="REPLY",$D171&lt;&gt;"QUOTE",$D171&lt;&gt;"CALLBACK"),"문의에 대한 답장이 아님: EXPRESS 또는 INQUIRY 동의 필요","OK: 이름·주소·연락처·수신거부 문구 넣기")))),"")))</f>
      </c>
      <c r="N171" s="40">
        <f>IF($H171="INQUIRY",IFERROR(EDATE(INDEX('견적 Quotes'!$B$3:$B$1002,MATCH($C171,'견적 Quotes'!$A$3:$A$1002,0)),'설정 Settings'!$C$20),""),"")</f>
      </c>
    </row>
    <row r="172" spans="12:14" x14ac:dyDescent="0.25">
      <c r="L172" s="42">
        <f>IF($A172="","",IF($G172="Y","완료 DONE",IF($F172="","날짜 없음",IF($F172&lt;'설정 Settings'!$C$15,"지남 OVERDUE",IF($F172='설정 Settings'!$C$15,"오늘 TODAY","예정 OPEN")))))</f>
      </c>
      <c r="M172" s="42">
        <f>IF($A172="","",IF($I172="Y","수신거부: 문자·이메일 보내지 않기",IF(OR($E172="SMS",$E172="EMAIL"),IF(OR($H172="",$H172="NONE"),"동의 근거 없음: 전화·방문만",IF($H172="INQUIRY",IF(N($N172)=0,"견적 요청일을 못 찾음: 관련 ID에 견적 ID(Q-…)를 넣었는지 확인",IF('설정 Settings'!$C$15&gt;N($N172),"문의 후 6개월 지남: 다른 동의 근거 필요","OK: 이름·주소·연락처·수신거부 문구 넣기")),IF($H172="REFERRAL","소개 후 첫 메시지만 OK: 소개자 이름 + 이름·주소·연락처·수신거부 문구. 두 번째부터는 다른 동의 근거 필요",IF(AND($H172="REPLY",$D172&lt;&gt;"QUOTE",$D172&lt;&gt;"CALLBACK"),"문의에 대한 답장이 아님: EXPRESS 또는 INQUIRY 동의 필요","OK: 이름·주소·연락처·수신거부 문구 넣기")))),"")))</f>
      </c>
      <c r="N172" s="40">
        <f>IF($H172="INQUIRY",IFERROR(EDATE(INDEX('견적 Quotes'!$B$3:$B$1002,MATCH($C172,'견적 Quotes'!$A$3:$A$1002,0)),'설정 Settings'!$C$20),""),"")</f>
      </c>
    </row>
    <row r="173" spans="12:14" x14ac:dyDescent="0.25">
      <c r="L173" s="42">
        <f>IF($A173="","",IF($G173="Y","완료 DONE",IF($F173="","날짜 없음",IF($F173&lt;'설정 Settings'!$C$15,"지남 OVERDUE",IF($F173='설정 Settings'!$C$15,"오늘 TODAY","예정 OPEN")))))</f>
      </c>
      <c r="M173" s="42">
        <f>IF($A173="","",IF($I173="Y","수신거부: 문자·이메일 보내지 않기",IF(OR($E173="SMS",$E173="EMAIL"),IF(OR($H173="",$H173="NONE"),"동의 근거 없음: 전화·방문만",IF($H173="INQUIRY",IF(N($N173)=0,"견적 요청일을 못 찾음: 관련 ID에 견적 ID(Q-…)를 넣었는지 확인",IF('설정 Settings'!$C$15&gt;N($N173),"문의 후 6개월 지남: 다른 동의 근거 필요","OK: 이름·주소·연락처·수신거부 문구 넣기")),IF($H173="REFERRAL","소개 후 첫 메시지만 OK: 소개자 이름 + 이름·주소·연락처·수신거부 문구. 두 번째부터는 다른 동의 근거 필요",IF(AND($H173="REPLY",$D173&lt;&gt;"QUOTE",$D173&lt;&gt;"CALLBACK"),"문의에 대한 답장이 아님: EXPRESS 또는 INQUIRY 동의 필요","OK: 이름·주소·연락처·수신거부 문구 넣기")))),"")))</f>
      </c>
      <c r="N173" s="40">
        <f>IF($H173="INQUIRY",IFERROR(EDATE(INDEX('견적 Quotes'!$B$3:$B$1002,MATCH($C173,'견적 Quotes'!$A$3:$A$1002,0)),'설정 Settings'!$C$20),""),"")</f>
      </c>
    </row>
    <row r="174" spans="12:14" x14ac:dyDescent="0.25">
      <c r="L174" s="42">
        <f>IF($A174="","",IF($G174="Y","완료 DONE",IF($F174="","날짜 없음",IF($F174&lt;'설정 Settings'!$C$15,"지남 OVERDUE",IF($F174='설정 Settings'!$C$15,"오늘 TODAY","예정 OPEN")))))</f>
      </c>
      <c r="M174" s="42">
        <f>IF($A174="","",IF($I174="Y","수신거부: 문자·이메일 보내지 않기",IF(OR($E174="SMS",$E174="EMAIL"),IF(OR($H174="",$H174="NONE"),"동의 근거 없음: 전화·방문만",IF($H174="INQUIRY",IF(N($N174)=0,"견적 요청일을 못 찾음: 관련 ID에 견적 ID(Q-…)를 넣었는지 확인",IF('설정 Settings'!$C$15&gt;N($N174),"문의 후 6개월 지남: 다른 동의 근거 필요","OK: 이름·주소·연락처·수신거부 문구 넣기")),IF($H174="REFERRAL","소개 후 첫 메시지만 OK: 소개자 이름 + 이름·주소·연락처·수신거부 문구. 두 번째부터는 다른 동의 근거 필요",IF(AND($H174="REPLY",$D174&lt;&gt;"QUOTE",$D174&lt;&gt;"CALLBACK"),"문의에 대한 답장이 아님: EXPRESS 또는 INQUIRY 동의 필요","OK: 이름·주소·연락처·수신거부 문구 넣기")))),"")))</f>
      </c>
      <c r="N174" s="40">
        <f>IF($H174="INQUIRY",IFERROR(EDATE(INDEX('견적 Quotes'!$B$3:$B$1002,MATCH($C174,'견적 Quotes'!$A$3:$A$1002,0)),'설정 Settings'!$C$20),""),"")</f>
      </c>
    </row>
    <row r="175" spans="12:14" x14ac:dyDescent="0.25">
      <c r="L175" s="42">
        <f>IF($A175="","",IF($G175="Y","완료 DONE",IF($F175="","날짜 없음",IF($F175&lt;'설정 Settings'!$C$15,"지남 OVERDUE",IF($F175='설정 Settings'!$C$15,"오늘 TODAY","예정 OPEN")))))</f>
      </c>
      <c r="M175" s="42">
        <f>IF($A175="","",IF($I175="Y","수신거부: 문자·이메일 보내지 않기",IF(OR($E175="SMS",$E175="EMAIL"),IF(OR($H175="",$H175="NONE"),"동의 근거 없음: 전화·방문만",IF($H175="INQUIRY",IF(N($N175)=0,"견적 요청일을 못 찾음: 관련 ID에 견적 ID(Q-…)를 넣었는지 확인",IF('설정 Settings'!$C$15&gt;N($N175),"문의 후 6개월 지남: 다른 동의 근거 필요","OK: 이름·주소·연락처·수신거부 문구 넣기")),IF($H175="REFERRAL","소개 후 첫 메시지만 OK: 소개자 이름 + 이름·주소·연락처·수신거부 문구. 두 번째부터는 다른 동의 근거 필요",IF(AND($H175="REPLY",$D175&lt;&gt;"QUOTE",$D175&lt;&gt;"CALLBACK"),"문의에 대한 답장이 아님: EXPRESS 또는 INQUIRY 동의 필요","OK: 이름·주소·연락처·수신거부 문구 넣기")))),"")))</f>
      </c>
      <c r="N175" s="40">
        <f>IF($H175="INQUIRY",IFERROR(EDATE(INDEX('견적 Quotes'!$B$3:$B$1002,MATCH($C175,'견적 Quotes'!$A$3:$A$1002,0)),'설정 Settings'!$C$20),""),"")</f>
      </c>
    </row>
    <row r="176" spans="12:14" x14ac:dyDescent="0.25">
      <c r="L176" s="42">
        <f>IF($A176="","",IF($G176="Y","완료 DONE",IF($F176="","날짜 없음",IF($F176&lt;'설정 Settings'!$C$15,"지남 OVERDUE",IF($F176='설정 Settings'!$C$15,"오늘 TODAY","예정 OPEN")))))</f>
      </c>
      <c r="M176" s="42">
        <f>IF($A176="","",IF($I176="Y","수신거부: 문자·이메일 보내지 않기",IF(OR($E176="SMS",$E176="EMAIL"),IF(OR($H176="",$H176="NONE"),"동의 근거 없음: 전화·방문만",IF($H176="INQUIRY",IF(N($N176)=0,"견적 요청일을 못 찾음: 관련 ID에 견적 ID(Q-…)를 넣었는지 확인",IF('설정 Settings'!$C$15&gt;N($N176),"문의 후 6개월 지남: 다른 동의 근거 필요","OK: 이름·주소·연락처·수신거부 문구 넣기")),IF($H176="REFERRAL","소개 후 첫 메시지만 OK: 소개자 이름 + 이름·주소·연락처·수신거부 문구. 두 번째부터는 다른 동의 근거 필요",IF(AND($H176="REPLY",$D176&lt;&gt;"QUOTE",$D176&lt;&gt;"CALLBACK"),"문의에 대한 답장이 아님: EXPRESS 또는 INQUIRY 동의 필요","OK: 이름·주소·연락처·수신거부 문구 넣기")))),"")))</f>
      </c>
      <c r="N176" s="40">
        <f>IF($H176="INQUIRY",IFERROR(EDATE(INDEX('견적 Quotes'!$B$3:$B$1002,MATCH($C176,'견적 Quotes'!$A$3:$A$1002,0)),'설정 Settings'!$C$20),""),"")</f>
      </c>
    </row>
    <row r="177" spans="12:14" x14ac:dyDescent="0.25">
      <c r="L177" s="42">
        <f>IF($A177="","",IF($G177="Y","완료 DONE",IF($F177="","날짜 없음",IF($F177&lt;'설정 Settings'!$C$15,"지남 OVERDUE",IF($F177='설정 Settings'!$C$15,"오늘 TODAY","예정 OPEN")))))</f>
      </c>
      <c r="M177" s="42">
        <f>IF($A177="","",IF($I177="Y","수신거부: 문자·이메일 보내지 않기",IF(OR($E177="SMS",$E177="EMAIL"),IF(OR($H177="",$H177="NONE"),"동의 근거 없음: 전화·방문만",IF($H177="INQUIRY",IF(N($N177)=0,"견적 요청일을 못 찾음: 관련 ID에 견적 ID(Q-…)를 넣었는지 확인",IF('설정 Settings'!$C$15&gt;N($N177),"문의 후 6개월 지남: 다른 동의 근거 필요","OK: 이름·주소·연락처·수신거부 문구 넣기")),IF($H177="REFERRAL","소개 후 첫 메시지만 OK: 소개자 이름 + 이름·주소·연락처·수신거부 문구. 두 번째부터는 다른 동의 근거 필요",IF(AND($H177="REPLY",$D177&lt;&gt;"QUOTE",$D177&lt;&gt;"CALLBACK"),"문의에 대한 답장이 아님: EXPRESS 또는 INQUIRY 동의 필요","OK: 이름·주소·연락처·수신거부 문구 넣기")))),"")))</f>
      </c>
      <c r="N177" s="40">
        <f>IF($H177="INQUIRY",IFERROR(EDATE(INDEX('견적 Quotes'!$B$3:$B$1002,MATCH($C177,'견적 Quotes'!$A$3:$A$1002,0)),'설정 Settings'!$C$20),""),"")</f>
      </c>
    </row>
    <row r="178" spans="12:14" x14ac:dyDescent="0.25">
      <c r="L178" s="42">
        <f>IF($A178="","",IF($G178="Y","완료 DONE",IF($F178="","날짜 없음",IF($F178&lt;'설정 Settings'!$C$15,"지남 OVERDUE",IF($F178='설정 Settings'!$C$15,"오늘 TODAY","예정 OPEN")))))</f>
      </c>
      <c r="M178" s="42">
        <f>IF($A178="","",IF($I178="Y","수신거부: 문자·이메일 보내지 않기",IF(OR($E178="SMS",$E178="EMAIL"),IF(OR($H178="",$H178="NONE"),"동의 근거 없음: 전화·방문만",IF($H178="INQUIRY",IF(N($N178)=0,"견적 요청일을 못 찾음: 관련 ID에 견적 ID(Q-…)를 넣었는지 확인",IF('설정 Settings'!$C$15&gt;N($N178),"문의 후 6개월 지남: 다른 동의 근거 필요","OK: 이름·주소·연락처·수신거부 문구 넣기")),IF($H178="REFERRAL","소개 후 첫 메시지만 OK: 소개자 이름 + 이름·주소·연락처·수신거부 문구. 두 번째부터는 다른 동의 근거 필요",IF(AND($H178="REPLY",$D178&lt;&gt;"QUOTE",$D178&lt;&gt;"CALLBACK"),"문의에 대한 답장이 아님: EXPRESS 또는 INQUIRY 동의 필요","OK: 이름·주소·연락처·수신거부 문구 넣기")))),"")))</f>
      </c>
      <c r="N178" s="40">
        <f>IF($H178="INQUIRY",IFERROR(EDATE(INDEX('견적 Quotes'!$B$3:$B$1002,MATCH($C178,'견적 Quotes'!$A$3:$A$1002,0)),'설정 Settings'!$C$20),""),"")</f>
      </c>
    </row>
    <row r="179" spans="12:14" x14ac:dyDescent="0.25">
      <c r="L179" s="42">
        <f>IF($A179="","",IF($G179="Y","완료 DONE",IF($F179="","날짜 없음",IF($F179&lt;'설정 Settings'!$C$15,"지남 OVERDUE",IF($F179='설정 Settings'!$C$15,"오늘 TODAY","예정 OPEN")))))</f>
      </c>
      <c r="M179" s="42">
        <f>IF($A179="","",IF($I179="Y","수신거부: 문자·이메일 보내지 않기",IF(OR($E179="SMS",$E179="EMAIL"),IF(OR($H179="",$H179="NONE"),"동의 근거 없음: 전화·방문만",IF($H179="INQUIRY",IF(N($N179)=0,"견적 요청일을 못 찾음: 관련 ID에 견적 ID(Q-…)를 넣었는지 확인",IF('설정 Settings'!$C$15&gt;N($N179),"문의 후 6개월 지남: 다른 동의 근거 필요","OK: 이름·주소·연락처·수신거부 문구 넣기")),IF($H179="REFERRAL","소개 후 첫 메시지만 OK: 소개자 이름 + 이름·주소·연락처·수신거부 문구. 두 번째부터는 다른 동의 근거 필요",IF(AND($H179="REPLY",$D179&lt;&gt;"QUOTE",$D179&lt;&gt;"CALLBACK"),"문의에 대한 답장이 아님: EXPRESS 또는 INQUIRY 동의 필요","OK: 이름·주소·연락처·수신거부 문구 넣기")))),"")))</f>
      </c>
      <c r="N179" s="40">
        <f>IF($H179="INQUIRY",IFERROR(EDATE(INDEX('견적 Quotes'!$B$3:$B$1002,MATCH($C179,'견적 Quotes'!$A$3:$A$1002,0)),'설정 Settings'!$C$20),""),"")</f>
      </c>
    </row>
    <row r="180" spans="12:14" x14ac:dyDescent="0.25">
      <c r="L180" s="42">
        <f>IF($A180="","",IF($G180="Y","완료 DONE",IF($F180="","날짜 없음",IF($F180&lt;'설정 Settings'!$C$15,"지남 OVERDUE",IF($F180='설정 Settings'!$C$15,"오늘 TODAY","예정 OPEN")))))</f>
      </c>
      <c r="M180" s="42">
        <f>IF($A180="","",IF($I180="Y","수신거부: 문자·이메일 보내지 않기",IF(OR($E180="SMS",$E180="EMAIL"),IF(OR($H180="",$H180="NONE"),"동의 근거 없음: 전화·방문만",IF($H180="INQUIRY",IF(N($N180)=0,"견적 요청일을 못 찾음: 관련 ID에 견적 ID(Q-…)를 넣었는지 확인",IF('설정 Settings'!$C$15&gt;N($N180),"문의 후 6개월 지남: 다른 동의 근거 필요","OK: 이름·주소·연락처·수신거부 문구 넣기")),IF($H180="REFERRAL","소개 후 첫 메시지만 OK: 소개자 이름 + 이름·주소·연락처·수신거부 문구. 두 번째부터는 다른 동의 근거 필요",IF(AND($H180="REPLY",$D180&lt;&gt;"QUOTE",$D180&lt;&gt;"CALLBACK"),"문의에 대한 답장이 아님: EXPRESS 또는 INQUIRY 동의 필요","OK: 이름·주소·연락처·수신거부 문구 넣기")))),"")))</f>
      </c>
      <c r="N180" s="40">
        <f>IF($H180="INQUIRY",IFERROR(EDATE(INDEX('견적 Quotes'!$B$3:$B$1002,MATCH($C180,'견적 Quotes'!$A$3:$A$1002,0)),'설정 Settings'!$C$20),""),"")</f>
      </c>
    </row>
    <row r="181" spans="12:14" x14ac:dyDescent="0.25">
      <c r="L181" s="42">
        <f>IF($A181="","",IF($G181="Y","완료 DONE",IF($F181="","날짜 없음",IF($F181&lt;'설정 Settings'!$C$15,"지남 OVERDUE",IF($F181='설정 Settings'!$C$15,"오늘 TODAY","예정 OPEN")))))</f>
      </c>
      <c r="M181" s="42">
        <f>IF($A181="","",IF($I181="Y","수신거부: 문자·이메일 보내지 않기",IF(OR($E181="SMS",$E181="EMAIL"),IF(OR($H181="",$H181="NONE"),"동의 근거 없음: 전화·방문만",IF($H181="INQUIRY",IF(N($N181)=0,"견적 요청일을 못 찾음: 관련 ID에 견적 ID(Q-…)를 넣었는지 확인",IF('설정 Settings'!$C$15&gt;N($N181),"문의 후 6개월 지남: 다른 동의 근거 필요","OK: 이름·주소·연락처·수신거부 문구 넣기")),IF($H181="REFERRAL","소개 후 첫 메시지만 OK: 소개자 이름 + 이름·주소·연락처·수신거부 문구. 두 번째부터는 다른 동의 근거 필요",IF(AND($H181="REPLY",$D181&lt;&gt;"QUOTE",$D181&lt;&gt;"CALLBACK"),"문의에 대한 답장이 아님: EXPRESS 또는 INQUIRY 동의 필요","OK: 이름·주소·연락처·수신거부 문구 넣기")))),"")))</f>
      </c>
      <c r="N181" s="40">
        <f>IF($H181="INQUIRY",IFERROR(EDATE(INDEX('견적 Quotes'!$B$3:$B$1002,MATCH($C181,'견적 Quotes'!$A$3:$A$1002,0)),'설정 Settings'!$C$20),""),"")</f>
      </c>
    </row>
    <row r="182" spans="12:14" x14ac:dyDescent="0.25">
      <c r="L182" s="42">
        <f>IF($A182="","",IF($G182="Y","완료 DONE",IF($F182="","날짜 없음",IF($F182&lt;'설정 Settings'!$C$15,"지남 OVERDUE",IF($F182='설정 Settings'!$C$15,"오늘 TODAY","예정 OPEN")))))</f>
      </c>
      <c r="M182" s="42">
        <f>IF($A182="","",IF($I182="Y","수신거부: 문자·이메일 보내지 않기",IF(OR($E182="SMS",$E182="EMAIL"),IF(OR($H182="",$H182="NONE"),"동의 근거 없음: 전화·방문만",IF($H182="INQUIRY",IF(N($N182)=0,"견적 요청일을 못 찾음: 관련 ID에 견적 ID(Q-…)를 넣었는지 확인",IF('설정 Settings'!$C$15&gt;N($N182),"문의 후 6개월 지남: 다른 동의 근거 필요","OK: 이름·주소·연락처·수신거부 문구 넣기")),IF($H182="REFERRAL","소개 후 첫 메시지만 OK: 소개자 이름 + 이름·주소·연락처·수신거부 문구. 두 번째부터는 다른 동의 근거 필요",IF(AND($H182="REPLY",$D182&lt;&gt;"QUOTE",$D182&lt;&gt;"CALLBACK"),"문의에 대한 답장이 아님: EXPRESS 또는 INQUIRY 동의 필요","OK: 이름·주소·연락처·수신거부 문구 넣기")))),"")))</f>
      </c>
      <c r="N182" s="40">
        <f>IF($H182="INQUIRY",IFERROR(EDATE(INDEX('견적 Quotes'!$B$3:$B$1002,MATCH($C182,'견적 Quotes'!$A$3:$A$1002,0)),'설정 Settings'!$C$20),""),"")</f>
      </c>
    </row>
    <row r="183" spans="12:14" x14ac:dyDescent="0.25">
      <c r="L183" s="42">
        <f>IF($A183="","",IF($G183="Y","완료 DONE",IF($F183="","날짜 없음",IF($F183&lt;'설정 Settings'!$C$15,"지남 OVERDUE",IF($F183='설정 Settings'!$C$15,"오늘 TODAY","예정 OPEN")))))</f>
      </c>
      <c r="M183" s="42">
        <f>IF($A183="","",IF($I183="Y","수신거부: 문자·이메일 보내지 않기",IF(OR($E183="SMS",$E183="EMAIL"),IF(OR($H183="",$H183="NONE"),"동의 근거 없음: 전화·방문만",IF($H183="INQUIRY",IF(N($N183)=0,"견적 요청일을 못 찾음: 관련 ID에 견적 ID(Q-…)를 넣었는지 확인",IF('설정 Settings'!$C$15&gt;N($N183),"문의 후 6개월 지남: 다른 동의 근거 필요","OK: 이름·주소·연락처·수신거부 문구 넣기")),IF($H183="REFERRAL","소개 후 첫 메시지만 OK: 소개자 이름 + 이름·주소·연락처·수신거부 문구. 두 번째부터는 다른 동의 근거 필요",IF(AND($H183="REPLY",$D183&lt;&gt;"QUOTE",$D183&lt;&gt;"CALLBACK"),"문의에 대한 답장이 아님: EXPRESS 또는 INQUIRY 동의 필요","OK: 이름·주소·연락처·수신거부 문구 넣기")))),"")))</f>
      </c>
      <c r="N183" s="40">
        <f>IF($H183="INQUIRY",IFERROR(EDATE(INDEX('견적 Quotes'!$B$3:$B$1002,MATCH($C183,'견적 Quotes'!$A$3:$A$1002,0)),'설정 Settings'!$C$20),""),"")</f>
      </c>
    </row>
    <row r="184" spans="12:14" x14ac:dyDescent="0.25">
      <c r="L184" s="42">
        <f>IF($A184="","",IF($G184="Y","완료 DONE",IF($F184="","날짜 없음",IF($F184&lt;'설정 Settings'!$C$15,"지남 OVERDUE",IF($F184='설정 Settings'!$C$15,"오늘 TODAY","예정 OPEN")))))</f>
      </c>
      <c r="M184" s="42">
        <f>IF($A184="","",IF($I184="Y","수신거부: 문자·이메일 보내지 않기",IF(OR($E184="SMS",$E184="EMAIL"),IF(OR($H184="",$H184="NONE"),"동의 근거 없음: 전화·방문만",IF($H184="INQUIRY",IF(N($N184)=0,"견적 요청일을 못 찾음: 관련 ID에 견적 ID(Q-…)를 넣었는지 확인",IF('설정 Settings'!$C$15&gt;N($N184),"문의 후 6개월 지남: 다른 동의 근거 필요","OK: 이름·주소·연락처·수신거부 문구 넣기")),IF($H184="REFERRAL","소개 후 첫 메시지만 OK: 소개자 이름 + 이름·주소·연락처·수신거부 문구. 두 번째부터는 다른 동의 근거 필요",IF(AND($H184="REPLY",$D184&lt;&gt;"QUOTE",$D184&lt;&gt;"CALLBACK"),"문의에 대한 답장이 아님: EXPRESS 또는 INQUIRY 동의 필요","OK: 이름·주소·연락처·수신거부 문구 넣기")))),"")))</f>
      </c>
      <c r="N184" s="40">
        <f>IF($H184="INQUIRY",IFERROR(EDATE(INDEX('견적 Quotes'!$B$3:$B$1002,MATCH($C184,'견적 Quotes'!$A$3:$A$1002,0)),'설정 Settings'!$C$20),""),"")</f>
      </c>
    </row>
    <row r="185" spans="12:14" x14ac:dyDescent="0.25">
      <c r="L185" s="42">
        <f>IF($A185="","",IF($G185="Y","완료 DONE",IF($F185="","날짜 없음",IF($F185&lt;'설정 Settings'!$C$15,"지남 OVERDUE",IF($F185='설정 Settings'!$C$15,"오늘 TODAY","예정 OPEN")))))</f>
      </c>
      <c r="M185" s="42">
        <f>IF($A185="","",IF($I185="Y","수신거부: 문자·이메일 보내지 않기",IF(OR($E185="SMS",$E185="EMAIL"),IF(OR($H185="",$H185="NONE"),"동의 근거 없음: 전화·방문만",IF($H185="INQUIRY",IF(N($N185)=0,"견적 요청일을 못 찾음: 관련 ID에 견적 ID(Q-…)를 넣었는지 확인",IF('설정 Settings'!$C$15&gt;N($N185),"문의 후 6개월 지남: 다른 동의 근거 필요","OK: 이름·주소·연락처·수신거부 문구 넣기")),IF($H185="REFERRAL","소개 후 첫 메시지만 OK: 소개자 이름 + 이름·주소·연락처·수신거부 문구. 두 번째부터는 다른 동의 근거 필요",IF(AND($H185="REPLY",$D185&lt;&gt;"QUOTE",$D185&lt;&gt;"CALLBACK"),"문의에 대한 답장이 아님: EXPRESS 또는 INQUIRY 동의 필요","OK: 이름·주소·연락처·수신거부 문구 넣기")))),"")))</f>
      </c>
      <c r="N185" s="40">
        <f>IF($H185="INQUIRY",IFERROR(EDATE(INDEX('견적 Quotes'!$B$3:$B$1002,MATCH($C185,'견적 Quotes'!$A$3:$A$1002,0)),'설정 Settings'!$C$20),""),"")</f>
      </c>
    </row>
    <row r="186" spans="12:14" x14ac:dyDescent="0.25">
      <c r="L186" s="42">
        <f>IF($A186="","",IF($G186="Y","완료 DONE",IF($F186="","날짜 없음",IF($F186&lt;'설정 Settings'!$C$15,"지남 OVERDUE",IF($F186='설정 Settings'!$C$15,"오늘 TODAY","예정 OPEN")))))</f>
      </c>
      <c r="M186" s="42">
        <f>IF($A186="","",IF($I186="Y","수신거부: 문자·이메일 보내지 않기",IF(OR($E186="SMS",$E186="EMAIL"),IF(OR($H186="",$H186="NONE"),"동의 근거 없음: 전화·방문만",IF($H186="INQUIRY",IF(N($N186)=0,"견적 요청일을 못 찾음: 관련 ID에 견적 ID(Q-…)를 넣었는지 확인",IF('설정 Settings'!$C$15&gt;N($N186),"문의 후 6개월 지남: 다른 동의 근거 필요","OK: 이름·주소·연락처·수신거부 문구 넣기")),IF($H186="REFERRAL","소개 후 첫 메시지만 OK: 소개자 이름 + 이름·주소·연락처·수신거부 문구. 두 번째부터는 다른 동의 근거 필요",IF(AND($H186="REPLY",$D186&lt;&gt;"QUOTE",$D186&lt;&gt;"CALLBACK"),"문의에 대한 답장이 아님: EXPRESS 또는 INQUIRY 동의 필요","OK: 이름·주소·연락처·수신거부 문구 넣기")))),"")))</f>
      </c>
      <c r="N186" s="40">
        <f>IF($H186="INQUIRY",IFERROR(EDATE(INDEX('견적 Quotes'!$B$3:$B$1002,MATCH($C186,'견적 Quotes'!$A$3:$A$1002,0)),'설정 Settings'!$C$20),""),"")</f>
      </c>
    </row>
    <row r="187" spans="12:14" x14ac:dyDescent="0.25">
      <c r="L187" s="42">
        <f>IF($A187="","",IF($G187="Y","완료 DONE",IF($F187="","날짜 없음",IF($F187&lt;'설정 Settings'!$C$15,"지남 OVERDUE",IF($F187='설정 Settings'!$C$15,"오늘 TODAY","예정 OPEN")))))</f>
      </c>
      <c r="M187" s="42">
        <f>IF($A187="","",IF($I187="Y","수신거부: 문자·이메일 보내지 않기",IF(OR($E187="SMS",$E187="EMAIL"),IF(OR($H187="",$H187="NONE"),"동의 근거 없음: 전화·방문만",IF($H187="INQUIRY",IF(N($N187)=0,"견적 요청일을 못 찾음: 관련 ID에 견적 ID(Q-…)를 넣었는지 확인",IF('설정 Settings'!$C$15&gt;N($N187),"문의 후 6개월 지남: 다른 동의 근거 필요","OK: 이름·주소·연락처·수신거부 문구 넣기")),IF($H187="REFERRAL","소개 후 첫 메시지만 OK: 소개자 이름 + 이름·주소·연락처·수신거부 문구. 두 번째부터는 다른 동의 근거 필요",IF(AND($H187="REPLY",$D187&lt;&gt;"QUOTE",$D187&lt;&gt;"CALLBACK"),"문의에 대한 답장이 아님: EXPRESS 또는 INQUIRY 동의 필요","OK: 이름·주소·연락처·수신거부 문구 넣기")))),"")))</f>
      </c>
      <c r="N187" s="40">
        <f>IF($H187="INQUIRY",IFERROR(EDATE(INDEX('견적 Quotes'!$B$3:$B$1002,MATCH($C187,'견적 Quotes'!$A$3:$A$1002,0)),'설정 Settings'!$C$20),""),"")</f>
      </c>
    </row>
    <row r="188" spans="12:14" x14ac:dyDescent="0.25">
      <c r="L188" s="42">
        <f>IF($A188="","",IF($G188="Y","완료 DONE",IF($F188="","날짜 없음",IF($F188&lt;'설정 Settings'!$C$15,"지남 OVERDUE",IF($F188='설정 Settings'!$C$15,"오늘 TODAY","예정 OPEN")))))</f>
      </c>
      <c r="M188" s="42">
        <f>IF($A188="","",IF($I188="Y","수신거부: 문자·이메일 보내지 않기",IF(OR($E188="SMS",$E188="EMAIL"),IF(OR($H188="",$H188="NONE"),"동의 근거 없음: 전화·방문만",IF($H188="INQUIRY",IF(N($N188)=0,"견적 요청일을 못 찾음: 관련 ID에 견적 ID(Q-…)를 넣었는지 확인",IF('설정 Settings'!$C$15&gt;N($N188),"문의 후 6개월 지남: 다른 동의 근거 필요","OK: 이름·주소·연락처·수신거부 문구 넣기")),IF($H188="REFERRAL","소개 후 첫 메시지만 OK: 소개자 이름 + 이름·주소·연락처·수신거부 문구. 두 번째부터는 다른 동의 근거 필요",IF(AND($H188="REPLY",$D188&lt;&gt;"QUOTE",$D188&lt;&gt;"CALLBACK"),"문의에 대한 답장이 아님: EXPRESS 또는 INQUIRY 동의 필요","OK: 이름·주소·연락처·수신거부 문구 넣기")))),"")))</f>
      </c>
      <c r="N188" s="40">
        <f>IF($H188="INQUIRY",IFERROR(EDATE(INDEX('견적 Quotes'!$B$3:$B$1002,MATCH($C188,'견적 Quotes'!$A$3:$A$1002,0)),'설정 Settings'!$C$20),""),"")</f>
      </c>
    </row>
    <row r="189" spans="12:14" x14ac:dyDescent="0.25">
      <c r="L189" s="42">
        <f>IF($A189="","",IF($G189="Y","완료 DONE",IF($F189="","날짜 없음",IF($F189&lt;'설정 Settings'!$C$15,"지남 OVERDUE",IF($F189='설정 Settings'!$C$15,"오늘 TODAY","예정 OPEN")))))</f>
      </c>
      <c r="M189" s="42">
        <f>IF($A189="","",IF($I189="Y","수신거부: 문자·이메일 보내지 않기",IF(OR($E189="SMS",$E189="EMAIL"),IF(OR($H189="",$H189="NONE"),"동의 근거 없음: 전화·방문만",IF($H189="INQUIRY",IF(N($N189)=0,"견적 요청일을 못 찾음: 관련 ID에 견적 ID(Q-…)를 넣었는지 확인",IF('설정 Settings'!$C$15&gt;N($N189),"문의 후 6개월 지남: 다른 동의 근거 필요","OK: 이름·주소·연락처·수신거부 문구 넣기")),IF($H189="REFERRAL","소개 후 첫 메시지만 OK: 소개자 이름 + 이름·주소·연락처·수신거부 문구. 두 번째부터는 다른 동의 근거 필요",IF(AND($H189="REPLY",$D189&lt;&gt;"QUOTE",$D189&lt;&gt;"CALLBACK"),"문의에 대한 답장이 아님: EXPRESS 또는 INQUIRY 동의 필요","OK: 이름·주소·연락처·수신거부 문구 넣기")))),"")))</f>
      </c>
      <c r="N189" s="40">
        <f>IF($H189="INQUIRY",IFERROR(EDATE(INDEX('견적 Quotes'!$B$3:$B$1002,MATCH($C189,'견적 Quotes'!$A$3:$A$1002,0)),'설정 Settings'!$C$20),""),"")</f>
      </c>
    </row>
    <row r="190" spans="12:14" x14ac:dyDescent="0.25">
      <c r="L190" s="42">
        <f>IF($A190="","",IF($G190="Y","완료 DONE",IF($F190="","날짜 없음",IF($F190&lt;'설정 Settings'!$C$15,"지남 OVERDUE",IF($F190='설정 Settings'!$C$15,"오늘 TODAY","예정 OPEN")))))</f>
      </c>
      <c r="M190" s="42">
        <f>IF($A190="","",IF($I190="Y","수신거부: 문자·이메일 보내지 않기",IF(OR($E190="SMS",$E190="EMAIL"),IF(OR($H190="",$H190="NONE"),"동의 근거 없음: 전화·방문만",IF($H190="INQUIRY",IF(N($N190)=0,"견적 요청일을 못 찾음: 관련 ID에 견적 ID(Q-…)를 넣었는지 확인",IF('설정 Settings'!$C$15&gt;N($N190),"문의 후 6개월 지남: 다른 동의 근거 필요","OK: 이름·주소·연락처·수신거부 문구 넣기")),IF($H190="REFERRAL","소개 후 첫 메시지만 OK: 소개자 이름 + 이름·주소·연락처·수신거부 문구. 두 번째부터는 다른 동의 근거 필요",IF(AND($H190="REPLY",$D190&lt;&gt;"QUOTE",$D190&lt;&gt;"CALLBACK"),"문의에 대한 답장이 아님: EXPRESS 또는 INQUIRY 동의 필요","OK: 이름·주소·연락처·수신거부 문구 넣기")))),"")))</f>
      </c>
      <c r="N190" s="40">
        <f>IF($H190="INQUIRY",IFERROR(EDATE(INDEX('견적 Quotes'!$B$3:$B$1002,MATCH($C190,'견적 Quotes'!$A$3:$A$1002,0)),'설정 Settings'!$C$20),""),"")</f>
      </c>
    </row>
    <row r="191" spans="12:14" x14ac:dyDescent="0.25">
      <c r="L191" s="42">
        <f>IF($A191="","",IF($G191="Y","완료 DONE",IF($F191="","날짜 없음",IF($F191&lt;'설정 Settings'!$C$15,"지남 OVERDUE",IF($F191='설정 Settings'!$C$15,"오늘 TODAY","예정 OPEN")))))</f>
      </c>
      <c r="M191" s="42">
        <f>IF($A191="","",IF($I191="Y","수신거부: 문자·이메일 보내지 않기",IF(OR($E191="SMS",$E191="EMAIL"),IF(OR($H191="",$H191="NONE"),"동의 근거 없음: 전화·방문만",IF($H191="INQUIRY",IF(N($N191)=0,"견적 요청일을 못 찾음: 관련 ID에 견적 ID(Q-…)를 넣었는지 확인",IF('설정 Settings'!$C$15&gt;N($N191),"문의 후 6개월 지남: 다른 동의 근거 필요","OK: 이름·주소·연락처·수신거부 문구 넣기")),IF($H191="REFERRAL","소개 후 첫 메시지만 OK: 소개자 이름 + 이름·주소·연락처·수신거부 문구. 두 번째부터는 다른 동의 근거 필요",IF(AND($H191="REPLY",$D191&lt;&gt;"QUOTE",$D191&lt;&gt;"CALLBACK"),"문의에 대한 답장이 아님: EXPRESS 또는 INQUIRY 동의 필요","OK: 이름·주소·연락처·수신거부 문구 넣기")))),"")))</f>
      </c>
      <c r="N191" s="40">
        <f>IF($H191="INQUIRY",IFERROR(EDATE(INDEX('견적 Quotes'!$B$3:$B$1002,MATCH($C191,'견적 Quotes'!$A$3:$A$1002,0)),'설정 Settings'!$C$20),""),"")</f>
      </c>
    </row>
    <row r="192" spans="12:14" x14ac:dyDescent="0.25">
      <c r="L192" s="42">
        <f>IF($A192="","",IF($G192="Y","완료 DONE",IF($F192="","날짜 없음",IF($F192&lt;'설정 Settings'!$C$15,"지남 OVERDUE",IF($F192='설정 Settings'!$C$15,"오늘 TODAY","예정 OPEN")))))</f>
      </c>
      <c r="M192" s="42">
        <f>IF($A192="","",IF($I192="Y","수신거부: 문자·이메일 보내지 않기",IF(OR($E192="SMS",$E192="EMAIL"),IF(OR($H192="",$H192="NONE"),"동의 근거 없음: 전화·방문만",IF($H192="INQUIRY",IF(N($N192)=0,"견적 요청일을 못 찾음: 관련 ID에 견적 ID(Q-…)를 넣었는지 확인",IF('설정 Settings'!$C$15&gt;N($N192),"문의 후 6개월 지남: 다른 동의 근거 필요","OK: 이름·주소·연락처·수신거부 문구 넣기")),IF($H192="REFERRAL","소개 후 첫 메시지만 OK: 소개자 이름 + 이름·주소·연락처·수신거부 문구. 두 번째부터는 다른 동의 근거 필요",IF(AND($H192="REPLY",$D192&lt;&gt;"QUOTE",$D192&lt;&gt;"CALLBACK"),"문의에 대한 답장이 아님: EXPRESS 또는 INQUIRY 동의 필요","OK: 이름·주소·연락처·수신거부 문구 넣기")))),"")))</f>
      </c>
      <c r="N192" s="40">
        <f>IF($H192="INQUIRY",IFERROR(EDATE(INDEX('견적 Quotes'!$B$3:$B$1002,MATCH($C192,'견적 Quotes'!$A$3:$A$1002,0)),'설정 Settings'!$C$20),""),"")</f>
      </c>
    </row>
    <row r="193" spans="12:14" x14ac:dyDescent="0.25">
      <c r="L193" s="42">
        <f>IF($A193="","",IF($G193="Y","완료 DONE",IF($F193="","날짜 없음",IF($F193&lt;'설정 Settings'!$C$15,"지남 OVERDUE",IF($F193='설정 Settings'!$C$15,"오늘 TODAY","예정 OPEN")))))</f>
      </c>
      <c r="M193" s="42">
        <f>IF($A193="","",IF($I193="Y","수신거부: 문자·이메일 보내지 않기",IF(OR($E193="SMS",$E193="EMAIL"),IF(OR($H193="",$H193="NONE"),"동의 근거 없음: 전화·방문만",IF($H193="INQUIRY",IF(N($N193)=0,"견적 요청일을 못 찾음: 관련 ID에 견적 ID(Q-…)를 넣었는지 확인",IF('설정 Settings'!$C$15&gt;N($N193),"문의 후 6개월 지남: 다른 동의 근거 필요","OK: 이름·주소·연락처·수신거부 문구 넣기")),IF($H193="REFERRAL","소개 후 첫 메시지만 OK: 소개자 이름 + 이름·주소·연락처·수신거부 문구. 두 번째부터는 다른 동의 근거 필요",IF(AND($H193="REPLY",$D193&lt;&gt;"QUOTE",$D193&lt;&gt;"CALLBACK"),"문의에 대한 답장이 아님: EXPRESS 또는 INQUIRY 동의 필요","OK: 이름·주소·연락처·수신거부 문구 넣기")))),"")))</f>
      </c>
      <c r="N193" s="40">
        <f>IF($H193="INQUIRY",IFERROR(EDATE(INDEX('견적 Quotes'!$B$3:$B$1002,MATCH($C193,'견적 Quotes'!$A$3:$A$1002,0)),'설정 Settings'!$C$20),""),"")</f>
      </c>
    </row>
    <row r="194" spans="12:14" x14ac:dyDescent="0.25">
      <c r="L194" s="42">
        <f>IF($A194="","",IF($G194="Y","완료 DONE",IF($F194="","날짜 없음",IF($F194&lt;'설정 Settings'!$C$15,"지남 OVERDUE",IF($F194='설정 Settings'!$C$15,"오늘 TODAY","예정 OPEN")))))</f>
      </c>
      <c r="M194" s="42">
        <f>IF($A194="","",IF($I194="Y","수신거부: 문자·이메일 보내지 않기",IF(OR($E194="SMS",$E194="EMAIL"),IF(OR($H194="",$H194="NONE"),"동의 근거 없음: 전화·방문만",IF($H194="INQUIRY",IF(N($N194)=0,"견적 요청일을 못 찾음: 관련 ID에 견적 ID(Q-…)를 넣었는지 확인",IF('설정 Settings'!$C$15&gt;N($N194),"문의 후 6개월 지남: 다른 동의 근거 필요","OK: 이름·주소·연락처·수신거부 문구 넣기")),IF($H194="REFERRAL","소개 후 첫 메시지만 OK: 소개자 이름 + 이름·주소·연락처·수신거부 문구. 두 번째부터는 다른 동의 근거 필요",IF(AND($H194="REPLY",$D194&lt;&gt;"QUOTE",$D194&lt;&gt;"CALLBACK"),"문의에 대한 답장이 아님: EXPRESS 또는 INQUIRY 동의 필요","OK: 이름·주소·연락처·수신거부 문구 넣기")))),"")))</f>
      </c>
      <c r="N194" s="40">
        <f>IF($H194="INQUIRY",IFERROR(EDATE(INDEX('견적 Quotes'!$B$3:$B$1002,MATCH($C194,'견적 Quotes'!$A$3:$A$1002,0)),'설정 Settings'!$C$20),""),"")</f>
      </c>
    </row>
    <row r="195" spans="12:14" x14ac:dyDescent="0.25">
      <c r="L195" s="42">
        <f>IF($A195="","",IF($G195="Y","완료 DONE",IF($F195="","날짜 없음",IF($F195&lt;'설정 Settings'!$C$15,"지남 OVERDUE",IF($F195='설정 Settings'!$C$15,"오늘 TODAY","예정 OPEN")))))</f>
      </c>
      <c r="M195" s="42">
        <f>IF($A195="","",IF($I195="Y","수신거부: 문자·이메일 보내지 않기",IF(OR($E195="SMS",$E195="EMAIL"),IF(OR($H195="",$H195="NONE"),"동의 근거 없음: 전화·방문만",IF($H195="INQUIRY",IF(N($N195)=0,"견적 요청일을 못 찾음: 관련 ID에 견적 ID(Q-…)를 넣었는지 확인",IF('설정 Settings'!$C$15&gt;N($N195),"문의 후 6개월 지남: 다른 동의 근거 필요","OK: 이름·주소·연락처·수신거부 문구 넣기")),IF($H195="REFERRAL","소개 후 첫 메시지만 OK: 소개자 이름 + 이름·주소·연락처·수신거부 문구. 두 번째부터는 다른 동의 근거 필요",IF(AND($H195="REPLY",$D195&lt;&gt;"QUOTE",$D195&lt;&gt;"CALLBACK"),"문의에 대한 답장이 아님: EXPRESS 또는 INQUIRY 동의 필요","OK: 이름·주소·연락처·수신거부 문구 넣기")))),"")))</f>
      </c>
      <c r="N195" s="40">
        <f>IF($H195="INQUIRY",IFERROR(EDATE(INDEX('견적 Quotes'!$B$3:$B$1002,MATCH($C195,'견적 Quotes'!$A$3:$A$1002,0)),'설정 Settings'!$C$20),""),"")</f>
      </c>
    </row>
    <row r="196" spans="12:14" x14ac:dyDescent="0.25">
      <c r="L196" s="42">
        <f>IF($A196="","",IF($G196="Y","완료 DONE",IF($F196="","날짜 없음",IF($F196&lt;'설정 Settings'!$C$15,"지남 OVERDUE",IF($F196='설정 Settings'!$C$15,"오늘 TODAY","예정 OPEN")))))</f>
      </c>
      <c r="M196" s="42">
        <f>IF($A196="","",IF($I196="Y","수신거부: 문자·이메일 보내지 않기",IF(OR($E196="SMS",$E196="EMAIL"),IF(OR($H196="",$H196="NONE"),"동의 근거 없음: 전화·방문만",IF($H196="INQUIRY",IF(N($N196)=0,"견적 요청일을 못 찾음: 관련 ID에 견적 ID(Q-…)를 넣었는지 확인",IF('설정 Settings'!$C$15&gt;N($N196),"문의 후 6개월 지남: 다른 동의 근거 필요","OK: 이름·주소·연락처·수신거부 문구 넣기")),IF($H196="REFERRAL","소개 후 첫 메시지만 OK: 소개자 이름 + 이름·주소·연락처·수신거부 문구. 두 번째부터는 다른 동의 근거 필요",IF(AND($H196="REPLY",$D196&lt;&gt;"QUOTE",$D196&lt;&gt;"CALLBACK"),"문의에 대한 답장이 아님: EXPRESS 또는 INQUIRY 동의 필요","OK: 이름·주소·연락처·수신거부 문구 넣기")))),"")))</f>
      </c>
      <c r="N196" s="40">
        <f>IF($H196="INQUIRY",IFERROR(EDATE(INDEX('견적 Quotes'!$B$3:$B$1002,MATCH($C196,'견적 Quotes'!$A$3:$A$1002,0)),'설정 Settings'!$C$20),""),"")</f>
      </c>
    </row>
    <row r="197" spans="12:14" x14ac:dyDescent="0.25">
      <c r="L197" s="42">
        <f>IF($A197="","",IF($G197="Y","완료 DONE",IF($F197="","날짜 없음",IF($F197&lt;'설정 Settings'!$C$15,"지남 OVERDUE",IF($F197='설정 Settings'!$C$15,"오늘 TODAY","예정 OPEN")))))</f>
      </c>
      <c r="M197" s="42">
        <f>IF($A197="","",IF($I197="Y","수신거부: 문자·이메일 보내지 않기",IF(OR($E197="SMS",$E197="EMAIL"),IF(OR($H197="",$H197="NONE"),"동의 근거 없음: 전화·방문만",IF($H197="INQUIRY",IF(N($N197)=0,"견적 요청일을 못 찾음: 관련 ID에 견적 ID(Q-…)를 넣었는지 확인",IF('설정 Settings'!$C$15&gt;N($N197),"문의 후 6개월 지남: 다른 동의 근거 필요","OK: 이름·주소·연락처·수신거부 문구 넣기")),IF($H197="REFERRAL","소개 후 첫 메시지만 OK: 소개자 이름 + 이름·주소·연락처·수신거부 문구. 두 번째부터는 다른 동의 근거 필요",IF(AND($H197="REPLY",$D197&lt;&gt;"QUOTE",$D197&lt;&gt;"CALLBACK"),"문의에 대한 답장이 아님: EXPRESS 또는 INQUIRY 동의 필요","OK: 이름·주소·연락처·수신거부 문구 넣기")))),"")))</f>
      </c>
      <c r="N197" s="40">
        <f>IF($H197="INQUIRY",IFERROR(EDATE(INDEX('견적 Quotes'!$B$3:$B$1002,MATCH($C197,'견적 Quotes'!$A$3:$A$1002,0)),'설정 Settings'!$C$20),""),"")</f>
      </c>
    </row>
    <row r="198" spans="12:14" x14ac:dyDescent="0.25">
      <c r="L198" s="42">
        <f>IF($A198="","",IF($G198="Y","완료 DONE",IF($F198="","날짜 없음",IF($F198&lt;'설정 Settings'!$C$15,"지남 OVERDUE",IF($F198='설정 Settings'!$C$15,"오늘 TODAY","예정 OPEN")))))</f>
      </c>
      <c r="M198" s="42">
        <f>IF($A198="","",IF($I198="Y","수신거부: 문자·이메일 보내지 않기",IF(OR($E198="SMS",$E198="EMAIL"),IF(OR($H198="",$H198="NONE"),"동의 근거 없음: 전화·방문만",IF($H198="INQUIRY",IF(N($N198)=0,"견적 요청일을 못 찾음: 관련 ID에 견적 ID(Q-…)를 넣었는지 확인",IF('설정 Settings'!$C$15&gt;N($N198),"문의 후 6개월 지남: 다른 동의 근거 필요","OK: 이름·주소·연락처·수신거부 문구 넣기")),IF($H198="REFERRAL","소개 후 첫 메시지만 OK: 소개자 이름 + 이름·주소·연락처·수신거부 문구. 두 번째부터는 다른 동의 근거 필요",IF(AND($H198="REPLY",$D198&lt;&gt;"QUOTE",$D198&lt;&gt;"CALLBACK"),"문의에 대한 답장이 아님: EXPRESS 또는 INQUIRY 동의 필요","OK: 이름·주소·연락처·수신거부 문구 넣기")))),"")))</f>
      </c>
      <c r="N198" s="40">
        <f>IF($H198="INQUIRY",IFERROR(EDATE(INDEX('견적 Quotes'!$B$3:$B$1002,MATCH($C198,'견적 Quotes'!$A$3:$A$1002,0)),'설정 Settings'!$C$20),""),"")</f>
      </c>
    </row>
    <row r="199" spans="12:14" x14ac:dyDescent="0.25">
      <c r="L199" s="42">
        <f>IF($A199="","",IF($G199="Y","완료 DONE",IF($F199="","날짜 없음",IF($F199&lt;'설정 Settings'!$C$15,"지남 OVERDUE",IF($F199='설정 Settings'!$C$15,"오늘 TODAY","예정 OPEN")))))</f>
      </c>
      <c r="M199" s="42">
        <f>IF($A199="","",IF($I199="Y","수신거부: 문자·이메일 보내지 않기",IF(OR($E199="SMS",$E199="EMAIL"),IF(OR($H199="",$H199="NONE"),"동의 근거 없음: 전화·방문만",IF($H199="INQUIRY",IF(N($N199)=0,"견적 요청일을 못 찾음: 관련 ID에 견적 ID(Q-…)를 넣었는지 확인",IF('설정 Settings'!$C$15&gt;N($N199),"문의 후 6개월 지남: 다른 동의 근거 필요","OK: 이름·주소·연락처·수신거부 문구 넣기")),IF($H199="REFERRAL","소개 후 첫 메시지만 OK: 소개자 이름 + 이름·주소·연락처·수신거부 문구. 두 번째부터는 다른 동의 근거 필요",IF(AND($H199="REPLY",$D199&lt;&gt;"QUOTE",$D199&lt;&gt;"CALLBACK"),"문의에 대한 답장이 아님: EXPRESS 또는 INQUIRY 동의 필요","OK: 이름·주소·연락처·수신거부 문구 넣기")))),"")))</f>
      </c>
      <c r="N199" s="40">
        <f>IF($H199="INQUIRY",IFERROR(EDATE(INDEX('견적 Quotes'!$B$3:$B$1002,MATCH($C199,'견적 Quotes'!$A$3:$A$1002,0)),'설정 Settings'!$C$20),""),"")</f>
      </c>
    </row>
    <row r="200" spans="12:14" x14ac:dyDescent="0.25">
      <c r="L200" s="42">
        <f>IF($A200="","",IF($G200="Y","완료 DONE",IF($F200="","날짜 없음",IF($F200&lt;'설정 Settings'!$C$15,"지남 OVERDUE",IF($F200='설정 Settings'!$C$15,"오늘 TODAY","예정 OPEN")))))</f>
      </c>
      <c r="M200" s="42">
        <f>IF($A200="","",IF($I200="Y","수신거부: 문자·이메일 보내지 않기",IF(OR($E200="SMS",$E200="EMAIL"),IF(OR($H200="",$H200="NONE"),"동의 근거 없음: 전화·방문만",IF($H200="INQUIRY",IF(N($N200)=0,"견적 요청일을 못 찾음: 관련 ID에 견적 ID(Q-…)를 넣었는지 확인",IF('설정 Settings'!$C$15&gt;N($N200),"문의 후 6개월 지남: 다른 동의 근거 필요","OK: 이름·주소·연락처·수신거부 문구 넣기")),IF($H200="REFERRAL","소개 후 첫 메시지만 OK: 소개자 이름 + 이름·주소·연락처·수신거부 문구. 두 번째부터는 다른 동의 근거 필요",IF(AND($H200="REPLY",$D200&lt;&gt;"QUOTE",$D200&lt;&gt;"CALLBACK"),"문의에 대한 답장이 아님: EXPRESS 또는 INQUIRY 동의 필요","OK: 이름·주소·연락처·수신거부 문구 넣기")))),"")))</f>
      </c>
      <c r="N200" s="40">
        <f>IF($H200="INQUIRY",IFERROR(EDATE(INDEX('견적 Quotes'!$B$3:$B$1002,MATCH($C200,'견적 Quotes'!$A$3:$A$1002,0)),'설정 Settings'!$C$20),""),"")</f>
      </c>
    </row>
    <row r="201" spans="12:14" x14ac:dyDescent="0.25">
      <c r="L201" s="42">
        <f>IF($A201="","",IF($G201="Y","완료 DONE",IF($F201="","날짜 없음",IF($F201&lt;'설정 Settings'!$C$15,"지남 OVERDUE",IF($F201='설정 Settings'!$C$15,"오늘 TODAY","예정 OPEN")))))</f>
      </c>
      <c r="M201" s="42">
        <f>IF($A201="","",IF($I201="Y","수신거부: 문자·이메일 보내지 않기",IF(OR($E201="SMS",$E201="EMAIL"),IF(OR($H201="",$H201="NONE"),"동의 근거 없음: 전화·방문만",IF($H201="INQUIRY",IF(N($N201)=0,"견적 요청일을 못 찾음: 관련 ID에 견적 ID(Q-…)를 넣었는지 확인",IF('설정 Settings'!$C$15&gt;N($N201),"문의 후 6개월 지남: 다른 동의 근거 필요","OK: 이름·주소·연락처·수신거부 문구 넣기")),IF($H201="REFERRAL","소개 후 첫 메시지만 OK: 소개자 이름 + 이름·주소·연락처·수신거부 문구. 두 번째부터는 다른 동의 근거 필요",IF(AND($H201="REPLY",$D201&lt;&gt;"QUOTE",$D201&lt;&gt;"CALLBACK"),"문의에 대한 답장이 아님: EXPRESS 또는 INQUIRY 동의 필요","OK: 이름·주소·연락처·수신거부 문구 넣기")))),"")))</f>
      </c>
      <c r="N201" s="40">
        <f>IF($H201="INQUIRY",IFERROR(EDATE(INDEX('견적 Quotes'!$B$3:$B$1002,MATCH($C201,'견적 Quotes'!$A$3:$A$1002,0)),'설정 Settings'!$C$20),""),"")</f>
      </c>
    </row>
    <row r="202" spans="12:14" x14ac:dyDescent="0.25">
      <c r="L202" s="42">
        <f>IF($A202="","",IF($G202="Y","완료 DONE",IF($F202="","날짜 없음",IF($F202&lt;'설정 Settings'!$C$15,"지남 OVERDUE",IF($F202='설정 Settings'!$C$15,"오늘 TODAY","예정 OPEN")))))</f>
      </c>
      <c r="M202" s="42">
        <f>IF($A202="","",IF($I202="Y","수신거부: 문자·이메일 보내지 않기",IF(OR($E202="SMS",$E202="EMAIL"),IF(OR($H202="",$H202="NONE"),"동의 근거 없음: 전화·방문만",IF($H202="INQUIRY",IF(N($N202)=0,"견적 요청일을 못 찾음: 관련 ID에 견적 ID(Q-…)를 넣었는지 확인",IF('설정 Settings'!$C$15&gt;N($N202),"문의 후 6개월 지남: 다른 동의 근거 필요","OK: 이름·주소·연락처·수신거부 문구 넣기")),IF($H202="REFERRAL","소개 후 첫 메시지만 OK: 소개자 이름 + 이름·주소·연락처·수신거부 문구. 두 번째부터는 다른 동의 근거 필요",IF(AND($H202="REPLY",$D202&lt;&gt;"QUOTE",$D202&lt;&gt;"CALLBACK"),"문의에 대한 답장이 아님: EXPRESS 또는 INQUIRY 동의 필요","OK: 이름·주소·연락처·수신거부 문구 넣기")))),"")))</f>
      </c>
      <c r="N202" s="40">
        <f>IF($H202="INQUIRY",IFERROR(EDATE(INDEX('견적 Quotes'!$B$3:$B$1002,MATCH($C202,'견적 Quotes'!$A$3:$A$1002,0)),'설정 Settings'!$C$20),""),"")</f>
      </c>
    </row>
    <row r="203" spans="12:14" x14ac:dyDescent="0.25">
      <c r="L203" s="42">
        <f>IF($A203="","",IF($G203="Y","완료 DONE",IF($F203="","날짜 없음",IF($F203&lt;'설정 Settings'!$C$15,"지남 OVERDUE",IF($F203='설정 Settings'!$C$15,"오늘 TODAY","예정 OPEN")))))</f>
      </c>
      <c r="M203" s="42">
        <f>IF($A203="","",IF($I203="Y","수신거부: 문자·이메일 보내지 않기",IF(OR($E203="SMS",$E203="EMAIL"),IF(OR($H203="",$H203="NONE"),"동의 근거 없음: 전화·방문만",IF($H203="INQUIRY",IF(N($N203)=0,"견적 요청일을 못 찾음: 관련 ID에 견적 ID(Q-…)를 넣었는지 확인",IF('설정 Settings'!$C$15&gt;N($N203),"문의 후 6개월 지남: 다른 동의 근거 필요","OK: 이름·주소·연락처·수신거부 문구 넣기")),IF($H203="REFERRAL","소개 후 첫 메시지만 OK: 소개자 이름 + 이름·주소·연락처·수신거부 문구. 두 번째부터는 다른 동의 근거 필요",IF(AND($H203="REPLY",$D203&lt;&gt;"QUOTE",$D203&lt;&gt;"CALLBACK"),"문의에 대한 답장이 아님: EXPRESS 또는 INQUIRY 동의 필요","OK: 이름·주소·연락처·수신거부 문구 넣기")))),"")))</f>
      </c>
      <c r="N203" s="40">
        <f>IF($H203="INQUIRY",IFERROR(EDATE(INDEX('견적 Quotes'!$B$3:$B$1002,MATCH($C203,'견적 Quotes'!$A$3:$A$1002,0)),'설정 Settings'!$C$20),""),"")</f>
      </c>
    </row>
    <row r="204" spans="12:14" x14ac:dyDescent="0.25">
      <c r="L204" s="42">
        <f>IF($A204="","",IF($G204="Y","완료 DONE",IF($F204="","날짜 없음",IF($F204&lt;'설정 Settings'!$C$15,"지남 OVERDUE",IF($F204='설정 Settings'!$C$15,"오늘 TODAY","예정 OPEN")))))</f>
      </c>
      <c r="M204" s="42">
        <f>IF($A204="","",IF($I204="Y","수신거부: 문자·이메일 보내지 않기",IF(OR($E204="SMS",$E204="EMAIL"),IF(OR($H204="",$H204="NONE"),"동의 근거 없음: 전화·방문만",IF($H204="INQUIRY",IF(N($N204)=0,"견적 요청일을 못 찾음: 관련 ID에 견적 ID(Q-…)를 넣었는지 확인",IF('설정 Settings'!$C$15&gt;N($N204),"문의 후 6개월 지남: 다른 동의 근거 필요","OK: 이름·주소·연락처·수신거부 문구 넣기")),IF($H204="REFERRAL","소개 후 첫 메시지만 OK: 소개자 이름 + 이름·주소·연락처·수신거부 문구. 두 번째부터는 다른 동의 근거 필요",IF(AND($H204="REPLY",$D204&lt;&gt;"QUOTE",$D204&lt;&gt;"CALLBACK"),"문의에 대한 답장이 아님: EXPRESS 또는 INQUIRY 동의 필요","OK: 이름·주소·연락처·수신거부 문구 넣기")))),"")))</f>
      </c>
      <c r="N204" s="40">
        <f>IF($H204="INQUIRY",IFERROR(EDATE(INDEX('견적 Quotes'!$B$3:$B$1002,MATCH($C204,'견적 Quotes'!$A$3:$A$1002,0)),'설정 Settings'!$C$20),""),"")</f>
      </c>
    </row>
    <row r="205" spans="12:14" x14ac:dyDescent="0.25">
      <c r="L205" s="42">
        <f>IF($A205="","",IF($G205="Y","완료 DONE",IF($F205="","날짜 없음",IF($F205&lt;'설정 Settings'!$C$15,"지남 OVERDUE",IF($F205='설정 Settings'!$C$15,"오늘 TODAY","예정 OPEN")))))</f>
      </c>
      <c r="M205" s="42">
        <f>IF($A205="","",IF($I205="Y","수신거부: 문자·이메일 보내지 않기",IF(OR($E205="SMS",$E205="EMAIL"),IF(OR($H205="",$H205="NONE"),"동의 근거 없음: 전화·방문만",IF($H205="INQUIRY",IF(N($N205)=0,"견적 요청일을 못 찾음: 관련 ID에 견적 ID(Q-…)를 넣었는지 확인",IF('설정 Settings'!$C$15&gt;N($N205),"문의 후 6개월 지남: 다른 동의 근거 필요","OK: 이름·주소·연락처·수신거부 문구 넣기")),IF($H205="REFERRAL","소개 후 첫 메시지만 OK: 소개자 이름 + 이름·주소·연락처·수신거부 문구. 두 번째부터는 다른 동의 근거 필요",IF(AND($H205="REPLY",$D205&lt;&gt;"QUOTE",$D205&lt;&gt;"CALLBACK"),"문의에 대한 답장이 아님: EXPRESS 또는 INQUIRY 동의 필요","OK: 이름·주소·연락처·수신거부 문구 넣기")))),"")))</f>
      </c>
      <c r="N205" s="40">
        <f>IF($H205="INQUIRY",IFERROR(EDATE(INDEX('견적 Quotes'!$B$3:$B$1002,MATCH($C205,'견적 Quotes'!$A$3:$A$1002,0)),'설정 Settings'!$C$20),""),"")</f>
      </c>
    </row>
    <row r="206" spans="12:14" x14ac:dyDescent="0.25">
      <c r="L206" s="42">
        <f>IF($A206="","",IF($G206="Y","완료 DONE",IF($F206="","날짜 없음",IF($F206&lt;'설정 Settings'!$C$15,"지남 OVERDUE",IF($F206='설정 Settings'!$C$15,"오늘 TODAY","예정 OPEN")))))</f>
      </c>
      <c r="M206" s="42">
        <f>IF($A206="","",IF($I206="Y","수신거부: 문자·이메일 보내지 않기",IF(OR($E206="SMS",$E206="EMAIL"),IF(OR($H206="",$H206="NONE"),"동의 근거 없음: 전화·방문만",IF($H206="INQUIRY",IF(N($N206)=0,"견적 요청일을 못 찾음: 관련 ID에 견적 ID(Q-…)를 넣었는지 확인",IF('설정 Settings'!$C$15&gt;N($N206),"문의 후 6개월 지남: 다른 동의 근거 필요","OK: 이름·주소·연락처·수신거부 문구 넣기")),IF($H206="REFERRAL","소개 후 첫 메시지만 OK: 소개자 이름 + 이름·주소·연락처·수신거부 문구. 두 번째부터는 다른 동의 근거 필요",IF(AND($H206="REPLY",$D206&lt;&gt;"QUOTE",$D206&lt;&gt;"CALLBACK"),"문의에 대한 답장이 아님: EXPRESS 또는 INQUIRY 동의 필요","OK: 이름·주소·연락처·수신거부 문구 넣기")))),"")))</f>
      </c>
      <c r="N206" s="40">
        <f>IF($H206="INQUIRY",IFERROR(EDATE(INDEX('견적 Quotes'!$B$3:$B$1002,MATCH($C206,'견적 Quotes'!$A$3:$A$1002,0)),'설정 Settings'!$C$20),""),"")</f>
      </c>
    </row>
    <row r="207" spans="12:14" x14ac:dyDescent="0.25">
      <c r="L207" s="42">
        <f>IF($A207="","",IF($G207="Y","완료 DONE",IF($F207="","날짜 없음",IF($F207&lt;'설정 Settings'!$C$15,"지남 OVERDUE",IF($F207='설정 Settings'!$C$15,"오늘 TODAY","예정 OPEN")))))</f>
      </c>
      <c r="M207" s="42">
        <f>IF($A207="","",IF($I207="Y","수신거부: 문자·이메일 보내지 않기",IF(OR($E207="SMS",$E207="EMAIL"),IF(OR($H207="",$H207="NONE"),"동의 근거 없음: 전화·방문만",IF($H207="INQUIRY",IF(N($N207)=0,"견적 요청일을 못 찾음: 관련 ID에 견적 ID(Q-…)를 넣었는지 확인",IF('설정 Settings'!$C$15&gt;N($N207),"문의 후 6개월 지남: 다른 동의 근거 필요","OK: 이름·주소·연락처·수신거부 문구 넣기")),IF($H207="REFERRAL","소개 후 첫 메시지만 OK: 소개자 이름 + 이름·주소·연락처·수신거부 문구. 두 번째부터는 다른 동의 근거 필요",IF(AND($H207="REPLY",$D207&lt;&gt;"QUOTE",$D207&lt;&gt;"CALLBACK"),"문의에 대한 답장이 아님: EXPRESS 또는 INQUIRY 동의 필요","OK: 이름·주소·연락처·수신거부 문구 넣기")))),"")))</f>
      </c>
      <c r="N207" s="40">
        <f>IF($H207="INQUIRY",IFERROR(EDATE(INDEX('견적 Quotes'!$B$3:$B$1002,MATCH($C207,'견적 Quotes'!$A$3:$A$1002,0)),'설정 Settings'!$C$20),""),"")</f>
      </c>
    </row>
    <row r="208" spans="12:14" x14ac:dyDescent="0.25">
      <c r="L208" s="42">
        <f>IF($A208="","",IF($G208="Y","완료 DONE",IF($F208="","날짜 없음",IF($F208&lt;'설정 Settings'!$C$15,"지남 OVERDUE",IF($F208='설정 Settings'!$C$15,"오늘 TODAY","예정 OPEN")))))</f>
      </c>
      <c r="M208" s="42">
        <f>IF($A208="","",IF($I208="Y","수신거부: 문자·이메일 보내지 않기",IF(OR($E208="SMS",$E208="EMAIL"),IF(OR($H208="",$H208="NONE"),"동의 근거 없음: 전화·방문만",IF($H208="INQUIRY",IF(N($N208)=0,"견적 요청일을 못 찾음: 관련 ID에 견적 ID(Q-…)를 넣었는지 확인",IF('설정 Settings'!$C$15&gt;N($N208),"문의 후 6개월 지남: 다른 동의 근거 필요","OK: 이름·주소·연락처·수신거부 문구 넣기")),IF($H208="REFERRAL","소개 후 첫 메시지만 OK: 소개자 이름 + 이름·주소·연락처·수신거부 문구. 두 번째부터는 다른 동의 근거 필요",IF(AND($H208="REPLY",$D208&lt;&gt;"QUOTE",$D208&lt;&gt;"CALLBACK"),"문의에 대한 답장이 아님: EXPRESS 또는 INQUIRY 동의 필요","OK: 이름·주소·연락처·수신거부 문구 넣기")))),"")))</f>
      </c>
      <c r="N208" s="40">
        <f>IF($H208="INQUIRY",IFERROR(EDATE(INDEX('견적 Quotes'!$B$3:$B$1002,MATCH($C208,'견적 Quotes'!$A$3:$A$1002,0)),'설정 Settings'!$C$20),""),"")</f>
      </c>
    </row>
    <row r="209" spans="12:14" x14ac:dyDescent="0.25">
      <c r="L209" s="42">
        <f>IF($A209="","",IF($G209="Y","완료 DONE",IF($F209="","날짜 없음",IF($F209&lt;'설정 Settings'!$C$15,"지남 OVERDUE",IF($F209='설정 Settings'!$C$15,"오늘 TODAY","예정 OPEN")))))</f>
      </c>
      <c r="M209" s="42">
        <f>IF($A209="","",IF($I209="Y","수신거부: 문자·이메일 보내지 않기",IF(OR($E209="SMS",$E209="EMAIL"),IF(OR($H209="",$H209="NONE"),"동의 근거 없음: 전화·방문만",IF($H209="INQUIRY",IF(N($N209)=0,"견적 요청일을 못 찾음: 관련 ID에 견적 ID(Q-…)를 넣었는지 확인",IF('설정 Settings'!$C$15&gt;N($N209),"문의 후 6개월 지남: 다른 동의 근거 필요","OK: 이름·주소·연락처·수신거부 문구 넣기")),IF($H209="REFERRAL","소개 후 첫 메시지만 OK: 소개자 이름 + 이름·주소·연락처·수신거부 문구. 두 번째부터는 다른 동의 근거 필요",IF(AND($H209="REPLY",$D209&lt;&gt;"QUOTE",$D209&lt;&gt;"CALLBACK"),"문의에 대한 답장이 아님: EXPRESS 또는 INQUIRY 동의 필요","OK: 이름·주소·연락처·수신거부 문구 넣기")))),"")))</f>
      </c>
      <c r="N209" s="40">
        <f>IF($H209="INQUIRY",IFERROR(EDATE(INDEX('견적 Quotes'!$B$3:$B$1002,MATCH($C209,'견적 Quotes'!$A$3:$A$1002,0)),'설정 Settings'!$C$20),""),"")</f>
      </c>
    </row>
    <row r="210" spans="12:14" x14ac:dyDescent="0.25">
      <c r="L210" s="42">
        <f>IF($A210="","",IF($G210="Y","완료 DONE",IF($F210="","날짜 없음",IF($F210&lt;'설정 Settings'!$C$15,"지남 OVERDUE",IF($F210='설정 Settings'!$C$15,"오늘 TODAY","예정 OPEN")))))</f>
      </c>
      <c r="M210" s="42">
        <f>IF($A210="","",IF($I210="Y","수신거부: 문자·이메일 보내지 않기",IF(OR($E210="SMS",$E210="EMAIL"),IF(OR($H210="",$H210="NONE"),"동의 근거 없음: 전화·방문만",IF($H210="INQUIRY",IF(N($N210)=0,"견적 요청일을 못 찾음: 관련 ID에 견적 ID(Q-…)를 넣었는지 확인",IF('설정 Settings'!$C$15&gt;N($N210),"문의 후 6개월 지남: 다른 동의 근거 필요","OK: 이름·주소·연락처·수신거부 문구 넣기")),IF($H210="REFERRAL","소개 후 첫 메시지만 OK: 소개자 이름 + 이름·주소·연락처·수신거부 문구. 두 번째부터는 다른 동의 근거 필요",IF(AND($H210="REPLY",$D210&lt;&gt;"QUOTE",$D210&lt;&gt;"CALLBACK"),"문의에 대한 답장이 아님: EXPRESS 또는 INQUIRY 동의 필요","OK: 이름·주소·연락처·수신거부 문구 넣기")))),"")))</f>
      </c>
      <c r="N210" s="40">
        <f>IF($H210="INQUIRY",IFERROR(EDATE(INDEX('견적 Quotes'!$B$3:$B$1002,MATCH($C210,'견적 Quotes'!$A$3:$A$1002,0)),'설정 Settings'!$C$20),""),"")</f>
      </c>
    </row>
    <row r="211" spans="12:14" x14ac:dyDescent="0.25">
      <c r="L211" s="42">
        <f>IF($A211="","",IF($G211="Y","완료 DONE",IF($F211="","날짜 없음",IF($F211&lt;'설정 Settings'!$C$15,"지남 OVERDUE",IF($F211='설정 Settings'!$C$15,"오늘 TODAY","예정 OPEN")))))</f>
      </c>
      <c r="M211" s="42">
        <f>IF($A211="","",IF($I211="Y","수신거부: 문자·이메일 보내지 않기",IF(OR($E211="SMS",$E211="EMAIL"),IF(OR($H211="",$H211="NONE"),"동의 근거 없음: 전화·방문만",IF($H211="INQUIRY",IF(N($N211)=0,"견적 요청일을 못 찾음: 관련 ID에 견적 ID(Q-…)를 넣었는지 확인",IF('설정 Settings'!$C$15&gt;N($N211),"문의 후 6개월 지남: 다른 동의 근거 필요","OK: 이름·주소·연락처·수신거부 문구 넣기")),IF($H211="REFERRAL","소개 후 첫 메시지만 OK: 소개자 이름 + 이름·주소·연락처·수신거부 문구. 두 번째부터는 다른 동의 근거 필요",IF(AND($H211="REPLY",$D211&lt;&gt;"QUOTE",$D211&lt;&gt;"CALLBACK"),"문의에 대한 답장이 아님: EXPRESS 또는 INQUIRY 동의 필요","OK: 이름·주소·연락처·수신거부 문구 넣기")))),"")))</f>
      </c>
      <c r="N211" s="40">
        <f>IF($H211="INQUIRY",IFERROR(EDATE(INDEX('견적 Quotes'!$B$3:$B$1002,MATCH($C211,'견적 Quotes'!$A$3:$A$1002,0)),'설정 Settings'!$C$20),""),"")</f>
      </c>
    </row>
    <row r="212" spans="12:14" x14ac:dyDescent="0.25">
      <c r="L212" s="42">
        <f>IF($A212="","",IF($G212="Y","완료 DONE",IF($F212="","날짜 없음",IF($F212&lt;'설정 Settings'!$C$15,"지남 OVERDUE",IF($F212='설정 Settings'!$C$15,"오늘 TODAY","예정 OPEN")))))</f>
      </c>
      <c r="M212" s="42">
        <f>IF($A212="","",IF($I212="Y","수신거부: 문자·이메일 보내지 않기",IF(OR($E212="SMS",$E212="EMAIL"),IF(OR($H212="",$H212="NONE"),"동의 근거 없음: 전화·방문만",IF($H212="INQUIRY",IF(N($N212)=0,"견적 요청일을 못 찾음: 관련 ID에 견적 ID(Q-…)를 넣었는지 확인",IF('설정 Settings'!$C$15&gt;N($N212),"문의 후 6개월 지남: 다른 동의 근거 필요","OK: 이름·주소·연락처·수신거부 문구 넣기")),IF($H212="REFERRAL","소개 후 첫 메시지만 OK: 소개자 이름 + 이름·주소·연락처·수신거부 문구. 두 번째부터는 다른 동의 근거 필요",IF(AND($H212="REPLY",$D212&lt;&gt;"QUOTE",$D212&lt;&gt;"CALLBACK"),"문의에 대한 답장이 아님: EXPRESS 또는 INQUIRY 동의 필요","OK: 이름·주소·연락처·수신거부 문구 넣기")))),"")))</f>
      </c>
      <c r="N212" s="40">
        <f>IF($H212="INQUIRY",IFERROR(EDATE(INDEX('견적 Quotes'!$B$3:$B$1002,MATCH($C212,'견적 Quotes'!$A$3:$A$1002,0)),'설정 Settings'!$C$20),""),"")</f>
      </c>
    </row>
    <row r="213" spans="12:14" x14ac:dyDescent="0.25">
      <c r="L213" s="42">
        <f>IF($A213="","",IF($G213="Y","완료 DONE",IF($F213="","날짜 없음",IF($F213&lt;'설정 Settings'!$C$15,"지남 OVERDUE",IF($F213='설정 Settings'!$C$15,"오늘 TODAY","예정 OPEN")))))</f>
      </c>
      <c r="M213" s="42">
        <f>IF($A213="","",IF($I213="Y","수신거부: 문자·이메일 보내지 않기",IF(OR($E213="SMS",$E213="EMAIL"),IF(OR($H213="",$H213="NONE"),"동의 근거 없음: 전화·방문만",IF($H213="INQUIRY",IF(N($N213)=0,"견적 요청일을 못 찾음: 관련 ID에 견적 ID(Q-…)를 넣었는지 확인",IF('설정 Settings'!$C$15&gt;N($N213),"문의 후 6개월 지남: 다른 동의 근거 필요","OK: 이름·주소·연락처·수신거부 문구 넣기")),IF($H213="REFERRAL","소개 후 첫 메시지만 OK: 소개자 이름 + 이름·주소·연락처·수신거부 문구. 두 번째부터는 다른 동의 근거 필요",IF(AND($H213="REPLY",$D213&lt;&gt;"QUOTE",$D213&lt;&gt;"CALLBACK"),"문의에 대한 답장이 아님: EXPRESS 또는 INQUIRY 동의 필요","OK: 이름·주소·연락처·수신거부 문구 넣기")))),"")))</f>
      </c>
      <c r="N213" s="40">
        <f>IF($H213="INQUIRY",IFERROR(EDATE(INDEX('견적 Quotes'!$B$3:$B$1002,MATCH($C213,'견적 Quotes'!$A$3:$A$1002,0)),'설정 Settings'!$C$20),""),"")</f>
      </c>
    </row>
    <row r="214" spans="12:14" x14ac:dyDescent="0.25">
      <c r="L214" s="42">
        <f>IF($A214="","",IF($G214="Y","완료 DONE",IF($F214="","날짜 없음",IF($F214&lt;'설정 Settings'!$C$15,"지남 OVERDUE",IF($F214='설정 Settings'!$C$15,"오늘 TODAY","예정 OPEN")))))</f>
      </c>
      <c r="M214" s="42">
        <f>IF($A214="","",IF($I214="Y","수신거부: 문자·이메일 보내지 않기",IF(OR($E214="SMS",$E214="EMAIL"),IF(OR($H214="",$H214="NONE"),"동의 근거 없음: 전화·방문만",IF($H214="INQUIRY",IF(N($N214)=0,"견적 요청일을 못 찾음: 관련 ID에 견적 ID(Q-…)를 넣었는지 확인",IF('설정 Settings'!$C$15&gt;N($N214),"문의 후 6개월 지남: 다른 동의 근거 필요","OK: 이름·주소·연락처·수신거부 문구 넣기")),IF($H214="REFERRAL","소개 후 첫 메시지만 OK: 소개자 이름 + 이름·주소·연락처·수신거부 문구. 두 번째부터는 다른 동의 근거 필요",IF(AND($H214="REPLY",$D214&lt;&gt;"QUOTE",$D214&lt;&gt;"CALLBACK"),"문의에 대한 답장이 아님: EXPRESS 또는 INQUIRY 동의 필요","OK: 이름·주소·연락처·수신거부 문구 넣기")))),"")))</f>
      </c>
      <c r="N214" s="40">
        <f>IF($H214="INQUIRY",IFERROR(EDATE(INDEX('견적 Quotes'!$B$3:$B$1002,MATCH($C214,'견적 Quotes'!$A$3:$A$1002,0)),'설정 Settings'!$C$20),""),"")</f>
      </c>
    </row>
    <row r="215" spans="12:14" x14ac:dyDescent="0.25">
      <c r="L215" s="42">
        <f>IF($A215="","",IF($G215="Y","완료 DONE",IF($F215="","날짜 없음",IF($F215&lt;'설정 Settings'!$C$15,"지남 OVERDUE",IF($F215='설정 Settings'!$C$15,"오늘 TODAY","예정 OPEN")))))</f>
      </c>
      <c r="M215" s="42">
        <f>IF($A215="","",IF($I215="Y","수신거부: 문자·이메일 보내지 않기",IF(OR($E215="SMS",$E215="EMAIL"),IF(OR($H215="",$H215="NONE"),"동의 근거 없음: 전화·방문만",IF($H215="INQUIRY",IF(N($N215)=0,"견적 요청일을 못 찾음: 관련 ID에 견적 ID(Q-…)를 넣었는지 확인",IF('설정 Settings'!$C$15&gt;N($N215),"문의 후 6개월 지남: 다른 동의 근거 필요","OK: 이름·주소·연락처·수신거부 문구 넣기")),IF($H215="REFERRAL","소개 후 첫 메시지만 OK: 소개자 이름 + 이름·주소·연락처·수신거부 문구. 두 번째부터는 다른 동의 근거 필요",IF(AND($H215="REPLY",$D215&lt;&gt;"QUOTE",$D215&lt;&gt;"CALLBACK"),"문의에 대한 답장이 아님: EXPRESS 또는 INQUIRY 동의 필요","OK: 이름·주소·연락처·수신거부 문구 넣기")))),"")))</f>
      </c>
      <c r="N215" s="40">
        <f>IF($H215="INQUIRY",IFERROR(EDATE(INDEX('견적 Quotes'!$B$3:$B$1002,MATCH($C215,'견적 Quotes'!$A$3:$A$1002,0)),'설정 Settings'!$C$20),""),"")</f>
      </c>
    </row>
    <row r="216" spans="12:14" x14ac:dyDescent="0.25">
      <c r="L216" s="42">
        <f>IF($A216="","",IF($G216="Y","완료 DONE",IF($F216="","날짜 없음",IF($F216&lt;'설정 Settings'!$C$15,"지남 OVERDUE",IF($F216='설정 Settings'!$C$15,"오늘 TODAY","예정 OPEN")))))</f>
      </c>
      <c r="M216" s="42">
        <f>IF($A216="","",IF($I216="Y","수신거부: 문자·이메일 보내지 않기",IF(OR($E216="SMS",$E216="EMAIL"),IF(OR($H216="",$H216="NONE"),"동의 근거 없음: 전화·방문만",IF($H216="INQUIRY",IF(N($N216)=0,"견적 요청일을 못 찾음: 관련 ID에 견적 ID(Q-…)를 넣었는지 확인",IF('설정 Settings'!$C$15&gt;N($N216),"문의 후 6개월 지남: 다른 동의 근거 필요","OK: 이름·주소·연락처·수신거부 문구 넣기")),IF($H216="REFERRAL","소개 후 첫 메시지만 OK: 소개자 이름 + 이름·주소·연락처·수신거부 문구. 두 번째부터는 다른 동의 근거 필요",IF(AND($H216="REPLY",$D216&lt;&gt;"QUOTE",$D216&lt;&gt;"CALLBACK"),"문의에 대한 답장이 아님: EXPRESS 또는 INQUIRY 동의 필요","OK: 이름·주소·연락처·수신거부 문구 넣기")))),"")))</f>
      </c>
      <c r="N216" s="40">
        <f>IF($H216="INQUIRY",IFERROR(EDATE(INDEX('견적 Quotes'!$B$3:$B$1002,MATCH($C216,'견적 Quotes'!$A$3:$A$1002,0)),'설정 Settings'!$C$20),""),"")</f>
      </c>
    </row>
    <row r="217" spans="12:14" x14ac:dyDescent="0.25">
      <c r="L217" s="42">
        <f>IF($A217="","",IF($G217="Y","완료 DONE",IF($F217="","날짜 없음",IF($F217&lt;'설정 Settings'!$C$15,"지남 OVERDUE",IF($F217='설정 Settings'!$C$15,"오늘 TODAY","예정 OPEN")))))</f>
      </c>
      <c r="M217" s="42">
        <f>IF($A217="","",IF($I217="Y","수신거부: 문자·이메일 보내지 않기",IF(OR($E217="SMS",$E217="EMAIL"),IF(OR($H217="",$H217="NONE"),"동의 근거 없음: 전화·방문만",IF($H217="INQUIRY",IF(N($N217)=0,"견적 요청일을 못 찾음: 관련 ID에 견적 ID(Q-…)를 넣었는지 확인",IF('설정 Settings'!$C$15&gt;N($N217),"문의 후 6개월 지남: 다른 동의 근거 필요","OK: 이름·주소·연락처·수신거부 문구 넣기")),IF($H217="REFERRAL","소개 후 첫 메시지만 OK: 소개자 이름 + 이름·주소·연락처·수신거부 문구. 두 번째부터는 다른 동의 근거 필요",IF(AND($H217="REPLY",$D217&lt;&gt;"QUOTE",$D217&lt;&gt;"CALLBACK"),"문의에 대한 답장이 아님: EXPRESS 또는 INQUIRY 동의 필요","OK: 이름·주소·연락처·수신거부 문구 넣기")))),"")))</f>
      </c>
      <c r="N217" s="40">
        <f>IF($H217="INQUIRY",IFERROR(EDATE(INDEX('견적 Quotes'!$B$3:$B$1002,MATCH($C217,'견적 Quotes'!$A$3:$A$1002,0)),'설정 Settings'!$C$20),""),"")</f>
      </c>
    </row>
    <row r="218" spans="12:14" x14ac:dyDescent="0.25">
      <c r="L218" s="42">
        <f>IF($A218="","",IF($G218="Y","완료 DONE",IF($F218="","날짜 없음",IF($F218&lt;'설정 Settings'!$C$15,"지남 OVERDUE",IF($F218='설정 Settings'!$C$15,"오늘 TODAY","예정 OPEN")))))</f>
      </c>
      <c r="M218" s="42">
        <f>IF($A218="","",IF($I218="Y","수신거부: 문자·이메일 보내지 않기",IF(OR($E218="SMS",$E218="EMAIL"),IF(OR($H218="",$H218="NONE"),"동의 근거 없음: 전화·방문만",IF($H218="INQUIRY",IF(N($N218)=0,"견적 요청일을 못 찾음: 관련 ID에 견적 ID(Q-…)를 넣었는지 확인",IF('설정 Settings'!$C$15&gt;N($N218),"문의 후 6개월 지남: 다른 동의 근거 필요","OK: 이름·주소·연락처·수신거부 문구 넣기")),IF($H218="REFERRAL","소개 후 첫 메시지만 OK: 소개자 이름 + 이름·주소·연락처·수신거부 문구. 두 번째부터는 다른 동의 근거 필요",IF(AND($H218="REPLY",$D218&lt;&gt;"QUOTE",$D218&lt;&gt;"CALLBACK"),"문의에 대한 답장이 아님: EXPRESS 또는 INQUIRY 동의 필요","OK: 이름·주소·연락처·수신거부 문구 넣기")))),"")))</f>
      </c>
      <c r="N218" s="40">
        <f>IF($H218="INQUIRY",IFERROR(EDATE(INDEX('견적 Quotes'!$B$3:$B$1002,MATCH($C218,'견적 Quotes'!$A$3:$A$1002,0)),'설정 Settings'!$C$20),""),"")</f>
      </c>
    </row>
    <row r="219" spans="12:14" x14ac:dyDescent="0.25">
      <c r="L219" s="42">
        <f>IF($A219="","",IF($G219="Y","완료 DONE",IF($F219="","날짜 없음",IF($F219&lt;'설정 Settings'!$C$15,"지남 OVERDUE",IF($F219='설정 Settings'!$C$15,"오늘 TODAY","예정 OPEN")))))</f>
      </c>
      <c r="M219" s="42">
        <f>IF($A219="","",IF($I219="Y","수신거부: 문자·이메일 보내지 않기",IF(OR($E219="SMS",$E219="EMAIL"),IF(OR($H219="",$H219="NONE"),"동의 근거 없음: 전화·방문만",IF($H219="INQUIRY",IF(N($N219)=0,"견적 요청일을 못 찾음: 관련 ID에 견적 ID(Q-…)를 넣었는지 확인",IF('설정 Settings'!$C$15&gt;N($N219),"문의 후 6개월 지남: 다른 동의 근거 필요","OK: 이름·주소·연락처·수신거부 문구 넣기")),IF($H219="REFERRAL","소개 후 첫 메시지만 OK: 소개자 이름 + 이름·주소·연락처·수신거부 문구. 두 번째부터는 다른 동의 근거 필요",IF(AND($H219="REPLY",$D219&lt;&gt;"QUOTE",$D219&lt;&gt;"CALLBACK"),"문의에 대한 답장이 아님: EXPRESS 또는 INQUIRY 동의 필요","OK: 이름·주소·연락처·수신거부 문구 넣기")))),"")))</f>
      </c>
      <c r="N219" s="40">
        <f>IF($H219="INQUIRY",IFERROR(EDATE(INDEX('견적 Quotes'!$B$3:$B$1002,MATCH($C219,'견적 Quotes'!$A$3:$A$1002,0)),'설정 Settings'!$C$20),""),"")</f>
      </c>
    </row>
    <row r="220" spans="12:14" x14ac:dyDescent="0.25">
      <c r="L220" s="42">
        <f>IF($A220="","",IF($G220="Y","완료 DONE",IF($F220="","날짜 없음",IF($F220&lt;'설정 Settings'!$C$15,"지남 OVERDUE",IF($F220='설정 Settings'!$C$15,"오늘 TODAY","예정 OPEN")))))</f>
      </c>
      <c r="M220" s="42">
        <f>IF($A220="","",IF($I220="Y","수신거부: 문자·이메일 보내지 않기",IF(OR($E220="SMS",$E220="EMAIL"),IF(OR($H220="",$H220="NONE"),"동의 근거 없음: 전화·방문만",IF($H220="INQUIRY",IF(N($N220)=0,"견적 요청일을 못 찾음: 관련 ID에 견적 ID(Q-…)를 넣었는지 확인",IF('설정 Settings'!$C$15&gt;N($N220),"문의 후 6개월 지남: 다른 동의 근거 필요","OK: 이름·주소·연락처·수신거부 문구 넣기")),IF($H220="REFERRAL","소개 후 첫 메시지만 OK: 소개자 이름 + 이름·주소·연락처·수신거부 문구. 두 번째부터는 다른 동의 근거 필요",IF(AND($H220="REPLY",$D220&lt;&gt;"QUOTE",$D220&lt;&gt;"CALLBACK"),"문의에 대한 답장이 아님: EXPRESS 또는 INQUIRY 동의 필요","OK: 이름·주소·연락처·수신거부 문구 넣기")))),"")))</f>
      </c>
      <c r="N220" s="40">
        <f>IF($H220="INQUIRY",IFERROR(EDATE(INDEX('견적 Quotes'!$B$3:$B$1002,MATCH($C220,'견적 Quotes'!$A$3:$A$1002,0)),'설정 Settings'!$C$20),""),"")</f>
      </c>
    </row>
    <row r="221" spans="12:14" x14ac:dyDescent="0.25">
      <c r="L221" s="42">
        <f>IF($A221="","",IF($G221="Y","완료 DONE",IF($F221="","날짜 없음",IF($F221&lt;'설정 Settings'!$C$15,"지남 OVERDUE",IF($F221='설정 Settings'!$C$15,"오늘 TODAY","예정 OPEN")))))</f>
      </c>
      <c r="M221" s="42">
        <f>IF($A221="","",IF($I221="Y","수신거부: 문자·이메일 보내지 않기",IF(OR($E221="SMS",$E221="EMAIL"),IF(OR($H221="",$H221="NONE"),"동의 근거 없음: 전화·방문만",IF($H221="INQUIRY",IF(N($N221)=0,"견적 요청일을 못 찾음: 관련 ID에 견적 ID(Q-…)를 넣었는지 확인",IF('설정 Settings'!$C$15&gt;N($N221),"문의 후 6개월 지남: 다른 동의 근거 필요","OK: 이름·주소·연락처·수신거부 문구 넣기")),IF($H221="REFERRAL","소개 후 첫 메시지만 OK: 소개자 이름 + 이름·주소·연락처·수신거부 문구. 두 번째부터는 다른 동의 근거 필요",IF(AND($H221="REPLY",$D221&lt;&gt;"QUOTE",$D221&lt;&gt;"CALLBACK"),"문의에 대한 답장이 아님: EXPRESS 또는 INQUIRY 동의 필요","OK: 이름·주소·연락처·수신거부 문구 넣기")))),"")))</f>
      </c>
      <c r="N221" s="40">
        <f>IF($H221="INQUIRY",IFERROR(EDATE(INDEX('견적 Quotes'!$B$3:$B$1002,MATCH($C221,'견적 Quotes'!$A$3:$A$1002,0)),'설정 Settings'!$C$20),""),"")</f>
      </c>
    </row>
    <row r="222" spans="12:14" x14ac:dyDescent="0.25">
      <c r="L222" s="42">
        <f>IF($A222="","",IF($G222="Y","완료 DONE",IF($F222="","날짜 없음",IF($F222&lt;'설정 Settings'!$C$15,"지남 OVERDUE",IF($F222='설정 Settings'!$C$15,"오늘 TODAY","예정 OPEN")))))</f>
      </c>
      <c r="M222" s="42">
        <f>IF($A222="","",IF($I222="Y","수신거부: 문자·이메일 보내지 않기",IF(OR($E222="SMS",$E222="EMAIL"),IF(OR($H222="",$H222="NONE"),"동의 근거 없음: 전화·방문만",IF($H222="INQUIRY",IF(N($N222)=0,"견적 요청일을 못 찾음: 관련 ID에 견적 ID(Q-…)를 넣었는지 확인",IF('설정 Settings'!$C$15&gt;N($N222),"문의 후 6개월 지남: 다른 동의 근거 필요","OK: 이름·주소·연락처·수신거부 문구 넣기")),IF($H222="REFERRAL","소개 후 첫 메시지만 OK: 소개자 이름 + 이름·주소·연락처·수신거부 문구. 두 번째부터는 다른 동의 근거 필요",IF(AND($H222="REPLY",$D222&lt;&gt;"QUOTE",$D222&lt;&gt;"CALLBACK"),"문의에 대한 답장이 아님: EXPRESS 또는 INQUIRY 동의 필요","OK: 이름·주소·연락처·수신거부 문구 넣기")))),"")))</f>
      </c>
      <c r="N222" s="40">
        <f>IF($H222="INQUIRY",IFERROR(EDATE(INDEX('견적 Quotes'!$B$3:$B$1002,MATCH($C222,'견적 Quotes'!$A$3:$A$1002,0)),'설정 Settings'!$C$20),""),"")</f>
      </c>
    </row>
    <row r="223" spans="12:14" x14ac:dyDescent="0.25">
      <c r="L223" s="42">
        <f>IF($A223="","",IF($G223="Y","완료 DONE",IF($F223="","날짜 없음",IF($F223&lt;'설정 Settings'!$C$15,"지남 OVERDUE",IF($F223='설정 Settings'!$C$15,"오늘 TODAY","예정 OPEN")))))</f>
      </c>
      <c r="M223" s="42">
        <f>IF($A223="","",IF($I223="Y","수신거부: 문자·이메일 보내지 않기",IF(OR($E223="SMS",$E223="EMAIL"),IF(OR($H223="",$H223="NONE"),"동의 근거 없음: 전화·방문만",IF($H223="INQUIRY",IF(N($N223)=0,"견적 요청일을 못 찾음: 관련 ID에 견적 ID(Q-…)를 넣었는지 확인",IF('설정 Settings'!$C$15&gt;N($N223),"문의 후 6개월 지남: 다른 동의 근거 필요","OK: 이름·주소·연락처·수신거부 문구 넣기")),IF($H223="REFERRAL","소개 후 첫 메시지만 OK: 소개자 이름 + 이름·주소·연락처·수신거부 문구. 두 번째부터는 다른 동의 근거 필요",IF(AND($H223="REPLY",$D223&lt;&gt;"QUOTE",$D223&lt;&gt;"CALLBACK"),"문의에 대한 답장이 아님: EXPRESS 또는 INQUIRY 동의 필요","OK: 이름·주소·연락처·수신거부 문구 넣기")))),"")))</f>
      </c>
      <c r="N223" s="40">
        <f>IF($H223="INQUIRY",IFERROR(EDATE(INDEX('견적 Quotes'!$B$3:$B$1002,MATCH($C223,'견적 Quotes'!$A$3:$A$1002,0)),'설정 Settings'!$C$20),""),"")</f>
      </c>
    </row>
    <row r="224" spans="12:14" x14ac:dyDescent="0.25">
      <c r="L224" s="42">
        <f>IF($A224="","",IF($G224="Y","완료 DONE",IF($F224="","날짜 없음",IF($F224&lt;'설정 Settings'!$C$15,"지남 OVERDUE",IF($F224='설정 Settings'!$C$15,"오늘 TODAY","예정 OPEN")))))</f>
      </c>
      <c r="M224" s="42">
        <f>IF($A224="","",IF($I224="Y","수신거부: 문자·이메일 보내지 않기",IF(OR($E224="SMS",$E224="EMAIL"),IF(OR($H224="",$H224="NONE"),"동의 근거 없음: 전화·방문만",IF($H224="INQUIRY",IF(N($N224)=0,"견적 요청일을 못 찾음: 관련 ID에 견적 ID(Q-…)를 넣었는지 확인",IF('설정 Settings'!$C$15&gt;N($N224),"문의 후 6개월 지남: 다른 동의 근거 필요","OK: 이름·주소·연락처·수신거부 문구 넣기")),IF($H224="REFERRAL","소개 후 첫 메시지만 OK: 소개자 이름 + 이름·주소·연락처·수신거부 문구. 두 번째부터는 다른 동의 근거 필요",IF(AND($H224="REPLY",$D224&lt;&gt;"QUOTE",$D224&lt;&gt;"CALLBACK"),"문의에 대한 답장이 아님: EXPRESS 또는 INQUIRY 동의 필요","OK: 이름·주소·연락처·수신거부 문구 넣기")))),"")))</f>
      </c>
      <c r="N224" s="40">
        <f>IF($H224="INQUIRY",IFERROR(EDATE(INDEX('견적 Quotes'!$B$3:$B$1002,MATCH($C224,'견적 Quotes'!$A$3:$A$1002,0)),'설정 Settings'!$C$20),""),"")</f>
      </c>
    </row>
    <row r="225" spans="12:14" x14ac:dyDescent="0.25">
      <c r="L225" s="42">
        <f>IF($A225="","",IF($G225="Y","완료 DONE",IF($F225="","날짜 없음",IF($F225&lt;'설정 Settings'!$C$15,"지남 OVERDUE",IF($F225='설정 Settings'!$C$15,"오늘 TODAY","예정 OPEN")))))</f>
      </c>
      <c r="M225" s="42">
        <f>IF($A225="","",IF($I225="Y","수신거부: 문자·이메일 보내지 않기",IF(OR($E225="SMS",$E225="EMAIL"),IF(OR($H225="",$H225="NONE"),"동의 근거 없음: 전화·방문만",IF($H225="INQUIRY",IF(N($N225)=0,"견적 요청일을 못 찾음: 관련 ID에 견적 ID(Q-…)를 넣었는지 확인",IF('설정 Settings'!$C$15&gt;N($N225),"문의 후 6개월 지남: 다른 동의 근거 필요","OK: 이름·주소·연락처·수신거부 문구 넣기")),IF($H225="REFERRAL","소개 후 첫 메시지만 OK: 소개자 이름 + 이름·주소·연락처·수신거부 문구. 두 번째부터는 다른 동의 근거 필요",IF(AND($H225="REPLY",$D225&lt;&gt;"QUOTE",$D225&lt;&gt;"CALLBACK"),"문의에 대한 답장이 아님: EXPRESS 또는 INQUIRY 동의 필요","OK: 이름·주소·연락처·수신거부 문구 넣기")))),"")))</f>
      </c>
      <c r="N225" s="40">
        <f>IF($H225="INQUIRY",IFERROR(EDATE(INDEX('견적 Quotes'!$B$3:$B$1002,MATCH($C225,'견적 Quotes'!$A$3:$A$1002,0)),'설정 Settings'!$C$20),""),"")</f>
      </c>
    </row>
    <row r="226" spans="12:14" x14ac:dyDescent="0.25">
      <c r="L226" s="42">
        <f>IF($A226="","",IF($G226="Y","완료 DONE",IF($F226="","날짜 없음",IF($F226&lt;'설정 Settings'!$C$15,"지남 OVERDUE",IF($F226='설정 Settings'!$C$15,"오늘 TODAY","예정 OPEN")))))</f>
      </c>
      <c r="M226" s="42">
        <f>IF($A226="","",IF($I226="Y","수신거부: 문자·이메일 보내지 않기",IF(OR($E226="SMS",$E226="EMAIL"),IF(OR($H226="",$H226="NONE"),"동의 근거 없음: 전화·방문만",IF($H226="INQUIRY",IF(N($N226)=0,"견적 요청일을 못 찾음: 관련 ID에 견적 ID(Q-…)를 넣었는지 확인",IF('설정 Settings'!$C$15&gt;N($N226),"문의 후 6개월 지남: 다른 동의 근거 필요","OK: 이름·주소·연락처·수신거부 문구 넣기")),IF($H226="REFERRAL","소개 후 첫 메시지만 OK: 소개자 이름 + 이름·주소·연락처·수신거부 문구. 두 번째부터는 다른 동의 근거 필요",IF(AND($H226="REPLY",$D226&lt;&gt;"QUOTE",$D226&lt;&gt;"CALLBACK"),"문의에 대한 답장이 아님: EXPRESS 또는 INQUIRY 동의 필요","OK: 이름·주소·연락처·수신거부 문구 넣기")))),"")))</f>
      </c>
      <c r="N226" s="40">
        <f>IF($H226="INQUIRY",IFERROR(EDATE(INDEX('견적 Quotes'!$B$3:$B$1002,MATCH($C226,'견적 Quotes'!$A$3:$A$1002,0)),'설정 Settings'!$C$20),""),"")</f>
      </c>
    </row>
    <row r="227" spans="12:14" x14ac:dyDescent="0.25">
      <c r="L227" s="42">
        <f>IF($A227="","",IF($G227="Y","완료 DONE",IF($F227="","날짜 없음",IF($F227&lt;'설정 Settings'!$C$15,"지남 OVERDUE",IF($F227='설정 Settings'!$C$15,"오늘 TODAY","예정 OPEN")))))</f>
      </c>
      <c r="M227" s="42">
        <f>IF($A227="","",IF($I227="Y","수신거부: 문자·이메일 보내지 않기",IF(OR($E227="SMS",$E227="EMAIL"),IF(OR($H227="",$H227="NONE"),"동의 근거 없음: 전화·방문만",IF($H227="INQUIRY",IF(N($N227)=0,"견적 요청일을 못 찾음: 관련 ID에 견적 ID(Q-…)를 넣었는지 확인",IF('설정 Settings'!$C$15&gt;N($N227),"문의 후 6개월 지남: 다른 동의 근거 필요","OK: 이름·주소·연락처·수신거부 문구 넣기")),IF($H227="REFERRAL","소개 후 첫 메시지만 OK: 소개자 이름 + 이름·주소·연락처·수신거부 문구. 두 번째부터는 다른 동의 근거 필요",IF(AND($H227="REPLY",$D227&lt;&gt;"QUOTE",$D227&lt;&gt;"CALLBACK"),"문의에 대한 답장이 아님: EXPRESS 또는 INQUIRY 동의 필요","OK: 이름·주소·연락처·수신거부 문구 넣기")))),"")))</f>
      </c>
      <c r="N227" s="40">
        <f>IF($H227="INQUIRY",IFERROR(EDATE(INDEX('견적 Quotes'!$B$3:$B$1002,MATCH($C227,'견적 Quotes'!$A$3:$A$1002,0)),'설정 Settings'!$C$20),""),"")</f>
      </c>
    </row>
    <row r="228" spans="12:14" x14ac:dyDescent="0.25">
      <c r="L228" s="42">
        <f>IF($A228="","",IF($G228="Y","완료 DONE",IF($F228="","날짜 없음",IF($F228&lt;'설정 Settings'!$C$15,"지남 OVERDUE",IF($F228='설정 Settings'!$C$15,"오늘 TODAY","예정 OPEN")))))</f>
      </c>
      <c r="M228" s="42">
        <f>IF($A228="","",IF($I228="Y","수신거부: 문자·이메일 보내지 않기",IF(OR($E228="SMS",$E228="EMAIL"),IF(OR($H228="",$H228="NONE"),"동의 근거 없음: 전화·방문만",IF($H228="INQUIRY",IF(N($N228)=0,"견적 요청일을 못 찾음: 관련 ID에 견적 ID(Q-…)를 넣었는지 확인",IF('설정 Settings'!$C$15&gt;N($N228),"문의 후 6개월 지남: 다른 동의 근거 필요","OK: 이름·주소·연락처·수신거부 문구 넣기")),IF($H228="REFERRAL","소개 후 첫 메시지만 OK: 소개자 이름 + 이름·주소·연락처·수신거부 문구. 두 번째부터는 다른 동의 근거 필요",IF(AND($H228="REPLY",$D228&lt;&gt;"QUOTE",$D228&lt;&gt;"CALLBACK"),"문의에 대한 답장이 아님: EXPRESS 또는 INQUIRY 동의 필요","OK: 이름·주소·연락처·수신거부 문구 넣기")))),"")))</f>
      </c>
      <c r="N228" s="40">
        <f>IF($H228="INQUIRY",IFERROR(EDATE(INDEX('견적 Quotes'!$B$3:$B$1002,MATCH($C228,'견적 Quotes'!$A$3:$A$1002,0)),'설정 Settings'!$C$20),""),"")</f>
      </c>
    </row>
    <row r="229" spans="12:14" x14ac:dyDescent="0.25">
      <c r="L229" s="42">
        <f>IF($A229="","",IF($G229="Y","완료 DONE",IF($F229="","날짜 없음",IF($F229&lt;'설정 Settings'!$C$15,"지남 OVERDUE",IF($F229='설정 Settings'!$C$15,"오늘 TODAY","예정 OPEN")))))</f>
      </c>
      <c r="M229" s="42">
        <f>IF($A229="","",IF($I229="Y","수신거부: 문자·이메일 보내지 않기",IF(OR($E229="SMS",$E229="EMAIL"),IF(OR($H229="",$H229="NONE"),"동의 근거 없음: 전화·방문만",IF($H229="INQUIRY",IF(N($N229)=0,"견적 요청일을 못 찾음: 관련 ID에 견적 ID(Q-…)를 넣었는지 확인",IF('설정 Settings'!$C$15&gt;N($N229),"문의 후 6개월 지남: 다른 동의 근거 필요","OK: 이름·주소·연락처·수신거부 문구 넣기")),IF($H229="REFERRAL","소개 후 첫 메시지만 OK: 소개자 이름 + 이름·주소·연락처·수신거부 문구. 두 번째부터는 다른 동의 근거 필요",IF(AND($H229="REPLY",$D229&lt;&gt;"QUOTE",$D229&lt;&gt;"CALLBACK"),"문의에 대한 답장이 아님: EXPRESS 또는 INQUIRY 동의 필요","OK: 이름·주소·연락처·수신거부 문구 넣기")))),"")))</f>
      </c>
      <c r="N229" s="40">
        <f>IF($H229="INQUIRY",IFERROR(EDATE(INDEX('견적 Quotes'!$B$3:$B$1002,MATCH($C229,'견적 Quotes'!$A$3:$A$1002,0)),'설정 Settings'!$C$20),""),"")</f>
      </c>
    </row>
    <row r="230" spans="12:14" x14ac:dyDescent="0.25">
      <c r="L230" s="42">
        <f>IF($A230="","",IF($G230="Y","완료 DONE",IF($F230="","날짜 없음",IF($F230&lt;'설정 Settings'!$C$15,"지남 OVERDUE",IF($F230='설정 Settings'!$C$15,"오늘 TODAY","예정 OPEN")))))</f>
      </c>
      <c r="M230" s="42">
        <f>IF($A230="","",IF($I230="Y","수신거부: 문자·이메일 보내지 않기",IF(OR($E230="SMS",$E230="EMAIL"),IF(OR($H230="",$H230="NONE"),"동의 근거 없음: 전화·방문만",IF($H230="INQUIRY",IF(N($N230)=0,"견적 요청일을 못 찾음: 관련 ID에 견적 ID(Q-…)를 넣었는지 확인",IF('설정 Settings'!$C$15&gt;N($N230),"문의 후 6개월 지남: 다른 동의 근거 필요","OK: 이름·주소·연락처·수신거부 문구 넣기")),IF($H230="REFERRAL","소개 후 첫 메시지만 OK: 소개자 이름 + 이름·주소·연락처·수신거부 문구. 두 번째부터는 다른 동의 근거 필요",IF(AND($H230="REPLY",$D230&lt;&gt;"QUOTE",$D230&lt;&gt;"CALLBACK"),"문의에 대한 답장이 아님: EXPRESS 또는 INQUIRY 동의 필요","OK: 이름·주소·연락처·수신거부 문구 넣기")))),"")))</f>
      </c>
      <c r="N230" s="40">
        <f>IF($H230="INQUIRY",IFERROR(EDATE(INDEX('견적 Quotes'!$B$3:$B$1002,MATCH($C230,'견적 Quotes'!$A$3:$A$1002,0)),'설정 Settings'!$C$20),""),"")</f>
      </c>
    </row>
    <row r="231" spans="12:14" x14ac:dyDescent="0.25">
      <c r="L231" s="42">
        <f>IF($A231="","",IF($G231="Y","완료 DONE",IF($F231="","날짜 없음",IF($F231&lt;'설정 Settings'!$C$15,"지남 OVERDUE",IF($F231='설정 Settings'!$C$15,"오늘 TODAY","예정 OPEN")))))</f>
      </c>
      <c r="M231" s="42">
        <f>IF($A231="","",IF($I231="Y","수신거부: 문자·이메일 보내지 않기",IF(OR($E231="SMS",$E231="EMAIL"),IF(OR($H231="",$H231="NONE"),"동의 근거 없음: 전화·방문만",IF($H231="INQUIRY",IF(N($N231)=0,"견적 요청일을 못 찾음: 관련 ID에 견적 ID(Q-…)를 넣었는지 확인",IF('설정 Settings'!$C$15&gt;N($N231),"문의 후 6개월 지남: 다른 동의 근거 필요","OK: 이름·주소·연락처·수신거부 문구 넣기")),IF($H231="REFERRAL","소개 후 첫 메시지만 OK: 소개자 이름 + 이름·주소·연락처·수신거부 문구. 두 번째부터는 다른 동의 근거 필요",IF(AND($H231="REPLY",$D231&lt;&gt;"QUOTE",$D231&lt;&gt;"CALLBACK"),"문의에 대한 답장이 아님: EXPRESS 또는 INQUIRY 동의 필요","OK: 이름·주소·연락처·수신거부 문구 넣기")))),"")))</f>
      </c>
      <c r="N231" s="40">
        <f>IF($H231="INQUIRY",IFERROR(EDATE(INDEX('견적 Quotes'!$B$3:$B$1002,MATCH($C231,'견적 Quotes'!$A$3:$A$1002,0)),'설정 Settings'!$C$20),""),"")</f>
      </c>
    </row>
    <row r="232" spans="12:14" x14ac:dyDescent="0.25">
      <c r="L232" s="42">
        <f>IF($A232="","",IF($G232="Y","완료 DONE",IF($F232="","날짜 없음",IF($F232&lt;'설정 Settings'!$C$15,"지남 OVERDUE",IF($F232='설정 Settings'!$C$15,"오늘 TODAY","예정 OPEN")))))</f>
      </c>
      <c r="M232" s="42">
        <f>IF($A232="","",IF($I232="Y","수신거부: 문자·이메일 보내지 않기",IF(OR($E232="SMS",$E232="EMAIL"),IF(OR($H232="",$H232="NONE"),"동의 근거 없음: 전화·방문만",IF($H232="INQUIRY",IF(N($N232)=0,"견적 요청일을 못 찾음: 관련 ID에 견적 ID(Q-…)를 넣었는지 확인",IF('설정 Settings'!$C$15&gt;N($N232),"문의 후 6개월 지남: 다른 동의 근거 필요","OK: 이름·주소·연락처·수신거부 문구 넣기")),IF($H232="REFERRAL","소개 후 첫 메시지만 OK: 소개자 이름 + 이름·주소·연락처·수신거부 문구. 두 번째부터는 다른 동의 근거 필요",IF(AND($H232="REPLY",$D232&lt;&gt;"QUOTE",$D232&lt;&gt;"CALLBACK"),"문의에 대한 답장이 아님: EXPRESS 또는 INQUIRY 동의 필요","OK: 이름·주소·연락처·수신거부 문구 넣기")))),"")))</f>
      </c>
      <c r="N232" s="40">
        <f>IF($H232="INQUIRY",IFERROR(EDATE(INDEX('견적 Quotes'!$B$3:$B$1002,MATCH($C232,'견적 Quotes'!$A$3:$A$1002,0)),'설정 Settings'!$C$20),""),"")</f>
      </c>
    </row>
    <row r="233" spans="12:14" x14ac:dyDescent="0.25">
      <c r="L233" s="42">
        <f>IF($A233="","",IF($G233="Y","완료 DONE",IF($F233="","날짜 없음",IF($F233&lt;'설정 Settings'!$C$15,"지남 OVERDUE",IF($F233='설정 Settings'!$C$15,"오늘 TODAY","예정 OPEN")))))</f>
      </c>
      <c r="M233" s="42">
        <f>IF($A233="","",IF($I233="Y","수신거부: 문자·이메일 보내지 않기",IF(OR($E233="SMS",$E233="EMAIL"),IF(OR($H233="",$H233="NONE"),"동의 근거 없음: 전화·방문만",IF($H233="INQUIRY",IF(N($N233)=0,"견적 요청일을 못 찾음: 관련 ID에 견적 ID(Q-…)를 넣었는지 확인",IF('설정 Settings'!$C$15&gt;N($N233),"문의 후 6개월 지남: 다른 동의 근거 필요","OK: 이름·주소·연락처·수신거부 문구 넣기")),IF($H233="REFERRAL","소개 후 첫 메시지만 OK: 소개자 이름 + 이름·주소·연락처·수신거부 문구. 두 번째부터는 다른 동의 근거 필요",IF(AND($H233="REPLY",$D233&lt;&gt;"QUOTE",$D233&lt;&gt;"CALLBACK"),"문의에 대한 답장이 아님: EXPRESS 또는 INQUIRY 동의 필요","OK: 이름·주소·연락처·수신거부 문구 넣기")))),"")))</f>
      </c>
      <c r="N233" s="40">
        <f>IF($H233="INQUIRY",IFERROR(EDATE(INDEX('견적 Quotes'!$B$3:$B$1002,MATCH($C233,'견적 Quotes'!$A$3:$A$1002,0)),'설정 Settings'!$C$20),""),"")</f>
      </c>
    </row>
    <row r="234" spans="12:14" x14ac:dyDescent="0.25">
      <c r="L234" s="42">
        <f>IF($A234="","",IF($G234="Y","완료 DONE",IF($F234="","날짜 없음",IF($F234&lt;'설정 Settings'!$C$15,"지남 OVERDUE",IF($F234='설정 Settings'!$C$15,"오늘 TODAY","예정 OPEN")))))</f>
      </c>
      <c r="M234" s="42">
        <f>IF($A234="","",IF($I234="Y","수신거부: 문자·이메일 보내지 않기",IF(OR($E234="SMS",$E234="EMAIL"),IF(OR($H234="",$H234="NONE"),"동의 근거 없음: 전화·방문만",IF($H234="INQUIRY",IF(N($N234)=0,"견적 요청일을 못 찾음: 관련 ID에 견적 ID(Q-…)를 넣었는지 확인",IF('설정 Settings'!$C$15&gt;N($N234),"문의 후 6개월 지남: 다른 동의 근거 필요","OK: 이름·주소·연락처·수신거부 문구 넣기")),IF($H234="REFERRAL","소개 후 첫 메시지만 OK: 소개자 이름 + 이름·주소·연락처·수신거부 문구. 두 번째부터는 다른 동의 근거 필요",IF(AND($H234="REPLY",$D234&lt;&gt;"QUOTE",$D234&lt;&gt;"CALLBACK"),"문의에 대한 답장이 아님: EXPRESS 또는 INQUIRY 동의 필요","OK: 이름·주소·연락처·수신거부 문구 넣기")))),"")))</f>
      </c>
      <c r="N234" s="40">
        <f>IF($H234="INQUIRY",IFERROR(EDATE(INDEX('견적 Quotes'!$B$3:$B$1002,MATCH($C234,'견적 Quotes'!$A$3:$A$1002,0)),'설정 Settings'!$C$20),""),"")</f>
      </c>
    </row>
    <row r="235" spans="12:14" x14ac:dyDescent="0.25">
      <c r="L235" s="42">
        <f>IF($A235="","",IF($G235="Y","완료 DONE",IF($F235="","날짜 없음",IF($F235&lt;'설정 Settings'!$C$15,"지남 OVERDUE",IF($F235='설정 Settings'!$C$15,"오늘 TODAY","예정 OPEN")))))</f>
      </c>
      <c r="M235" s="42">
        <f>IF($A235="","",IF($I235="Y","수신거부: 문자·이메일 보내지 않기",IF(OR($E235="SMS",$E235="EMAIL"),IF(OR($H235="",$H235="NONE"),"동의 근거 없음: 전화·방문만",IF($H235="INQUIRY",IF(N($N235)=0,"견적 요청일을 못 찾음: 관련 ID에 견적 ID(Q-…)를 넣었는지 확인",IF('설정 Settings'!$C$15&gt;N($N235),"문의 후 6개월 지남: 다른 동의 근거 필요","OK: 이름·주소·연락처·수신거부 문구 넣기")),IF($H235="REFERRAL","소개 후 첫 메시지만 OK: 소개자 이름 + 이름·주소·연락처·수신거부 문구. 두 번째부터는 다른 동의 근거 필요",IF(AND($H235="REPLY",$D235&lt;&gt;"QUOTE",$D235&lt;&gt;"CALLBACK"),"문의에 대한 답장이 아님: EXPRESS 또는 INQUIRY 동의 필요","OK: 이름·주소·연락처·수신거부 문구 넣기")))),"")))</f>
      </c>
      <c r="N235" s="40">
        <f>IF($H235="INQUIRY",IFERROR(EDATE(INDEX('견적 Quotes'!$B$3:$B$1002,MATCH($C235,'견적 Quotes'!$A$3:$A$1002,0)),'설정 Settings'!$C$20),""),"")</f>
      </c>
    </row>
    <row r="236" spans="12:14" x14ac:dyDescent="0.25">
      <c r="L236" s="42">
        <f>IF($A236="","",IF($G236="Y","완료 DONE",IF($F236="","날짜 없음",IF($F236&lt;'설정 Settings'!$C$15,"지남 OVERDUE",IF($F236='설정 Settings'!$C$15,"오늘 TODAY","예정 OPEN")))))</f>
      </c>
      <c r="M236" s="42">
        <f>IF($A236="","",IF($I236="Y","수신거부: 문자·이메일 보내지 않기",IF(OR($E236="SMS",$E236="EMAIL"),IF(OR($H236="",$H236="NONE"),"동의 근거 없음: 전화·방문만",IF($H236="INQUIRY",IF(N($N236)=0,"견적 요청일을 못 찾음: 관련 ID에 견적 ID(Q-…)를 넣었는지 확인",IF('설정 Settings'!$C$15&gt;N($N236),"문의 후 6개월 지남: 다른 동의 근거 필요","OK: 이름·주소·연락처·수신거부 문구 넣기")),IF($H236="REFERRAL","소개 후 첫 메시지만 OK: 소개자 이름 + 이름·주소·연락처·수신거부 문구. 두 번째부터는 다른 동의 근거 필요",IF(AND($H236="REPLY",$D236&lt;&gt;"QUOTE",$D236&lt;&gt;"CALLBACK"),"문의에 대한 답장이 아님: EXPRESS 또는 INQUIRY 동의 필요","OK: 이름·주소·연락처·수신거부 문구 넣기")))),"")))</f>
      </c>
      <c r="N236" s="40">
        <f>IF($H236="INQUIRY",IFERROR(EDATE(INDEX('견적 Quotes'!$B$3:$B$1002,MATCH($C236,'견적 Quotes'!$A$3:$A$1002,0)),'설정 Settings'!$C$20),""),"")</f>
      </c>
    </row>
    <row r="237" spans="12:14" x14ac:dyDescent="0.25">
      <c r="L237" s="42">
        <f>IF($A237="","",IF($G237="Y","완료 DONE",IF($F237="","날짜 없음",IF($F237&lt;'설정 Settings'!$C$15,"지남 OVERDUE",IF($F237='설정 Settings'!$C$15,"오늘 TODAY","예정 OPEN")))))</f>
      </c>
      <c r="M237" s="42">
        <f>IF($A237="","",IF($I237="Y","수신거부: 문자·이메일 보내지 않기",IF(OR($E237="SMS",$E237="EMAIL"),IF(OR($H237="",$H237="NONE"),"동의 근거 없음: 전화·방문만",IF($H237="INQUIRY",IF(N($N237)=0,"견적 요청일을 못 찾음: 관련 ID에 견적 ID(Q-…)를 넣었는지 확인",IF('설정 Settings'!$C$15&gt;N($N237),"문의 후 6개월 지남: 다른 동의 근거 필요","OK: 이름·주소·연락처·수신거부 문구 넣기")),IF($H237="REFERRAL","소개 후 첫 메시지만 OK: 소개자 이름 + 이름·주소·연락처·수신거부 문구. 두 번째부터는 다른 동의 근거 필요",IF(AND($H237="REPLY",$D237&lt;&gt;"QUOTE",$D237&lt;&gt;"CALLBACK"),"문의에 대한 답장이 아님: EXPRESS 또는 INQUIRY 동의 필요","OK: 이름·주소·연락처·수신거부 문구 넣기")))),"")))</f>
      </c>
      <c r="N237" s="40">
        <f>IF($H237="INQUIRY",IFERROR(EDATE(INDEX('견적 Quotes'!$B$3:$B$1002,MATCH($C237,'견적 Quotes'!$A$3:$A$1002,0)),'설정 Settings'!$C$20),""),"")</f>
      </c>
    </row>
    <row r="238" spans="12:14" x14ac:dyDescent="0.25">
      <c r="L238" s="42">
        <f>IF($A238="","",IF($G238="Y","완료 DONE",IF($F238="","날짜 없음",IF($F238&lt;'설정 Settings'!$C$15,"지남 OVERDUE",IF($F238='설정 Settings'!$C$15,"오늘 TODAY","예정 OPEN")))))</f>
      </c>
      <c r="M238" s="42">
        <f>IF($A238="","",IF($I238="Y","수신거부: 문자·이메일 보내지 않기",IF(OR($E238="SMS",$E238="EMAIL"),IF(OR($H238="",$H238="NONE"),"동의 근거 없음: 전화·방문만",IF($H238="INQUIRY",IF(N($N238)=0,"견적 요청일을 못 찾음: 관련 ID에 견적 ID(Q-…)를 넣었는지 확인",IF('설정 Settings'!$C$15&gt;N($N238),"문의 후 6개월 지남: 다른 동의 근거 필요","OK: 이름·주소·연락처·수신거부 문구 넣기")),IF($H238="REFERRAL","소개 후 첫 메시지만 OK: 소개자 이름 + 이름·주소·연락처·수신거부 문구. 두 번째부터는 다른 동의 근거 필요",IF(AND($H238="REPLY",$D238&lt;&gt;"QUOTE",$D238&lt;&gt;"CALLBACK"),"문의에 대한 답장이 아님: EXPRESS 또는 INQUIRY 동의 필요","OK: 이름·주소·연락처·수신거부 문구 넣기")))),"")))</f>
      </c>
      <c r="N238" s="40">
        <f>IF($H238="INQUIRY",IFERROR(EDATE(INDEX('견적 Quotes'!$B$3:$B$1002,MATCH($C238,'견적 Quotes'!$A$3:$A$1002,0)),'설정 Settings'!$C$20),""),"")</f>
      </c>
    </row>
    <row r="239" spans="12:14" x14ac:dyDescent="0.25">
      <c r="L239" s="42">
        <f>IF($A239="","",IF($G239="Y","완료 DONE",IF($F239="","날짜 없음",IF($F239&lt;'설정 Settings'!$C$15,"지남 OVERDUE",IF($F239='설정 Settings'!$C$15,"오늘 TODAY","예정 OPEN")))))</f>
      </c>
      <c r="M239" s="42">
        <f>IF($A239="","",IF($I239="Y","수신거부: 문자·이메일 보내지 않기",IF(OR($E239="SMS",$E239="EMAIL"),IF(OR($H239="",$H239="NONE"),"동의 근거 없음: 전화·방문만",IF($H239="INQUIRY",IF(N($N239)=0,"견적 요청일을 못 찾음: 관련 ID에 견적 ID(Q-…)를 넣었는지 확인",IF('설정 Settings'!$C$15&gt;N($N239),"문의 후 6개월 지남: 다른 동의 근거 필요","OK: 이름·주소·연락처·수신거부 문구 넣기")),IF($H239="REFERRAL","소개 후 첫 메시지만 OK: 소개자 이름 + 이름·주소·연락처·수신거부 문구. 두 번째부터는 다른 동의 근거 필요",IF(AND($H239="REPLY",$D239&lt;&gt;"QUOTE",$D239&lt;&gt;"CALLBACK"),"문의에 대한 답장이 아님: EXPRESS 또는 INQUIRY 동의 필요","OK: 이름·주소·연락처·수신거부 문구 넣기")))),"")))</f>
      </c>
      <c r="N239" s="40">
        <f>IF($H239="INQUIRY",IFERROR(EDATE(INDEX('견적 Quotes'!$B$3:$B$1002,MATCH($C239,'견적 Quotes'!$A$3:$A$1002,0)),'설정 Settings'!$C$20),""),"")</f>
      </c>
    </row>
    <row r="240" spans="12:14" x14ac:dyDescent="0.25">
      <c r="L240" s="42">
        <f>IF($A240="","",IF($G240="Y","완료 DONE",IF($F240="","날짜 없음",IF($F240&lt;'설정 Settings'!$C$15,"지남 OVERDUE",IF($F240='설정 Settings'!$C$15,"오늘 TODAY","예정 OPEN")))))</f>
      </c>
      <c r="M240" s="42">
        <f>IF($A240="","",IF($I240="Y","수신거부: 문자·이메일 보내지 않기",IF(OR($E240="SMS",$E240="EMAIL"),IF(OR($H240="",$H240="NONE"),"동의 근거 없음: 전화·방문만",IF($H240="INQUIRY",IF(N($N240)=0,"견적 요청일을 못 찾음: 관련 ID에 견적 ID(Q-…)를 넣었는지 확인",IF('설정 Settings'!$C$15&gt;N($N240),"문의 후 6개월 지남: 다른 동의 근거 필요","OK: 이름·주소·연락처·수신거부 문구 넣기")),IF($H240="REFERRAL","소개 후 첫 메시지만 OK: 소개자 이름 + 이름·주소·연락처·수신거부 문구. 두 번째부터는 다른 동의 근거 필요",IF(AND($H240="REPLY",$D240&lt;&gt;"QUOTE",$D240&lt;&gt;"CALLBACK"),"문의에 대한 답장이 아님: EXPRESS 또는 INQUIRY 동의 필요","OK: 이름·주소·연락처·수신거부 문구 넣기")))),"")))</f>
      </c>
      <c r="N240" s="40">
        <f>IF($H240="INQUIRY",IFERROR(EDATE(INDEX('견적 Quotes'!$B$3:$B$1002,MATCH($C240,'견적 Quotes'!$A$3:$A$1002,0)),'설정 Settings'!$C$20),""),"")</f>
      </c>
    </row>
    <row r="241" spans="12:14" x14ac:dyDescent="0.25">
      <c r="L241" s="42">
        <f>IF($A241="","",IF($G241="Y","완료 DONE",IF($F241="","날짜 없음",IF($F241&lt;'설정 Settings'!$C$15,"지남 OVERDUE",IF($F241='설정 Settings'!$C$15,"오늘 TODAY","예정 OPEN")))))</f>
      </c>
      <c r="M241" s="42">
        <f>IF($A241="","",IF($I241="Y","수신거부: 문자·이메일 보내지 않기",IF(OR($E241="SMS",$E241="EMAIL"),IF(OR($H241="",$H241="NONE"),"동의 근거 없음: 전화·방문만",IF($H241="INQUIRY",IF(N($N241)=0,"견적 요청일을 못 찾음: 관련 ID에 견적 ID(Q-…)를 넣었는지 확인",IF('설정 Settings'!$C$15&gt;N($N241),"문의 후 6개월 지남: 다른 동의 근거 필요","OK: 이름·주소·연락처·수신거부 문구 넣기")),IF($H241="REFERRAL","소개 후 첫 메시지만 OK: 소개자 이름 + 이름·주소·연락처·수신거부 문구. 두 번째부터는 다른 동의 근거 필요",IF(AND($H241="REPLY",$D241&lt;&gt;"QUOTE",$D241&lt;&gt;"CALLBACK"),"문의에 대한 답장이 아님: EXPRESS 또는 INQUIRY 동의 필요","OK: 이름·주소·연락처·수신거부 문구 넣기")))),"")))</f>
      </c>
      <c r="N241" s="40">
        <f>IF($H241="INQUIRY",IFERROR(EDATE(INDEX('견적 Quotes'!$B$3:$B$1002,MATCH($C241,'견적 Quotes'!$A$3:$A$1002,0)),'설정 Settings'!$C$20),""),"")</f>
      </c>
    </row>
    <row r="242" spans="12:14" x14ac:dyDescent="0.25">
      <c r="L242" s="42">
        <f>IF($A242="","",IF($G242="Y","완료 DONE",IF($F242="","날짜 없음",IF($F242&lt;'설정 Settings'!$C$15,"지남 OVERDUE",IF($F242='설정 Settings'!$C$15,"오늘 TODAY","예정 OPEN")))))</f>
      </c>
      <c r="M242" s="42">
        <f>IF($A242="","",IF($I242="Y","수신거부: 문자·이메일 보내지 않기",IF(OR($E242="SMS",$E242="EMAIL"),IF(OR($H242="",$H242="NONE"),"동의 근거 없음: 전화·방문만",IF($H242="INQUIRY",IF(N($N242)=0,"견적 요청일을 못 찾음: 관련 ID에 견적 ID(Q-…)를 넣었는지 확인",IF('설정 Settings'!$C$15&gt;N($N242),"문의 후 6개월 지남: 다른 동의 근거 필요","OK: 이름·주소·연락처·수신거부 문구 넣기")),IF($H242="REFERRAL","소개 후 첫 메시지만 OK: 소개자 이름 + 이름·주소·연락처·수신거부 문구. 두 번째부터는 다른 동의 근거 필요",IF(AND($H242="REPLY",$D242&lt;&gt;"QUOTE",$D242&lt;&gt;"CALLBACK"),"문의에 대한 답장이 아님: EXPRESS 또는 INQUIRY 동의 필요","OK: 이름·주소·연락처·수신거부 문구 넣기")))),"")))</f>
      </c>
      <c r="N242" s="40">
        <f>IF($H242="INQUIRY",IFERROR(EDATE(INDEX('견적 Quotes'!$B$3:$B$1002,MATCH($C242,'견적 Quotes'!$A$3:$A$1002,0)),'설정 Settings'!$C$20),""),"")</f>
      </c>
    </row>
    <row r="243" spans="12:14" x14ac:dyDescent="0.25">
      <c r="L243" s="42">
        <f>IF($A243="","",IF($G243="Y","완료 DONE",IF($F243="","날짜 없음",IF($F243&lt;'설정 Settings'!$C$15,"지남 OVERDUE",IF($F243='설정 Settings'!$C$15,"오늘 TODAY","예정 OPEN")))))</f>
      </c>
      <c r="M243" s="42">
        <f>IF($A243="","",IF($I243="Y","수신거부: 문자·이메일 보내지 않기",IF(OR($E243="SMS",$E243="EMAIL"),IF(OR($H243="",$H243="NONE"),"동의 근거 없음: 전화·방문만",IF($H243="INQUIRY",IF(N($N243)=0,"견적 요청일을 못 찾음: 관련 ID에 견적 ID(Q-…)를 넣었는지 확인",IF('설정 Settings'!$C$15&gt;N($N243),"문의 후 6개월 지남: 다른 동의 근거 필요","OK: 이름·주소·연락처·수신거부 문구 넣기")),IF($H243="REFERRAL","소개 후 첫 메시지만 OK: 소개자 이름 + 이름·주소·연락처·수신거부 문구. 두 번째부터는 다른 동의 근거 필요",IF(AND($H243="REPLY",$D243&lt;&gt;"QUOTE",$D243&lt;&gt;"CALLBACK"),"문의에 대한 답장이 아님: EXPRESS 또는 INQUIRY 동의 필요","OK: 이름·주소·연락처·수신거부 문구 넣기")))),"")))</f>
      </c>
      <c r="N243" s="40">
        <f>IF($H243="INQUIRY",IFERROR(EDATE(INDEX('견적 Quotes'!$B$3:$B$1002,MATCH($C243,'견적 Quotes'!$A$3:$A$1002,0)),'설정 Settings'!$C$20),""),"")</f>
      </c>
    </row>
    <row r="244" spans="12:14" x14ac:dyDescent="0.25">
      <c r="L244" s="42">
        <f>IF($A244="","",IF($G244="Y","완료 DONE",IF($F244="","날짜 없음",IF($F244&lt;'설정 Settings'!$C$15,"지남 OVERDUE",IF($F244='설정 Settings'!$C$15,"오늘 TODAY","예정 OPEN")))))</f>
      </c>
      <c r="M244" s="42">
        <f>IF($A244="","",IF($I244="Y","수신거부: 문자·이메일 보내지 않기",IF(OR($E244="SMS",$E244="EMAIL"),IF(OR($H244="",$H244="NONE"),"동의 근거 없음: 전화·방문만",IF($H244="INQUIRY",IF(N($N244)=0,"견적 요청일을 못 찾음: 관련 ID에 견적 ID(Q-…)를 넣었는지 확인",IF('설정 Settings'!$C$15&gt;N($N244),"문의 후 6개월 지남: 다른 동의 근거 필요","OK: 이름·주소·연락처·수신거부 문구 넣기")),IF($H244="REFERRAL","소개 후 첫 메시지만 OK: 소개자 이름 + 이름·주소·연락처·수신거부 문구. 두 번째부터는 다른 동의 근거 필요",IF(AND($H244="REPLY",$D244&lt;&gt;"QUOTE",$D244&lt;&gt;"CALLBACK"),"문의에 대한 답장이 아님: EXPRESS 또는 INQUIRY 동의 필요","OK: 이름·주소·연락처·수신거부 문구 넣기")))),"")))</f>
      </c>
      <c r="N244" s="40">
        <f>IF($H244="INQUIRY",IFERROR(EDATE(INDEX('견적 Quotes'!$B$3:$B$1002,MATCH($C244,'견적 Quotes'!$A$3:$A$1002,0)),'설정 Settings'!$C$20),""),"")</f>
      </c>
    </row>
    <row r="245" spans="12:14" x14ac:dyDescent="0.25">
      <c r="L245" s="42">
        <f>IF($A245="","",IF($G245="Y","완료 DONE",IF($F245="","날짜 없음",IF($F245&lt;'설정 Settings'!$C$15,"지남 OVERDUE",IF($F245='설정 Settings'!$C$15,"오늘 TODAY","예정 OPEN")))))</f>
      </c>
      <c r="M245" s="42">
        <f>IF($A245="","",IF($I245="Y","수신거부: 문자·이메일 보내지 않기",IF(OR($E245="SMS",$E245="EMAIL"),IF(OR($H245="",$H245="NONE"),"동의 근거 없음: 전화·방문만",IF($H245="INQUIRY",IF(N($N245)=0,"견적 요청일을 못 찾음: 관련 ID에 견적 ID(Q-…)를 넣었는지 확인",IF('설정 Settings'!$C$15&gt;N($N245),"문의 후 6개월 지남: 다른 동의 근거 필요","OK: 이름·주소·연락처·수신거부 문구 넣기")),IF($H245="REFERRAL","소개 후 첫 메시지만 OK: 소개자 이름 + 이름·주소·연락처·수신거부 문구. 두 번째부터는 다른 동의 근거 필요",IF(AND($H245="REPLY",$D245&lt;&gt;"QUOTE",$D245&lt;&gt;"CALLBACK"),"문의에 대한 답장이 아님: EXPRESS 또는 INQUIRY 동의 필요","OK: 이름·주소·연락처·수신거부 문구 넣기")))),"")))</f>
      </c>
      <c r="N245" s="40">
        <f>IF($H245="INQUIRY",IFERROR(EDATE(INDEX('견적 Quotes'!$B$3:$B$1002,MATCH($C245,'견적 Quotes'!$A$3:$A$1002,0)),'설정 Settings'!$C$20),""),"")</f>
      </c>
    </row>
    <row r="246" spans="12:14" x14ac:dyDescent="0.25">
      <c r="L246" s="42">
        <f>IF($A246="","",IF($G246="Y","완료 DONE",IF($F246="","날짜 없음",IF($F246&lt;'설정 Settings'!$C$15,"지남 OVERDUE",IF($F246='설정 Settings'!$C$15,"오늘 TODAY","예정 OPEN")))))</f>
      </c>
      <c r="M246" s="42">
        <f>IF($A246="","",IF($I246="Y","수신거부: 문자·이메일 보내지 않기",IF(OR($E246="SMS",$E246="EMAIL"),IF(OR($H246="",$H246="NONE"),"동의 근거 없음: 전화·방문만",IF($H246="INQUIRY",IF(N($N246)=0,"견적 요청일을 못 찾음: 관련 ID에 견적 ID(Q-…)를 넣었는지 확인",IF('설정 Settings'!$C$15&gt;N($N246),"문의 후 6개월 지남: 다른 동의 근거 필요","OK: 이름·주소·연락처·수신거부 문구 넣기")),IF($H246="REFERRAL","소개 후 첫 메시지만 OK: 소개자 이름 + 이름·주소·연락처·수신거부 문구. 두 번째부터는 다른 동의 근거 필요",IF(AND($H246="REPLY",$D246&lt;&gt;"QUOTE",$D246&lt;&gt;"CALLBACK"),"문의에 대한 답장이 아님: EXPRESS 또는 INQUIRY 동의 필요","OK: 이름·주소·연락처·수신거부 문구 넣기")))),"")))</f>
      </c>
      <c r="N246" s="40">
        <f>IF($H246="INQUIRY",IFERROR(EDATE(INDEX('견적 Quotes'!$B$3:$B$1002,MATCH($C246,'견적 Quotes'!$A$3:$A$1002,0)),'설정 Settings'!$C$20),""),"")</f>
      </c>
    </row>
    <row r="247" spans="12:14" x14ac:dyDescent="0.25">
      <c r="L247" s="42">
        <f>IF($A247="","",IF($G247="Y","완료 DONE",IF($F247="","날짜 없음",IF($F247&lt;'설정 Settings'!$C$15,"지남 OVERDUE",IF($F247='설정 Settings'!$C$15,"오늘 TODAY","예정 OPEN")))))</f>
      </c>
      <c r="M247" s="42">
        <f>IF($A247="","",IF($I247="Y","수신거부: 문자·이메일 보내지 않기",IF(OR($E247="SMS",$E247="EMAIL"),IF(OR($H247="",$H247="NONE"),"동의 근거 없음: 전화·방문만",IF($H247="INQUIRY",IF(N($N247)=0,"견적 요청일을 못 찾음: 관련 ID에 견적 ID(Q-…)를 넣었는지 확인",IF('설정 Settings'!$C$15&gt;N($N247),"문의 후 6개월 지남: 다른 동의 근거 필요","OK: 이름·주소·연락처·수신거부 문구 넣기")),IF($H247="REFERRAL","소개 후 첫 메시지만 OK: 소개자 이름 + 이름·주소·연락처·수신거부 문구. 두 번째부터는 다른 동의 근거 필요",IF(AND($H247="REPLY",$D247&lt;&gt;"QUOTE",$D247&lt;&gt;"CALLBACK"),"문의에 대한 답장이 아님: EXPRESS 또는 INQUIRY 동의 필요","OK: 이름·주소·연락처·수신거부 문구 넣기")))),"")))</f>
      </c>
      <c r="N247" s="40">
        <f>IF($H247="INQUIRY",IFERROR(EDATE(INDEX('견적 Quotes'!$B$3:$B$1002,MATCH($C247,'견적 Quotes'!$A$3:$A$1002,0)),'설정 Settings'!$C$20),""),"")</f>
      </c>
    </row>
    <row r="248" spans="12:14" x14ac:dyDescent="0.25">
      <c r="L248" s="42">
        <f>IF($A248="","",IF($G248="Y","완료 DONE",IF($F248="","날짜 없음",IF($F248&lt;'설정 Settings'!$C$15,"지남 OVERDUE",IF($F248='설정 Settings'!$C$15,"오늘 TODAY","예정 OPEN")))))</f>
      </c>
      <c r="M248" s="42">
        <f>IF($A248="","",IF($I248="Y","수신거부: 문자·이메일 보내지 않기",IF(OR($E248="SMS",$E248="EMAIL"),IF(OR($H248="",$H248="NONE"),"동의 근거 없음: 전화·방문만",IF($H248="INQUIRY",IF(N($N248)=0,"견적 요청일을 못 찾음: 관련 ID에 견적 ID(Q-…)를 넣었는지 확인",IF('설정 Settings'!$C$15&gt;N($N248),"문의 후 6개월 지남: 다른 동의 근거 필요","OK: 이름·주소·연락처·수신거부 문구 넣기")),IF($H248="REFERRAL","소개 후 첫 메시지만 OK: 소개자 이름 + 이름·주소·연락처·수신거부 문구. 두 번째부터는 다른 동의 근거 필요",IF(AND($H248="REPLY",$D248&lt;&gt;"QUOTE",$D248&lt;&gt;"CALLBACK"),"문의에 대한 답장이 아님: EXPRESS 또는 INQUIRY 동의 필요","OK: 이름·주소·연락처·수신거부 문구 넣기")))),"")))</f>
      </c>
      <c r="N248" s="40">
        <f>IF($H248="INQUIRY",IFERROR(EDATE(INDEX('견적 Quotes'!$B$3:$B$1002,MATCH($C248,'견적 Quotes'!$A$3:$A$1002,0)),'설정 Settings'!$C$20),""),"")</f>
      </c>
    </row>
    <row r="249" spans="12:14" x14ac:dyDescent="0.25">
      <c r="L249" s="42">
        <f>IF($A249="","",IF($G249="Y","완료 DONE",IF($F249="","날짜 없음",IF($F249&lt;'설정 Settings'!$C$15,"지남 OVERDUE",IF($F249='설정 Settings'!$C$15,"오늘 TODAY","예정 OPEN")))))</f>
      </c>
      <c r="M249" s="42">
        <f>IF($A249="","",IF($I249="Y","수신거부: 문자·이메일 보내지 않기",IF(OR($E249="SMS",$E249="EMAIL"),IF(OR($H249="",$H249="NONE"),"동의 근거 없음: 전화·방문만",IF($H249="INQUIRY",IF(N($N249)=0,"견적 요청일을 못 찾음: 관련 ID에 견적 ID(Q-…)를 넣었는지 확인",IF('설정 Settings'!$C$15&gt;N($N249),"문의 후 6개월 지남: 다른 동의 근거 필요","OK: 이름·주소·연락처·수신거부 문구 넣기")),IF($H249="REFERRAL","소개 후 첫 메시지만 OK: 소개자 이름 + 이름·주소·연락처·수신거부 문구. 두 번째부터는 다른 동의 근거 필요",IF(AND($H249="REPLY",$D249&lt;&gt;"QUOTE",$D249&lt;&gt;"CALLBACK"),"문의에 대한 답장이 아님: EXPRESS 또는 INQUIRY 동의 필요","OK: 이름·주소·연락처·수신거부 문구 넣기")))),"")))</f>
      </c>
      <c r="N249" s="40">
        <f>IF($H249="INQUIRY",IFERROR(EDATE(INDEX('견적 Quotes'!$B$3:$B$1002,MATCH($C249,'견적 Quotes'!$A$3:$A$1002,0)),'설정 Settings'!$C$20),""),"")</f>
      </c>
    </row>
    <row r="250" spans="12:14" x14ac:dyDescent="0.25">
      <c r="L250" s="42">
        <f>IF($A250="","",IF($G250="Y","완료 DONE",IF($F250="","날짜 없음",IF($F250&lt;'설정 Settings'!$C$15,"지남 OVERDUE",IF($F250='설정 Settings'!$C$15,"오늘 TODAY","예정 OPEN")))))</f>
      </c>
      <c r="M250" s="42">
        <f>IF($A250="","",IF($I250="Y","수신거부: 문자·이메일 보내지 않기",IF(OR($E250="SMS",$E250="EMAIL"),IF(OR($H250="",$H250="NONE"),"동의 근거 없음: 전화·방문만",IF($H250="INQUIRY",IF(N($N250)=0,"견적 요청일을 못 찾음: 관련 ID에 견적 ID(Q-…)를 넣었는지 확인",IF('설정 Settings'!$C$15&gt;N($N250),"문의 후 6개월 지남: 다른 동의 근거 필요","OK: 이름·주소·연락처·수신거부 문구 넣기")),IF($H250="REFERRAL","소개 후 첫 메시지만 OK: 소개자 이름 + 이름·주소·연락처·수신거부 문구. 두 번째부터는 다른 동의 근거 필요",IF(AND($H250="REPLY",$D250&lt;&gt;"QUOTE",$D250&lt;&gt;"CALLBACK"),"문의에 대한 답장이 아님: EXPRESS 또는 INQUIRY 동의 필요","OK: 이름·주소·연락처·수신거부 문구 넣기")))),"")))</f>
      </c>
      <c r="N250" s="40">
        <f>IF($H250="INQUIRY",IFERROR(EDATE(INDEX('견적 Quotes'!$B$3:$B$1002,MATCH($C250,'견적 Quotes'!$A$3:$A$1002,0)),'설정 Settings'!$C$20),""),"")</f>
      </c>
    </row>
    <row r="251" spans="12:14" x14ac:dyDescent="0.25">
      <c r="L251" s="42">
        <f>IF($A251="","",IF($G251="Y","완료 DONE",IF($F251="","날짜 없음",IF($F251&lt;'설정 Settings'!$C$15,"지남 OVERDUE",IF($F251='설정 Settings'!$C$15,"오늘 TODAY","예정 OPEN")))))</f>
      </c>
      <c r="M251" s="42">
        <f>IF($A251="","",IF($I251="Y","수신거부: 문자·이메일 보내지 않기",IF(OR($E251="SMS",$E251="EMAIL"),IF(OR($H251="",$H251="NONE"),"동의 근거 없음: 전화·방문만",IF($H251="INQUIRY",IF(N($N251)=0,"견적 요청일을 못 찾음: 관련 ID에 견적 ID(Q-…)를 넣었는지 확인",IF('설정 Settings'!$C$15&gt;N($N251),"문의 후 6개월 지남: 다른 동의 근거 필요","OK: 이름·주소·연락처·수신거부 문구 넣기")),IF($H251="REFERRAL","소개 후 첫 메시지만 OK: 소개자 이름 + 이름·주소·연락처·수신거부 문구. 두 번째부터는 다른 동의 근거 필요",IF(AND($H251="REPLY",$D251&lt;&gt;"QUOTE",$D251&lt;&gt;"CALLBACK"),"문의에 대한 답장이 아님: EXPRESS 또는 INQUIRY 동의 필요","OK: 이름·주소·연락처·수신거부 문구 넣기")))),"")))</f>
      </c>
      <c r="N251" s="40">
        <f>IF($H251="INQUIRY",IFERROR(EDATE(INDEX('견적 Quotes'!$B$3:$B$1002,MATCH($C251,'견적 Quotes'!$A$3:$A$1002,0)),'설정 Settings'!$C$20),""),"")</f>
      </c>
    </row>
    <row r="252" spans="12:14" x14ac:dyDescent="0.25">
      <c r="L252" s="42">
        <f>IF($A252="","",IF($G252="Y","완료 DONE",IF($F252="","날짜 없음",IF($F252&lt;'설정 Settings'!$C$15,"지남 OVERDUE",IF($F252='설정 Settings'!$C$15,"오늘 TODAY","예정 OPEN")))))</f>
      </c>
      <c r="M252" s="42">
        <f>IF($A252="","",IF($I252="Y","수신거부: 문자·이메일 보내지 않기",IF(OR($E252="SMS",$E252="EMAIL"),IF(OR($H252="",$H252="NONE"),"동의 근거 없음: 전화·방문만",IF($H252="INQUIRY",IF(N($N252)=0,"견적 요청일을 못 찾음: 관련 ID에 견적 ID(Q-…)를 넣었는지 확인",IF('설정 Settings'!$C$15&gt;N($N252),"문의 후 6개월 지남: 다른 동의 근거 필요","OK: 이름·주소·연락처·수신거부 문구 넣기")),IF($H252="REFERRAL","소개 후 첫 메시지만 OK: 소개자 이름 + 이름·주소·연락처·수신거부 문구. 두 번째부터는 다른 동의 근거 필요",IF(AND($H252="REPLY",$D252&lt;&gt;"QUOTE",$D252&lt;&gt;"CALLBACK"),"문의에 대한 답장이 아님: EXPRESS 또는 INQUIRY 동의 필요","OK: 이름·주소·연락처·수신거부 문구 넣기")))),"")))</f>
      </c>
      <c r="N252" s="40">
        <f>IF($H252="INQUIRY",IFERROR(EDATE(INDEX('견적 Quotes'!$B$3:$B$1002,MATCH($C252,'견적 Quotes'!$A$3:$A$1002,0)),'설정 Settings'!$C$20),""),"")</f>
      </c>
    </row>
    <row r="253" spans="12:14" x14ac:dyDescent="0.25">
      <c r="L253" s="42">
        <f>IF($A253="","",IF($G253="Y","완료 DONE",IF($F253="","날짜 없음",IF($F253&lt;'설정 Settings'!$C$15,"지남 OVERDUE",IF($F253='설정 Settings'!$C$15,"오늘 TODAY","예정 OPEN")))))</f>
      </c>
      <c r="M253" s="42">
        <f>IF($A253="","",IF($I253="Y","수신거부: 문자·이메일 보내지 않기",IF(OR($E253="SMS",$E253="EMAIL"),IF(OR($H253="",$H253="NONE"),"동의 근거 없음: 전화·방문만",IF($H253="INQUIRY",IF(N($N253)=0,"견적 요청일을 못 찾음: 관련 ID에 견적 ID(Q-…)를 넣었는지 확인",IF('설정 Settings'!$C$15&gt;N($N253),"문의 후 6개월 지남: 다른 동의 근거 필요","OK: 이름·주소·연락처·수신거부 문구 넣기")),IF($H253="REFERRAL","소개 후 첫 메시지만 OK: 소개자 이름 + 이름·주소·연락처·수신거부 문구. 두 번째부터는 다른 동의 근거 필요",IF(AND($H253="REPLY",$D253&lt;&gt;"QUOTE",$D253&lt;&gt;"CALLBACK"),"문의에 대한 답장이 아님: EXPRESS 또는 INQUIRY 동의 필요","OK: 이름·주소·연락처·수신거부 문구 넣기")))),"")))</f>
      </c>
      <c r="N253" s="40">
        <f>IF($H253="INQUIRY",IFERROR(EDATE(INDEX('견적 Quotes'!$B$3:$B$1002,MATCH($C253,'견적 Quotes'!$A$3:$A$1002,0)),'설정 Settings'!$C$20),""),"")</f>
      </c>
    </row>
    <row r="254" spans="12:14" x14ac:dyDescent="0.25">
      <c r="L254" s="42">
        <f>IF($A254="","",IF($G254="Y","완료 DONE",IF($F254="","날짜 없음",IF($F254&lt;'설정 Settings'!$C$15,"지남 OVERDUE",IF($F254='설정 Settings'!$C$15,"오늘 TODAY","예정 OPEN")))))</f>
      </c>
      <c r="M254" s="42">
        <f>IF($A254="","",IF($I254="Y","수신거부: 문자·이메일 보내지 않기",IF(OR($E254="SMS",$E254="EMAIL"),IF(OR($H254="",$H254="NONE"),"동의 근거 없음: 전화·방문만",IF($H254="INQUIRY",IF(N($N254)=0,"견적 요청일을 못 찾음: 관련 ID에 견적 ID(Q-…)를 넣었는지 확인",IF('설정 Settings'!$C$15&gt;N($N254),"문의 후 6개월 지남: 다른 동의 근거 필요","OK: 이름·주소·연락처·수신거부 문구 넣기")),IF($H254="REFERRAL","소개 후 첫 메시지만 OK: 소개자 이름 + 이름·주소·연락처·수신거부 문구. 두 번째부터는 다른 동의 근거 필요",IF(AND($H254="REPLY",$D254&lt;&gt;"QUOTE",$D254&lt;&gt;"CALLBACK"),"문의에 대한 답장이 아님: EXPRESS 또는 INQUIRY 동의 필요","OK: 이름·주소·연락처·수신거부 문구 넣기")))),"")))</f>
      </c>
      <c r="N254" s="40">
        <f>IF($H254="INQUIRY",IFERROR(EDATE(INDEX('견적 Quotes'!$B$3:$B$1002,MATCH($C254,'견적 Quotes'!$A$3:$A$1002,0)),'설정 Settings'!$C$20),""),"")</f>
      </c>
    </row>
    <row r="255" spans="12:14" x14ac:dyDescent="0.25">
      <c r="L255" s="42">
        <f>IF($A255="","",IF($G255="Y","완료 DONE",IF($F255="","날짜 없음",IF($F255&lt;'설정 Settings'!$C$15,"지남 OVERDUE",IF($F255='설정 Settings'!$C$15,"오늘 TODAY","예정 OPEN")))))</f>
      </c>
      <c r="M255" s="42">
        <f>IF($A255="","",IF($I255="Y","수신거부: 문자·이메일 보내지 않기",IF(OR($E255="SMS",$E255="EMAIL"),IF(OR($H255="",$H255="NONE"),"동의 근거 없음: 전화·방문만",IF($H255="INQUIRY",IF(N($N255)=0,"견적 요청일을 못 찾음: 관련 ID에 견적 ID(Q-…)를 넣었는지 확인",IF('설정 Settings'!$C$15&gt;N($N255),"문의 후 6개월 지남: 다른 동의 근거 필요","OK: 이름·주소·연락처·수신거부 문구 넣기")),IF($H255="REFERRAL","소개 후 첫 메시지만 OK: 소개자 이름 + 이름·주소·연락처·수신거부 문구. 두 번째부터는 다른 동의 근거 필요",IF(AND($H255="REPLY",$D255&lt;&gt;"QUOTE",$D255&lt;&gt;"CALLBACK"),"문의에 대한 답장이 아님: EXPRESS 또는 INQUIRY 동의 필요","OK: 이름·주소·연락처·수신거부 문구 넣기")))),"")))</f>
      </c>
      <c r="N255" s="40">
        <f>IF($H255="INQUIRY",IFERROR(EDATE(INDEX('견적 Quotes'!$B$3:$B$1002,MATCH($C255,'견적 Quotes'!$A$3:$A$1002,0)),'설정 Settings'!$C$20),""),"")</f>
      </c>
    </row>
    <row r="256" spans="12:14" x14ac:dyDescent="0.25">
      <c r="L256" s="42">
        <f>IF($A256="","",IF($G256="Y","완료 DONE",IF($F256="","날짜 없음",IF($F256&lt;'설정 Settings'!$C$15,"지남 OVERDUE",IF($F256='설정 Settings'!$C$15,"오늘 TODAY","예정 OPEN")))))</f>
      </c>
      <c r="M256" s="42">
        <f>IF($A256="","",IF($I256="Y","수신거부: 문자·이메일 보내지 않기",IF(OR($E256="SMS",$E256="EMAIL"),IF(OR($H256="",$H256="NONE"),"동의 근거 없음: 전화·방문만",IF($H256="INQUIRY",IF(N($N256)=0,"견적 요청일을 못 찾음: 관련 ID에 견적 ID(Q-…)를 넣었는지 확인",IF('설정 Settings'!$C$15&gt;N($N256),"문의 후 6개월 지남: 다른 동의 근거 필요","OK: 이름·주소·연락처·수신거부 문구 넣기")),IF($H256="REFERRAL","소개 후 첫 메시지만 OK: 소개자 이름 + 이름·주소·연락처·수신거부 문구. 두 번째부터는 다른 동의 근거 필요",IF(AND($H256="REPLY",$D256&lt;&gt;"QUOTE",$D256&lt;&gt;"CALLBACK"),"문의에 대한 답장이 아님: EXPRESS 또는 INQUIRY 동의 필요","OK: 이름·주소·연락처·수신거부 문구 넣기")))),"")))</f>
      </c>
      <c r="N256" s="40">
        <f>IF($H256="INQUIRY",IFERROR(EDATE(INDEX('견적 Quotes'!$B$3:$B$1002,MATCH($C256,'견적 Quotes'!$A$3:$A$1002,0)),'설정 Settings'!$C$20),""),"")</f>
      </c>
    </row>
    <row r="257" spans="12:14" x14ac:dyDescent="0.25">
      <c r="L257" s="42">
        <f>IF($A257="","",IF($G257="Y","완료 DONE",IF($F257="","날짜 없음",IF($F257&lt;'설정 Settings'!$C$15,"지남 OVERDUE",IF($F257='설정 Settings'!$C$15,"오늘 TODAY","예정 OPEN")))))</f>
      </c>
      <c r="M257" s="42">
        <f>IF($A257="","",IF($I257="Y","수신거부: 문자·이메일 보내지 않기",IF(OR($E257="SMS",$E257="EMAIL"),IF(OR($H257="",$H257="NONE"),"동의 근거 없음: 전화·방문만",IF($H257="INQUIRY",IF(N($N257)=0,"견적 요청일을 못 찾음: 관련 ID에 견적 ID(Q-…)를 넣었는지 확인",IF('설정 Settings'!$C$15&gt;N($N257),"문의 후 6개월 지남: 다른 동의 근거 필요","OK: 이름·주소·연락처·수신거부 문구 넣기")),IF($H257="REFERRAL","소개 후 첫 메시지만 OK: 소개자 이름 + 이름·주소·연락처·수신거부 문구. 두 번째부터는 다른 동의 근거 필요",IF(AND($H257="REPLY",$D257&lt;&gt;"QUOTE",$D257&lt;&gt;"CALLBACK"),"문의에 대한 답장이 아님: EXPRESS 또는 INQUIRY 동의 필요","OK: 이름·주소·연락처·수신거부 문구 넣기")))),"")))</f>
      </c>
      <c r="N257" s="40">
        <f>IF($H257="INQUIRY",IFERROR(EDATE(INDEX('견적 Quotes'!$B$3:$B$1002,MATCH($C257,'견적 Quotes'!$A$3:$A$1002,0)),'설정 Settings'!$C$20),""),"")</f>
      </c>
    </row>
    <row r="258" spans="12:14" x14ac:dyDescent="0.25">
      <c r="L258" s="42">
        <f>IF($A258="","",IF($G258="Y","완료 DONE",IF($F258="","날짜 없음",IF($F258&lt;'설정 Settings'!$C$15,"지남 OVERDUE",IF($F258='설정 Settings'!$C$15,"오늘 TODAY","예정 OPEN")))))</f>
      </c>
      <c r="M258" s="42">
        <f>IF($A258="","",IF($I258="Y","수신거부: 문자·이메일 보내지 않기",IF(OR($E258="SMS",$E258="EMAIL"),IF(OR($H258="",$H258="NONE"),"동의 근거 없음: 전화·방문만",IF($H258="INQUIRY",IF(N($N258)=0,"견적 요청일을 못 찾음: 관련 ID에 견적 ID(Q-…)를 넣었는지 확인",IF('설정 Settings'!$C$15&gt;N($N258),"문의 후 6개월 지남: 다른 동의 근거 필요","OK: 이름·주소·연락처·수신거부 문구 넣기")),IF($H258="REFERRAL","소개 후 첫 메시지만 OK: 소개자 이름 + 이름·주소·연락처·수신거부 문구. 두 번째부터는 다른 동의 근거 필요",IF(AND($H258="REPLY",$D258&lt;&gt;"QUOTE",$D258&lt;&gt;"CALLBACK"),"문의에 대한 답장이 아님: EXPRESS 또는 INQUIRY 동의 필요","OK: 이름·주소·연락처·수신거부 문구 넣기")))),"")))</f>
      </c>
      <c r="N258" s="40">
        <f>IF($H258="INQUIRY",IFERROR(EDATE(INDEX('견적 Quotes'!$B$3:$B$1002,MATCH($C258,'견적 Quotes'!$A$3:$A$1002,0)),'설정 Settings'!$C$20),""),"")</f>
      </c>
    </row>
    <row r="259" spans="12:14" x14ac:dyDescent="0.25">
      <c r="L259" s="42">
        <f>IF($A259="","",IF($G259="Y","완료 DONE",IF($F259="","날짜 없음",IF($F259&lt;'설정 Settings'!$C$15,"지남 OVERDUE",IF($F259='설정 Settings'!$C$15,"오늘 TODAY","예정 OPEN")))))</f>
      </c>
      <c r="M259" s="42">
        <f>IF($A259="","",IF($I259="Y","수신거부: 문자·이메일 보내지 않기",IF(OR($E259="SMS",$E259="EMAIL"),IF(OR($H259="",$H259="NONE"),"동의 근거 없음: 전화·방문만",IF($H259="INQUIRY",IF(N($N259)=0,"견적 요청일을 못 찾음: 관련 ID에 견적 ID(Q-…)를 넣었는지 확인",IF('설정 Settings'!$C$15&gt;N($N259),"문의 후 6개월 지남: 다른 동의 근거 필요","OK: 이름·주소·연락처·수신거부 문구 넣기")),IF($H259="REFERRAL","소개 후 첫 메시지만 OK: 소개자 이름 + 이름·주소·연락처·수신거부 문구. 두 번째부터는 다른 동의 근거 필요",IF(AND($H259="REPLY",$D259&lt;&gt;"QUOTE",$D259&lt;&gt;"CALLBACK"),"문의에 대한 답장이 아님: EXPRESS 또는 INQUIRY 동의 필요","OK: 이름·주소·연락처·수신거부 문구 넣기")))),"")))</f>
      </c>
      <c r="N259" s="40">
        <f>IF($H259="INQUIRY",IFERROR(EDATE(INDEX('견적 Quotes'!$B$3:$B$1002,MATCH($C259,'견적 Quotes'!$A$3:$A$1002,0)),'설정 Settings'!$C$20),""),"")</f>
      </c>
    </row>
    <row r="260" spans="12:14" x14ac:dyDescent="0.25">
      <c r="L260" s="42">
        <f>IF($A260="","",IF($G260="Y","완료 DONE",IF($F260="","날짜 없음",IF($F260&lt;'설정 Settings'!$C$15,"지남 OVERDUE",IF($F260='설정 Settings'!$C$15,"오늘 TODAY","예정 OPEN")))))</f>
      </c>
      <c r="M260" s="42">
        <f>IF($A260="","",IF($I260="Y","수신거부: 문자·이메일 보내지 않기",IF(OR($E260="SMS",$E260="EMAIL"),IF(OR($H260="",$H260="NONE"),"동의 근거 없음: 전화·방문만",IF($H260="INQUIRY",IF(N($N260)=0,"견적 요청일을 못 찾음: 관련 ID에 견적 ID(Q-…)를 넣었는지 확인",IF('설정 Settings'!$C$15&gt;N($N260),"문의 후 6개월 지남: 다른 동의 근거 필요","OK: 이름·주소·연락처·수신거부 문구 넣기")),IF($H260="REFERRAL","소개 후 첫 메시지만 OK: 소개자 이름 + 이름·주소·연락처·수신거부 문구. 두 번째부터는 다른 동의 근거 필요",IF(AND($H260="REPLY",$D260&lt;&gt;"QUOTE",$D260&lt;&gt;"CALLBACK"),"문의에 대한 답장이 아님: EXPRESS 또는 INQUIRY 동의 필요","OK: 이름·주소·연락처·수신거부 문구 넣기")))),"")))</f>
      </c>
      <c r="N260" s="40">
        <f>IF($H260="INQUIRY",IFERROR(EDATE(INDEX('견적 Quotes'!$B$3:$B$1002,MATCH($C260,'견적 Quotes'!$A$3:$A$1002,0)),'설정 Settings'!$C$20),""),"")</f>
      </c>
    </row>
    <row r="261" spans="12:14" x14ac:dyDescent="0.25">
      <c r="L261" s="42">
        <f>IF($A261="","",IF($G261="Y","완료 DONE",IF($F261="","날짜 없음",IF($F261&lt;'설정 Settings'!$C$15,"지남 OVERDUE",IF($F261='설정 Settings'!$C$15,"오늘 TODAY","예정 OPEN")))))</f>
      </c>
      <c r="M261" s="42">
        <f>IF($A261="","",IF($I261="Y","수신거부: 문자·이메일 보내지 않기",IF(OR($E261="SMS",$E261="EMAIL"),IF(OR($H261="",$H261="NONE"),"동의 근거 없음: 전화·방문만",IF($H261="INQUIRY",IF(N($N261)=0,"견적 요청일을 못 찾음: 관련 ID에 견적 ID(Q-…)를 넣었는지 확인",IF('설정 Settings'!$C$15&gt;N($N261),"문의 후 6개월 지남: 다른 동의 근거 필요","OK: 이름·주소·연락처·수신거부 문구 넣기")),IF($H261="REFERRAL","소개 후 첫 메시지만 OK: 소개자 이름 + 이름·주소·연락처·수신거부 문구. 두 번째부터는 다른 동의 근거 필요",IF(AND($H261="REPLY",$D261&lt;&gt;"QUOTE",$D261&lt;&gt;"CALLBACK"),"문의에 대한 답장이 아님: EXPRESS 또는 INQUIRY 동의 필요","OK: 이름·주소·연락처·수신거부 문구 넣기")))),"")))</f>
      </c>
      <c r="N261" s="40">
        <f>IF($H261="INQUIRY",IFERROR(EDATE(INDEX('견적 Quotes'!$B$3:$B$1002,MATCH($C261,'견적 Quotes'!$A$3:$A$1002,0)),'설정 Settings'!$C$20),""),"")</f>
      </c>
    </row>
    <row r="262" spans="12:14" x14ac:dyDescent="0.25">
      <c r="L262" s="42">
        <f>IF($A262="","",IF($G262="Y","완료 DONE",IF($F262="","날짜 없음",IF($F262&lt;'설정 Settings'!$C$15,"지남 OVERDUE",IF($F262='설정 Settings'!$C$15,"오늘 TODAY","예정 OPEN")))))</f>
      </c>
      <c r="M262" s="42">
        <f>IF($A262="","",IF($I262="Y","수신거부: 문자·이메일 보내지 않기",IF(OR($E262="SMS",$E262="EMAIL"),IF(OR($H262="",$H262="NONE"),"동의 근거 없음: 전화·방문만",IF($H262="INQUIRY",IF(N($N262)=0,"견적 요청일을 못 찾음: 관련 ID에 견적 ID(Q-…)를 넣었는지 확인",IF('설정 Settings'!$C$15&gt;N($N262),"문의 후 6개월 지남: 다른 동의 근거 필요","OK: 이름·주소·연락처·수신거부 문구 넣기")),IF($H262="REFERRAL","소개 후 첫 메시지만 OK: 소개자 이름 + 이름·주소·연락처·수신거부 문구. 두 번째부터는 다른 동의 근거 필요",IF(AND($H262="REPLY",$D262&lt;&gt;"QUOTE",$D262&lt;&gt;"CALLBACK"),"문의에 대한 답장이 아님: EXPRESS 또는 INQUIRY 동의 필요","OK: 이름·주소·연락처·수신거부 문구 넣기")))),"")))</f>
      </c>
      <c r="N262" s="40">
        <f>IF($H262="INQUIRY",IFERROR(EDATE(INDEX('견적 Quotes'!$B$3:$B$1002,MATCH($C262,'견적 Quotes'!$A$3:$A$1002,0)),'설정 Settings'!$C$20),""),"")</f>
      </c>
    </row>
    <row r="263" spans="12:14" x14ac:dyDescent="0.25">
      <c r="L263" s="42">
        <f>IF($A263="","",IF($G263="Y","완료 DONE",IF($F263="","날짜 없음",IF($F263&lt;'설정 Settings'!$C$15,"지남 OVERDUE",IF($F263='설정 Settings'!$C$15,"오늘 TODAY","예정 OPEN")))))</f>
      </c>
      <c r="M263" s="42">
        <f>IF($A263="","",IF($I263="Y","수신거부: 문자·이메일 보내지 않기",IF(OR($E263="SMS",$E263="EMAIL"),IF(OR($H263="",$H263="NONE"),"동의 근거 없음: 전화·방문만",IF($H263="INQUIRY",IF(N($N263)=0,"견적 요청일을 못 찾음: 관련 ID에 견적 ID(Q-…)를 넣었는지 확인",IF('설정 Settings'!$C$15&gt;N($N263),"문의 후 6개월 지남: 다른 동의 근거 필요","OK: 이름·주소·연락처·수신거부 문구 넣기")),IF($H263="REFERRAL","소개 후 첫 메시지만 OK: 소개자 이름 + 이름·주소·연락처·수신거부 문구. 두 번째부터는 다른 동의 근거 필요",IF(AND($H263="REPLY",$D263&lt;&gt;"QUOTE",$D263&lt;&gt;"CALLBACK"),"문의에 대한 답장이 아님: EXPRESS 또는 INQUIRY 동의 필요","OK: 이름·주소·연락처·수신거부 문구 넣기")))),"")))</f>
      </c>
      <c r="N263" s="40">
        <f>IF($H263="INQUIRY",IFERROR(EDATE(INDEX('견적 Quotes'!$B$3:$B$1002,MATCH($C263,'견적 Quotes'!$A$3:$A$1002,0)),'설정 Settings'!$C$20),""),"")</f>
      </c>
    </row>
    <row r="264" spans="12:14" x14ac:dyDescent="0.25">
      <c r="L264" s="42">
        <f>IF($A264="","",IF($G264="Y","완료 DONE",IF($F264="","날짜 없음",IF($F264&lt;'설정 Settings'!$C$15,"지남 OVERDUE",IF($F264='설정 Settings'!$C$15,"오늘 TODAY","예정 OPEN")))))</f>
      </c>
      <c r="M264" s="42">
        <f>IF($A264="","",IF($I264="Y","수신거부: 문자·이메일 보내지 않기",IF(OR($E264="SMS",$E264="EMAIL"),IF(OR($H264="",$H264="NONE"),"동의 근거 없음: 전화·방문만",IF($H264="INQUIRY",IF(N($N264)=0,"견적 요청일을 못 찾음: 관련 ID에 견적 ID(Q-…)를 넣었는지 확인",IF('설정 Settings'!$C$15&gt;N($N264),"문의 후 6개월 지남: 다른 동의 근거 필요","OK: 이름·주소·연락처·수신거부 문구 넣기")),IF($H264="REFERRAL","소개 후 첫 메시지만 OK: 소개자 이름 + 이름·주소·연락처·수신거부 문구. 두 번째부터는 다른 동의 근거 필요",IF(AND($H264="REPLY",$D264&lt;&gt;"QUOTE",$D264&lt;&gt;"CALLBACK"),"문의에 대한 답장이 아님: EXPRESS 또는 INQUIRY 동의 필요","OK: 이름·주소·연락처·수신거부 문구 넣기")))),"")))</f>
      </c>
      <c r="N264" s="40">
        <f>IF($H264="INQUIRY",IFERROR(EDATE(INDEX('견적 Quotes'!$B$3:$B$1002,MATCH($C264,'견적 Quotes'!$A$3:$A$1002,0)),'설정 Settings'!$C$20),""),"")</f>
      </c>
    </row>
    <row r="265" spans="12:14" x14ac:dyDescent="0.25">
      <c r="L265" s="42">
        <f>IF($A265="","",IF($G265="Y","완료 DONE",IF($F265="","날짜 없음",IF($F265&lt;'설정 Settings'!$C$15,"지남 OVERDUE",IF($F265='설정 Settings'!$C$15,"오늘 TODAY","예정 OPEN")))))</f>
      </c>
      <c r="M265" s="42">
        <f>IF($A265="","",IF($I265="Y","수신거부: 문자·이메일 보내지 않기",IF(OR($E265="SMS",$E265="EMAIL"),IF(OR($H265="",$H265="NONE"),"동의 근거 없음: 전화·방문만",IF($H265="INQUIRY",IF(N($N265)=0,"견적 요청일을 못 찾음: 관련 ID에 견적 ID(Q-…)를 넣었는지 확인",IF('설정 Settings'!$C$15&gt;N($N265),"문의 후 6개월 지남: 다른 동의 근거 필요","OK: 이름·주소·연락처·수신거부 문구 넣기")),IF($H265="REFERRAL","소개 후 첫 메시지만 OK: 소개자 이름 + 이름·주소·연락처·수신거부 문구. 두 번째부터는 다른 동의 근거 필요",IF(AND($H265="REPLY",$D265&lt;&gt;"QUOTE",$D265&lt;&gt;"CALLBACK"),"문의에 대한 답장이 아님: EXPRESS 또는 INQUIRY 동의 필요","OK: 이름·주소·연락처·수신거부 문구 넣기")))),"")))</f>
      </c>
      <c r="N265" s="40">
        <f>IF($H265="INQUIRY",IFERROR(EDATE(INDEX('견적 Quotes'!$B$3:$B$1002,MATCH($C265,'견적 Quotes'!$A$3:$A$1002,0)),'설정 Settings'!$C$20),""),"")</f>
      </c>
    </row>
    <row r="266" spans="12:14" x14ac:dyDescent="0.25">
      <c r="L266" s="42">
        <f>IF($A266="","",IF($G266="Y","완료 DONE",IF($F266="","날짜 없음",IF($F266&lt;'설정 Settings'!$C$15,"지남 OVERDUE",IF($F266='설정 Settings'!$C$15,"오늘 TODAY","예정 OPEN")))))</f>
      </c>
      <c r="M266" s="42">
        <f>IF($A266="","",IF($I266="Y","수신거부: 문자·이메일 보내지 않기",IF(OR($E266="SMS",$E266="EMAIL"),IF(OR($H266="",$H266="NONE"),"동의 근거 없음: 전화·방문만",IF($H266="INQUIRY",IF(N($N266)=0,"견적 요청일을 못 찾음: 관련 ID에 견적 ID(Q-…)를 넣었는지 확인",IF('설정 Settings'!$C$15&gt;N($N266),"문의 후 6개월 지남: 다른 동의 근거 필요","OK: 이름·주소·연락처·수신거부 문구 넣기")),IF($H266="REFERRAL","소개 후 첫 메시지만 OK: 소개자 이름 + 이름·주소·연락처·수신거부 문구. 두 번째부터는 다른 동의 근거 필요",IF(AND($H266="REPLY",$D266&lt;&gt;"QUOTE",$D266&lt;&gt;"CALLBACK"),"문의에 대한 답장이 아님: EXPRESS 또는 INQUIRY 동의 필요","OK: 이름·주소·연락처·수신거부 문구 넣기")))),"")))</f>
      </c>
      <c r="N266" s="40">
        <f>IF($H266="INQUIRY",IFERROR(EDATE(INDEX('견적 Quotes'!$B$3:$B$1002,MATCH($C266,'견적 Quotes'!$A$3:$A$1002,0)),'설정 Settings'!$C$20),""),"")</f>
      </c>
    </row>
    <row r="267" spans="12:14" x14ac:dyDescent="0.25">
      <c r="L267" s="42">
        <f>IF($A267="","",IF($G267="Y","완료 DONE",IF($F267="","날짜 없음",IF($F267&lt;'설정 Settings'!$C$15,"지남 OVERDUE",IF($F267='설정 Settings'!$C$15,"오늘 TODAY","예정 OPEN")))))</f>
      </c>
      <c r="M267" s="42">
        <f>IF($A267="","",IF($I267="Y","수신거부: 문자·이메일 보내지 않기",IF(OR($E267="SMS",$E267="EMAIL"),IF(OR($H267="",$H267="NONE"),"동의 근거 없음: 전화·방문만",IF($H267="INQUIRY",IF(N($N267)=0,"견적 요청일을 못 찾음: 관련 ID에 견적 ID(Q-…)를 넣었는지 확인",IF('설정 Settings'!$C$15&gt;N($N267),"문의 후 6개월 지남: 다른 동의 근거 필요","OK: 이름·주소·연락처·수신거부 문구 넣기")),IF($H267="REFERRAL","소개 후 첫 메시지만 OK: 소개자 이름 + 이름·주소·연락처·수신거부 문구. 두 번째부터는 다른 동의 근거 필요",IF(AND($H267="REPLY",$D267&lt;&gt;"QUOTE",$D267&lt;&gt;"CALLBACK"),"문의에 대한 답장이 아님: EXPRESS 또는 INQUIRY 동의 필요","OK: 이름·주소·연락처·수신거부 문구 넣기")))),"")))</f>
      </c>
      <c r="N267" s="40">
        <f>IF($H267="INQUIRY",IFERROR(EDATE(INDEX('견적 Quotes'!$B$3:$B$1002,MATCH($C267,'견적 Quotes'!$A$3:$A$1002,0)),'설정 Settings'!$C$20),""),"")</f>
      </c>
    </row>
    <row r="268" spans="12:14" x14ac:dyDescent="0.25">
      <c r="L268" s="42">
        <f>IF($A268="","",IF($G268="Y","완료 DONE",IF($F268="","날짜 없음",IF($F268&lt;'설정 Settings'!$C$15,"지남 OVERDUE",IF($F268='설정 Settings'!$C$15,"오늘 TODAY","예정 OPEN")))))</f>
      </c>
      <c r="M268" s="42">
        <f>IF($A268="","",IF($I268="Y","수신거부: 문자·이메일 보내지 않기",IF(OR($E268="SMS",$E268="EMAIL"),IF(OR($H268="",$H268="NONE"),"동의 근거 없음: 전화·방문만",IF($H268="INQUIRY",IF(N($N268)=0,"견적 요청일을 못 찾음: 관련 ID에 견적 ID(Q-…)를 넣었는지 확인",IF('설정 Settings'!$C$15&gt;N($N268),"문의 후 6개월 지남: 다른 동의 근거 필요","OK: 이름·주소·연락처·수신거부 문구 넣기")),IF($H268="REFERRAL","소개 후 첫 메시지만 OK: 소개자 이름 + 이름·주소·연락처·수신거부 문구. 두 번째부터는 다른 동의 근거 필요",IF(AND($H268="REPLY",$D268&lt;&gt;"QUOTE",$D268&lt;&gt;"CALLBACK"),"문의에 대한 답장이 아님: EXPRESS 또는 INQUIRY 동의 필요","OK: 이름·주소·연락처·수신거부 문구 넣기")))),"")))</f>
      </c>
      <c r="N268" s="40">
        <f>IF($H268="INQUIRY",IFERROR(EDATE(INDEX('견적 Quotes'!$B$3:$B$1002,MATCH($C268,'견적 Quotes'!$A$3:$A$1002,0)),'설정 Settings'!$C$20),""),"")</f>
      </c>
    </row>
    <row r="269" spans="12:14" x14ac:dyDescent="0.25">
      <c r="L269" s="42">
        <f>IF($A269="","",IF($G269="Y","완료 DONE",IF($F269="","날짜 없음",IF($F269&lt;'설정 Settings'!$C$15,"지남 OVERDUE",IF($F269='설정 Settings'!$C$15,"오늘 TODAY","예정 OPEN")))))</f>
      </c>
      <c r="M269" s="42">
        <f>IF($A269="","",IF($I269="Y","수신거부: 문자·이메일 보내지 않기",IF(OR($E269="SMS",$E269="EMAIL"),IF(OR($H269="",$H269="NONE"),"동의 근거 없음: 전화·방문만",IF($H269="INQUIRY",IF(N($N269)=0,"견적 요청일을 못 찾음: 관련 ID에 견적 ID(Q-…)를 넣었는지 확인",IF('설정 Settings'!$C$15&gt;N($N269),"문의 후 6개월 지남: 다른 동의 근거 필요","OK: 이름·주소·연락처·수신거부 문구 넣기")),IF($H269="REFERRAL","소개 후 첫 메시지만 OK: 소개자 이름 + 이름·주소·연락처·수신거부 문구. 두 번째부터는 다른 동의 근거 필요",IF(AND($H269="REPLY",$D269&lt;&gt;"QUOTE",$D269&lt;&gt;"CALLBACK"),"문의에 대한 답장이 아님: EXPRESS 또는 INQUIRY 동의 필요","OK: 이름·주소·연락처·수신거부 문구 넣기")))),"")))</f>
      </c>
      <c r="N269" s="40">
        <f>IF($H269="INQUIRY",IFERROR(EDATE(INDEX('견적 Quotes'!$B$3:$B$1002,MATCH($C269,'견적 Quotes'!$A$3:$A$1002,0)),'설정 Settings'!$C$20),""),"")</f>
      </c>
    </row>
    <row r="270" spans="12:14" x14ac:dyDescent="0.25">
      <c r="L270" s="42">
        <f>IF($A270="","",IF($G270="Y","완료 DONE",IF($F270="","날짜 없음",IF($F270&lt;'설정 Settings'!$C$15,"지남 OVERDUE",IF($F270='설정 Settings'!$C$15,"오늘 TODAY","예정 OPEN")))))</f>
      </c>
      <c r="M270" s="42">
        <f>IF($A270="","",IF($I270="Y","수신거부: 문자·이메일 보내지 않기",IF(OR($E270="SMS",$E270="EMAIL"),IF(OR($H270="",$H270="NONE"),"동의 근거 없음: 전화·방문만",IF($H270="INQUIRY",IF(N($N270)=0,"견적 요청일을 못 찾음: 관련 ID에 견적 ID(Q-…)를 넣었는지 확인",IF('설정 Settings'!$C$15&gt;N($N270),"문의 후 6개월 지남: 다른 동의 근거 필요","OK: 이름·주소·연락처·수신거부 문구 넣기")),IF($H270="REFERRAL","소개 후 첫 메시지만 OK: 소개자 이름 + 이름·주소·연락처·수신거부 문구. 두 번째부터는 다른 동의 근거 필요",IF(AND($H270="REPLY",$D270&lt;&gt;"QUOTE",$D270&lt;&gt;"CALLBACK"),"문의에 대한 답장이 아님: EXPRESS 또는 INQUIRY 동의 필요","OK: 이름·주소·연락처·수신거부 문구 넣기")))),"")))</f>
      </c>
      <c r="N270" s="40">
        <f>IF($H270="INQUIRY",IFERROR(EDATE(INDEX('견적 Quotes'!$B$3:$B$1002,MATCH($C270,'견적 Quotes'!$A$3:$A$1002,0)),'설정 Settings'!$C$20),""),"")</f>
      </c>
    </row>
    <row r="271" spans="12:14" x14ac:dyDescent="0.25">
      <c r="L271" s="42">
        <f>IF($A271="","",IF($G271="Y","완료 DONE",IF($F271="","날짜 없음",IF($F271&lt;'설정 Settings'!$C$15,"지남 OVERDUE",IF($F271='설정 Settings'!$C$15,"오늘 TODAY","예정 OPEN")))))</f>
      </c>
      <c r="M271" s="42">
        <f>IF($A271="","",IF($I271="Y","수신거부: 문자·이메일 보내지 않기",IF(OR($E271="SMS",$E271="EMAIL"),IF(OR($H271="",$H271="NONE"),"동의 근거 없음: 전화·방문만",IF($H271="INQUIRY",IF(N($N271)=0,"견적 요청일을 못 찾음: 관련 ID에 견적 ID(Q-…)를 넣었는지 확인",IF('설정 Settings'!$C$15&gt;N($N271),"문의 후 6개월 지남: 다른 동의 근거 필요","OK: 이름·주소·연락처·수신거부 문구 넣기")),IF($H271="REFERRAL","소개 후 첫 메시지만 OK: 소개자 이름 + 이름·주소·연락처·수신거부 문구. 두 번째부터는 다른 동의 근거 필요",IF(AND($H271="REPLY",$D271&lt;&gt;"QUOTE",$D271&lt;&gt;"CALLBACK"),"문의에 대한 답장이 아님: EXPRESS 또는 INQUIRY 동의 필요","OK: 이름·주소·연락처·수신거부 문구 넣기")))),"")))</f>
      </c>
      <c r="N271" s="40">
        <f>IF($H271="INQUIRY",IFERROR(EDATE(INDEX('견적 Quotes'!$B$3:$B$1002,MATCH($C271,'견적 Quotes'!$A$3:$A$1002,0)),'설정 Settings'!$C$20),""),"")</f>
      </c>
    </row>
    <row r="272" spans="12:14" x14ac:dyDescent="0.25">
      <c r="L272" s="42">
        <f>IF($A272="","",IF($G272="Y","완료 DONE",IF($F272="","날짜 없음",IF($F272&lt;'설정 Settings'!$C$15,"지남 OVERDUE",IF($F272='설정 Settings'!$C$15,"오늘 TODAY","예정 OPEN")))))</f>
      </c>
      <c r="M272" s="42">
        <f>IF($A272="","",IF($I272="Y","수신거부: 문자·이메일 보내지 않기",IF(OR($E272="SMS",$E272="EMAIL"),IF(OR($H272="",$H272="NONE"),"동의 근거 없음: 전화·방문만",IF($H272="INQUIRY",IF(N($N272)=0,"견적 요청일을 못 찾음: 관련 ID에 견적 ID(Q-…)를 넣었는지 확인",IF('설정 Settings'!$C$15&gt;N($N272),"문의 후 6개월 지남: 다른 동의 근거 필요","OK: 이름·주소·연락처·수신거부 문구 넣기")),IF($H272="REFERRAL","소개 후 첫 메시지만 OK: 소개자 이름 + 이름·주소·연락처·수신거부 문구. 두 번째부터는 다른 동의 근거 필요",IF(AND($H272="REPLY",$D272&lt;&gt;"QUOTE",$D272&lt;&gt;"CALLBACK"),"문의에 대한 답장이 아님: EXPRESS 또는 INQUIRY 동의 필요","OK: 이름·주소·연락처·수신거부 문구 넣기")))),"")))</f>
      </c>
      <c r="N272" s="40">
        <f>IF($H272="INQUIRY",IFERROR(EDATE(INDEX('견적 Quotes'!$B$3:$B$1002,MATCH($C272,'견적 Quotes'!$A$3:$A$1002,0)),'설정 Settings'!$C$20),""),"")</f>
      </c>
    </row>
    <row r="273" spans="12:14" x14ac:dyDescent="0.25">
      <c r="L273" s="42">
        <f>IF($A273="","",IF($G273="Y","완료 DONE",IF($F273="","날짜 없음",IF($F273&lt;'설정 Settings'!$C$15,"지남 OVERDUE",IF($F273='설정 Settings'!$C$15,"오늘 TODAY","예정 OPEN")))))</f>
      </c>
      <c r="M273" s="42">
        <f>IF($A273="","",IF($I273="Y","수신거부: 문자·이메일 보내지 않기",IF(OR($E273="SMS",$E273="EMAIL"),IF(OR($H273="",$H273="NONE"),"동의 근거 없음: 전화·방문만",IF($H273="INQUIRY",IF(N($N273)=0,"견적 요청일을 못 찾음: 관련 ID에 견적 ID(Q-…)를 넣었는지 확인",IF('설정 Settings'!$C$15&gt;N($N273),"문의 후 6개월 지남: 다른 동의 근거 필요","OK: 이름·주소·연락처·수신거부 문구 넣기")),IF($H273="REFERRAL","소개 후 첫 메시지만 OK: 소개자 이름 + 이름·주소·연락처·수신거부 문구. 두 번째부터는 다른 동의 근거 필요",IF(AND($H273="REPLY",$D273&lt;&gt;"QUOTE",$D273&lt;&gt;"CALLBACK"),"문의에 대한 답장이 아님: EXPRESS 또는 INQUIRY 동의 필요","OK: 이름·주소·연락처·수신거부 문구 넣기")))),"")))</f>
      </c>
      <c r="N273" s="40">
        <f>IF($H273="INQUIRY",IFERROR(EDATE(INDEX('견적 Quotes'!$B$3:$B$1002,MATCH($C273,'견적 Quotes'!$A$3:$A$1002,0)),'설정 Settings'!$C$20),""),"")</f>
      </c>
    </row>
    <row r="274" spans="12:14" x14ac:dyDescent="0.25">
      <c r="L274" s="42">
        <f>IF($A274="","",IF($G274="Y","완료 DONE",IF($F274="","날짜 없음",IF($F274&lt;'설정 Settings'!$C$15,"지남 OVERDUE",IF($F274='설정 Settings'!$C$15,"오늘 TODAY","예정 OPEN")))))</f>
      </c>
      <c r="M274" s="42">
        <f>IF($A274="","",IF($I274="Y","수신거부: 문자·이메일 보내지 않기",IF(OR($E274="SMS",$E274="EMAIL"),IF(OR($H274="",$H274="NONE"),"동의 근거 없음: 전화·방문만",IF($H274="INQUIRY",IF(N($N274)=0,"견적 요청일을 못 찾음: 관련 ID에 견적 ID(Q-…)를 넣었는지 확인",IF('설정 Settings'!$C$15&gt;N($N274),"문의 후 6개월 지남: 다른 동의 근거 필요","OK: 이름·주소·연락처·수신거부 문구 넣기")),IF($H274="REFERRAL","소개 후 첫 메시지만 OK: 소개자 이름 + 이름·주소·연락처·수신거부 문구. 두 번째부터는 다른 동의 근거 필요",IF(AND($H274="REPLY",$D274&lt;&gt;"QUOTE",$D274&lt;&gt;"CALLBACK"),"문의에 대한 답장이 아님: EXPRESS 또는 INQUIRY 동의 필요","OK: 이름·주소·연락처·수신거부 문구 넣기")))),"")))</f>
      </c>
      <c r="N274" s="40">
        <f>IF($H274="INQUIRY",IFERROR(EDATE(INDEX('견적 Quotes'!$B$3:$B$1002,MATCH($C274,'견적 Quotes'!$A$3:$A$1002,0)),'설정 Settings'!$C$20),""),"")</f>
      </c>
    </row>
    <row r="275" spans="12:14" x14ac:dyDescent="0.25">
      <c r="L275" s="42">
        <f>IF($A275="","",IF($G275="Y","완료 DONE",IF($F275="","날짜 없음",IF($F275&lt;'설정 Settings'!$C$15,"지남 OVERDUE",IF($F275='설정 Settings'!$C$15,"오늘 TODAY","예정 OPEN")))))</f>
      </c>
      <c r="M275" s="42">
        <f>IF($A275="","",IF($I275="Y","수신거부: 문자·이메일 보내지 않기",IF(OR($E275="SMS",$E275="EMAIL"),IF(OR($H275="",$H275="NONE"),"동의 근거 없음: 전화·방문만",IF($H275="INQUIRY",IF(N($N275)=0,"견적 요청일을 못 찾음: 관련 ID에 견적 ID(Q-…)를 넣었는지 확인",IF('설정 Settings'!$C$15&gt;N($N275),"문의 후 6개월 지남: 다른 동의 근거 필요","OK: 이름·주소·연락처·수신거부 문구 넣기")),IF($H275="REFERRAL","소개 후 첫 메시지만 OK: 소개자 이름 + 이름·주소·연락처·수신거부 문구. 두 번째부터는 다른 동의 근거 필요",IF(AND($H275="REPLY",$D275&lt;&gt;"QUOTE",$D275&lt;&gt;"CALLBACK"),"문의에 대한 답장이 아님: EXPRESS 또는 INQUIRY 동의 필요","OK: 이름·주소·연락처·수신거부 문구 넣기")))),"")))</f>
      </c>
      <c r="N275" s="40">
        <f>IF($H275="INQUIRY",IFERROR(EDATE(INDEX('견적 Quotes'!$B$3:$B$1002,MATCH($C275,'견적 Quotes'!$A$3:$A$1002,0)),'설정 Settings'!$C$20),""),"")</f>
      </c>
    </row>
    <row r="276" spans="12:14" x14ac:dyDescent="0.25">
      <c r="L276" s="42">
        <f>IF($A276="","",IF($G276="Y","완료 DONE",IF($F276="","날짜 없음",IF($F276&lt;'설정 Settings'!$C$15,"지남 OVERDUE",IF($F276='설정 Settings'!$C$15,"오늘 TODAY","예정 OPEN")))))</f>
      </c>
      <c r="M276" s="42">
        <f>IF($A276="","",IF($I276="Y","수신거부: 문자·이메일 보내지 않기",IF(OR($E276="SMS",$E276="EMAIL"),IF(OR($H276="",$H276="NONE"),"동의 근거 없음: 전화·방문만",IF($H276="INQUIRY",IF(N($N276)=0,"견적 요청일을 못 찾음: 관련 ID에 견적 ID(Q-…)를 넣었는지 확인",IF('설정 Settings'!$C$15&gt;N($N276),"문의 후 6개월 지남: 다른 동의 근거 필요","OK: 이름·주소·연락처·수신거부 문구 넣기")),IF($H276="REFERRAL","소개 후 첫 메시지만 OK: 소개자 이름 + 이름·주소·연락처·수신거부 문구. 두 번째부터는 다른 동의 근거 필요",IF(AND($H276="REPLY",$D276&lt;&gt;"QUOTE",$D276&lt;&gt;"CALLBACK"),"문의에 대한 답장이 아님: EXPRESS 또는 INQUIRY 동의 필요","OK: 이름·주소·연락처·수신거부 문구 넣기")))),"")))</f>
      </c>
      <c r="N276" s="40">
        <f>IF($H276="INQUIRY",IFERROR(EDATE(INDEX('견적 Quotes'!$B$3:$B$1002,MATCH($C276,'견적 Quotes'!$A$3:$A$1002,0)),'설정 Settings'!$C$20),""),"")</f>
      </c>
    </row>
    <row r="277" spans="12:14" x14ac:dyDescent="0.25">
      <c r="L277" s="42">
        <f>IF($A277="","",IF($G277="Y","완료 DONE",IF($F277="","날짜 없음",IF($F277&lt;'설정 Settings'!$C$15,"지남 OVERDUE",IF($F277='설정 Settings'!$C$15,"오늘 TODAY","예정 OPEN")))))</f>
      </c>
      <c r="M277" s="42">
        <f>IF($A277="","",IF($I277="Y","수신거부: 문자·이메일 보내지 않기",IF(OR($E277="SMS",$E277="EMAIL"),IF(OR($H277="",$H277="NONE"),"동의 근거 없음: 전화·방문만",IF($H277="INQUIRY",IF(N($N277)=0,"견적 요청일을 못 찾음: 관련 ID에 견적 ID(Q-…)를 넣었는지 확인",IF('설정 Settings'!$C$15&gt;N($N277),"문의 후 6개월 지남: 다른 동의 근거 필요","OK: 이름·주소·연락처·수신거부 문구 넣기")),IF($H277="REFERRAL","소개 후 첫 메시지만 OK: 소개자 이름 + 이름·주소·연락처·수신거부 문구. 두 번째부터는 다른 동의 근거 필요",IF(AND($H277="REPLY",$D277&lt;&gt;"QUOTE",$D277&lt;&gt;"CALLBACK"),"문의에 대한 답장이 아님: EXPRESS 또는 INQUIRY 동의 필요","OK: 이름·주소·연락처·수신거부 문구 넣기")))),"")))</f>
      </c>
      <c r="N277" s="40">
        <f>IF($H277="INQUIRY",IFERROR(EDATE(INDEX('견적 Quotes'!$B$3:$B$1002,MATCH($C277,'견적 Quotes'!$A$3:$A$1002,0)),'설정 Settings'!$C$20),""),"")</f>
      </c>
    </row>
    <row r="278" spans="12:14" x14ac:dyDescent="0.25">
      <c r="L278" s="42">
        <f>IF($A278="","",IF($G278="Y","완료 DONE",IF($F278="","날짜 없음",IF($F278&lt;'설정 Settings'!$C$15,"지남 OVERDUE",IF($F278='설정 Settings'!$C$15,"오늘 TODAY","예정 OPEN")))))</f>
      </c>
      <c r="M278" s="42">
        <f>IF($A278="","",IF($I278="Y","수신거부: 문자·이메일 보내지 않기",IF(OR($E278="SMS",$E278="EMAIL"),IF(OR($H278="",$H278="NONE"),"동의 근거 없음: 전화·방문만",IF($H278="INQUIRY",IF(N($N278)=0,"견적 요청일을 못 찾음: 관련 ID에 견적 ID(Q-…)를 넣었는지 확인",IF('설정 Settings'!$C$15&gt;N($N278),"문의 후 6개월 지남: 다른 동의 근거 필요","OK: 이름·주소·연락처·수신거부 문구 넣기")),IF($H278="REFERRAL","소개 후 첫 메시지만 OK: 소개자 이름 + 이름·주소·연락처·수신거부 문구. 두 번째부터는 다른 동의 근거 필요",IF(AND($H278="REPLY",$D278&lt;&gt;"QUOTE",$D278&lt;&gt;"CALLBACK"),"문의에 대한 답장이 아님: EXPRESS 또는 INQUIRY 동의 필요","OK: 이름·주소·연락처·수신거부 문구 넣기")))),"")))</f>
      </c>
      <c r="N278" s="40">
        <f>IF($H278="INQUIRY",IFERROR(EDATE(INDEX('견적 Quotes'!$B$3:$B$1002,MATCH($C278,'견적 Quotes'!$A$3:$A$1002,0)),'설정 Settings'!$C$20),""),"")</f>
      </c>
    </row>
    <row r="279" spans="12:14" x14ac:dyDescent="0.25">
      <c r="L279" s="42">
        <f>IF($A279="","",IF($G279="Y","완료 DONE",IF($F279="","날짜 없음",IF($F279&lt;'설정 Settings'!$C$15,"지남 OVERDUE",IF($F279='설정 Settings'!$C$15,"오늘 TODAY","예정 OPEN")))))</f>
      </c>
      <c r="M279" s="42">
        <f>IF($A279="","",IF($I279="Y","수신거부: 문자·이메일 보내지 않기",IF(OR($E279="SMS",$E279="EMAIL"),IF(OR($H279="",$H279="NONE"),"동의 근거 없음: 전화·방문만",IF($H279="INQUIRY",IF(N($N279)=0,"견적 요청일을 못 찾음: 관련 ID에 견적 ID(Q-…)를 넣었는지 확인",IF('설정 Settings'!$C$15&gt;N($N279),"문의 후 6개월 지남: 다른 동의 근거 필요","OK: 이름·주소·연락처·수신거부 문구 넣기")),IF($H279="REFERRAL","소개 후 첫 메시지만 OK: 소개자 이름 + 이름·주소·연락처·수신거부 문구. 두 번째부터는 다른 동의 근거 필요",IF(AND($H279="REPLY",$D279&lt;&gt;"QUOTE",$D279&lt;&gt;"CALLBACK"),"문의에 대한 답장이 아님: EXPRESS 또는 INQUIRY 동의 필요","OK: 이름·주소·연락처·수신거부 문구 넣기")))),"")))</f>
      </c>
      <c r="N279" s="40">
        <f>IF($H279="INQUIRY",IFERROR(EDATE(INDEX('견적 Quotes'!$B$3:$B$1002,MATCH($C279,'견적 Quotes'!$A$3:$A$1002,0)),'설정 Settings'!$C$20),""),"")</f>
      </c>
    </row>
    <row r="280" spans="12:14" x14ac:dyDescent="0.25">
      <c r="L280" s="42">
        <f>IF($A280="","",IF($G280="Y","완료 DONE",IF($F280="","날짜 없음",IF($F280&lt;'설정 Settings'!$C$15,"지남 OVERDUE",IF($F280='설정 Settings'!$C$15,"오늘 TODAY","예정 OPEN")))))</f>
      </c>
      <c r="M280" s="42">
        <f>IF($A280="","",IF($I280="Y","수신거부: 문자·이메일 보내지 않기",IF(OR($E280="SMS",$E280="EMAIL"),IF(OR($H280="",$H280="NONE"),"동의 근거 없음: 전화·방문만",IF($H280="INQUIRY",IF(N($N280)=0,"견적 요청일을 못 찾음: 관련 ID에 견적 ID(Q-…)를 넣었는지 확인",IF('설정 Settings'!$C$15&gt;N($N280),"문의 후 6개월 지남: 다른 동의 근거 필요","OK: 이름·주소·연락처·수신거부 문구 넣기")),IF($H280="REFERRAL","소개 후 첫 메시지만 OK: 소개자 이름 + 이름·주소·연락처·수신거부 문구. 두 번째부터는 다른 동의 근거 필요",IF(AND($H280="REPLY",$D280&lt;&gt;"QUOTE",$D280&lt;&gt;"CALLBACK"),"문의에 대한 답장이 아님: EXPRESS 또는 INQUIRY 동의 필요","OK: 이름·주소·연락처·수신거부 문구 넣기")))),"")))</f>
      </c>
      <c r="N280" s="40">
        <f>IF($H280="INQUIRY",IFERROR(EDATE(INDEX('견적 Quotes'!$B$3:$B$1002,MATCH($C280,'견적 Quotes'!$A$3:$A$1002,0)),'설정 Settings'!$C$20),""),"")</f>
      </c>
    </row>
    <row r="281" spans="12:14" x14ac:dyDescent="0.25">
      <c r="L281" s="42">
        <f>IF($A281="","",IF($G281="Y","완료 DONE",IF($F281="","날짜 없음",IF($F281&lt;'설정 Settings'!$C$15,"지남 OVERDUE",IF($F281='설정 Settings'!$C$15,"오늘 TODAY","예정 OPEN")))))</f>
      </c>
      <c r="M281" s="42">
        <f>IF($A281="","",IF($I281="Y","수신거부: 문자·이메일 보내지 않기",IF(OR($E281="SMS",$E281="EMAIL"),IF(OR($H281="",$H281="NONE"),"동의 근거 없음: 전화·방문만",IF($H281="INQUIRY",IF(N($N281)=0,"견적 요청일을 못 찾음: 관련 ID에 견적 ID(Q-…)를 넣었는지 확인",IF('설정 Settings'!$C$15&gt;N($N281),"문의 후 6개월 지남: 다른 동의 근거 필요","OK: 이름·주소·연락처·수신거부 문구 넣기")),IF($H281="REFERRAL","소개 후 첫 메시지만 OK: 소개자 이름 + 이름·주소·연락처·수신거부 문구. 두 번째부터는 다른 동의 근거 필요",IF(AND($H281="REPLY",$D281&lt;&gt;"QUOTE",$D281&lt;&gt;"CALLBACK"),"문의에 대한 답장이 아님: EXPRESS 또는 INQUIRY 동의 필요","OK: 이름·주소·연락처·수신거부 문구 넣기")))),"")))</f>
      </c>
      <c r="N281" s="40">
        <f>IF($H281="INQUIRY",IFERROR(EDATE(INDEX('견적 Quotes'!$B$3:$B$1002,MATCH($C281,'견적 Quotes'!$A$3:$A$1002,0)),'설정 Settings'!$C$20),""),"")</f>
      </c>
    </row>
    <row r="282" spans="12:14" x14ac:dyDescent="0.25">
      <c r="L282" s="42">
        <f>IF($A282="","",IF($G282="Y","완료 DONE",IF($F282="","날짜 없음",IF($F282&lt;'설정 Settings'!$C$15,"지남 OVERDUE",IF($F282='설정 Settings'!$C$15,"오늘 TODAY","예정 OPEN")))))</f>
      </c>
      <c r="M282" s="42">
        <f>IF($A282="","",IF($I282="Y","수신거부: 문자·이메일 보내지 않기",IF(OR($E282="SMS",$E282="EMAIL"),IF(OR($H282="",$H282="NONE"),"동의 근거 없음: 전화·방문만",IF($H282="INQUIRY",IF(N($N282)=0,"견적 요청일을 못 찾음: 관련 ID에 견적 ID(Q-…)를 넣었는지 확인",IF('설정 Settings'!$C$15&gt;N($N282),"문의 후 6개월 지남: 다른 동의 근거 필요","OK: 이름·주소·연락처·수신거부 문구 넣기")),IF($H282="REFERRAL","소개 후 첫 메시지만 OK: 소개자 이름 + 이름·주소·연락처·수신거부 문구. 두 번째부터는 다른 동의 근거 필요",IF(AND($H282="REPLY",$D282&lt;&gt;"QUOTE",$D282&lt;&gt;"CALLBACK"),"문의에 대한 답장이 아님: EXPRESS 또는 INQUIRY 동의 필요","OK: 이름·주소·연락처·수신거부 문구 넣기")))),"")))</f>
      </c>
      <c r="N282" s="40">
        <f>IF($H282="INQUIRY",IFERROR(EDATE(INDEX('견적 Quotes'!$B$3:$B$1002,MATCH($C282,'견적 Quotes'!$A$3:$A$1002,0)),'설정 Settings'!$C$20),""),"")</f>
      </c>
    </row>
    <row r="283" spans="12:14" x14ac:dyDescent="0.25">
      <c r="L283" s="42">
        <f>IF($A283="","",IF($G283="Y","완료 DONE",IF($F283="","날짜 없음",IF($F283&lt;'설정 Settings'!$C$15,"지남 OVERDUE",IF($F283='설정 Settings'!$C$15,"오늘 TODAY","예정 OPEN")))))</f>
      </c>
      <c r="M283" s="42">
        <f>IF($A283="","",IF($I283="Y","수신거부: 문자·이메일 보내지 않기",IF(OR($E283="SMS",$E283="EMAIL"),IF(OR($H283="",$H283="NONE"),"동의 근거 없음: 전화·방문만",IF($H283="INQUIRY",IF(N($N283)=0,"견적 요청일을 못 찾음: 관련 ID에 견적 ID(Q-…)를 넣었는지 확인",IF('설정 Settings'!$C$15&gt;N($N283),"문의 후 6개월 지남: 다른 동의 근거 필요","OK: 이름·주소·연락처·수신거부 문구 넣기")),IF($H283="REFERRAL","소개 후 첫 메시지만 OK: 소개자 이름 + 이름·주소·연락처·수신거부 문구. 두 번째부터는 다른 동의 근거 필요",IF(AND($H283="REPLY",$D283&lt;&gt;"QUOTE",$D283&lt;&gt;"CALLBACK"),"문의에 대한 답장이 아님: EXPRESS 또는 INQUIRY 동의 필요","OK: 이름·주소·연락처·수신거부 문구 넣기")))),"")))</f>
      </c>
      <c r="N283" s="40">
        <f>IF($H283="INQUIRY",IFERROR(EDATE(INDEX('견적 Quotes'!$B$3:$B$1002,MATCH($C283,'견적 Quotes'!$A$3:$A$1002,0)),'설정 Settings'!$C$20),""),"")</f>
      </c>
    </row>
    <row r="284" spans="12:14" x14ac:dyDescent="0.25">
      <c r="L284" s="42">
        <f>IF($A284="","",IF($G284="Y","완료 DONE",IF($F284="","날짜 없음",IF($F284&lt;'설정 Settings'!$C$15,"지남 OVERDUE",IF($F284='설정 Settings'!$C$15,"오늘 TODAY","예정 OPEN")))))</f>
      </c>
      <c r="M284" s="42">
        <f>IF($A284="","",IF($I284="Y","수신거부: 문자·이메일 보내지 않기",IF(OR($E284="SMS",$E284="EMAIL"),IF(OR($H284="",$H284="NONE"),"동의 근거 없음: 전화·방문만",IF($H284="INQUIRY",IF(N($N284)=0,"견적 요청일을 못 찾음: 관련 ID에 견적 ID(Q-…)를 넣었는지 확인",IF('설정 Settings'!$C$15&gt;N($N284),"문의 후 6개월 지남: 다른 동의 근거 필요","OK: 이름·주소·연락처·수신거부 문구 넣기")),IF($H284="REFERRAL","소개 후 첫 메시지만 OK: 소개자 이름 + 이름·주소·연락처·수신거부 문구. 두 번째부터는 다른 동의 근거 필요",IF(AND($H284="REPLY",$D284&lt;&gt;"QUOTE",$D284&lt;&gt;"CALLBACK"),"문의에 대한 답장이 아님: EXPRESS 또는 INQUIRY 동의 필요","OK: 이름·주소·연락처·수신거부 문구 넣기")))),"")))</f>
      </c>
      <c r="N284" s="40">
        <f>IF($H284="INQUIRY",IFERROR(EDATE(INDEX('견적 Quotes'!$B$3:$B$1002,MATCH($C284,'견적 Quotes'!$A$3:$A$1002,0)),'설정 Settings'!$C$20),""),"")</f>
      </c>
    </row>
    <row r="285" spans="12:14" x14ac:dyDescent="0.25">
      <c r="L285" s="42">
        <f>IF($A285="","",IF($G285="Y","완료 DONE",IF($F285="","날짜 없음",IF($F285&lt;'설정 Settings'!$C$15,"지남 OVERDUE",IF($F285='설정 Settings'!$C$15,"오늘 TODAY","예정 OPEN")))))</f>
      </c>
      <c r="M285" s="42">
        <f>IF($A285="","",IF($I285="Y","수신거부: 문자·이메일 보내지 않기",IF(OR($E285="SMS",$E285="EMAIL"),IF(OR($H285="",$H285="NONE"),"동의 근거 없음: 전화·방문만",IF($H285="INQUIRY",IF(N($N285)=0,"견적 요청일을 못 찾음: 관련 ID에 견적 ID(Q-…)를 넣었는지 확인",IF('설정 Settings'!$C$15&gt;N($N285),"문의 후 6개월 지남: 다른 동의 근거 필요","OK: 이름·주소·연락처·수신거부 문구 넣기")),IF($H285="REFERRAL","소개 후 첫 메시지만 OK: 소개자 이름 + 이름·주소·연락처·수신거부 문구. 두 번째부터는 다른 동의 근거 필요",IF(AND($H285="REPLY",$D285&lt;&gt;"QUOTE",$D285&lt;&gt;"CALLBACK"),"문의에 대한 답장이 아님: EXPRESS 또는 INQUIRY 동의 필요","OK: 이름·주소·연락처·수신거부 문구 넣기")))),"")))</f>
      </c>
      <c r="N285" s="40">
        <f>IF($H285="INQUIRY",IFERROR(EDATE(INDEX('견적 Quotes'!$B$3:$B$1002,MATCH($C285,'견적 Quotes'!$A$3:$A$1002,0)),'설정 Settings'!$C$20),""),"")</f>
      </c>
    </row>
    <row r="286" spans="12:14" x14ac:dyDescent="0.25">
      <c r="L286" s="42">
        <f>IF($A286="","",IF($G286="Y","완료 DONE",IF($F286="","날짜 없음",IF($F286&lt;'설정 Settings'!$C$15,"지남 OVERDUE",IF($F286='설정 Settings'!$C$15,"오늘 TODAY","예정 OPEN")))))</f>
      </c>
      <c r="M286" s="42">
        <f>IF($A286="","",IF($I286="Y","수신거부: 문자·이메일 보내지 않기",IF(OR($E286="SMS",$E286="EMAIL"),IF(OR($H286="",$H286="NONE"),"동의 근거 없음: 전화·방문만",IF($H286="INQUIRY",IF(N($N286)=0,"견적 요청일을 못 찾음: 관련 ID에 견적 ID(Q-…)를 넣었는지 확인",IF('설정 Settings'!$C$15&gt;N($N286),"문의 후 6개월 지남: 다른 동의 근거 필요","OK: 이름·주소·연락처·수신거부 문구 넣기")),IF($H286="REFERRAL","소개 후 첫 메시지만 OK: 소개자 이름 + 이름·주소·연락처·수신거부 문구. 두 번째부터는 다른 동의 근거 필요",IF(AND($H286="REPLY",$D286&lt;&gt;"QUOTE",$D286&lt;&gt;"CALLBACK"),"문의에 대한 답장이 아님: EXPRESS 또는 INQUIRY 동의 필요","OK: 이름·주소·연락처·수신거부 문구 넣기")))),"")))</f>
      </c>
      <c r="N286" s="40">
        <f>IF($H286="INQUIRY",IFERROR(EDATE(INDEX('견적 Quotes'!$B$3:$B$1002,MATCH($C286,'견적 Quotes'!$A$3:$A$1002,0)),'설정 Settings'!$C$20),""),"")</f>
      </c>
    </row>
    <row r="287" spans="12:14" x14ac:dyDescent="0.25">
      <c r="L287" s="42">
        <f>IF($A287="","",IF($G287="Y","완료 DONE",IF($F287="","날짜 없음",IF($F287&lt;'설정 Settings'!$C$15,"지남 OVERDUE",IF($F287='설정 Settings'!$C$15,"오늘 TODAY","예정 OPEN")))))</f>
      </c>
      <c r="M287" s="42">
        <f>IF($A287="","",IF($I287="Y","수신거부: 문자·이메일 보내지 않기",IF(OR($E287="SMS",$E287="EMAIL"),IF(OR($H287="",$H287="NONE"),"동의 근거 없음: 전화·방문만",IF($H287="INQUIRY",IF(N($N287)=0,"견적 요청일을 못 찾음: 관련 ID에 견적 ID(Q-…)를 넣었는지 확인",IF('설정 Settings'!$C$15&gt;N($N287),"문의 후 6개월 지남: 다른 동의 근거 필요","OK: 이름·주소·연락처·수신거부 문구 넣기")),IF($H287="REFERRAL","소개 후 첫 메시지만 OK: 소개자 이름 + 이름·주소·연락처·수신거부 문구. 두 번째부터는 다른 동의 근거 필요",IF(AND($H287="REPLY",$D287&lt;&gt;"QUOTE",$D287&lt;&gt;"CALLBACK"),"문의에 대한 답장이 아님: EXPRESS 또는 INQUIRY 동의 필요","OK: 이름·주소·연락처·수신거부 문구 넣기")))),"")))</f>
      </c>
      <c r="N287" s="40">
        <f>IF($H287="INQUIRY",IFERROR(EDATE(INDEX('견적 Quotes'!$B$3:$B$1002,MATCH($C287,'견적 Quotes'!$A$3:$A$1002,0)),'설정 Settings'!$C$20),""),"")</f>
      </c>
    </row>
    <row r="288" spans="12:14" x14ac:dyDescent="0.25">
      <c r="L288" s="42">
        <f>IF($A288="","",IF($G288="Y","완료 DONE",IF($F288="","날짜 없음",IF($F288&lt;'설정 Settings'!$C$15,"지남 OVERDUE",IF($F288='설정 Settings'!$C$15,"오늘 TODAY","예정 OPEN")))))</f>
      </c>
      <c r="M288" s="42">
        <f>IF($A288="","",IF($I288="Y","수신거부: 문자·이메일 보내지 않기",IF(OR($E288="SMS",$E288="EMAIL"),IF(OR($H288="",$H288="NONE"),"동의 근거 없음: 전화·방문만",IF($H288="INQUIRY",IF(N($N288)=0,"견적 요청일을 못 찾음: 관련 ID에 견적 ID(Q-…)를 넣었는지 확인",IF('설정 Settings'!$C$15&gt;N($N288),"문의 후 6개월 지남: 다른 동의 근거 필요","OK: 이름·주소·연락처·수신거부 문구 넣기")),IF($H288="REFERRAL","소개 후 첫 메시지만 OK: 소개자 이름 + 이름·주소·연락처·수신거부 문구. 두 번째부터는 다른 동의 근거 필요",IF(AND($H288="REPLY",$D288&lt;&gt;"QUOTE",$D288&lt;&gt;"CALLBACK"),"문의에 대한 답장이 아님: EXPRESS 또는 INQUIRY 동의 필요","OK: 이름·주소·연락처·수신거부 문구 넣기")))),"")))</f>
      </c>
      <c r="N288" s="40">
        <f>IF($H288="INQUIRY",IFERROR(EDATE(INDEX('견적 Quotes'!$B$3:$B$1002,MATCH($C288,'견적 Quotes'!$A$3:$A$1002,0)),'설정 Settings'!$C$20),""),"")</f>
      </c>
    </row>
    <row r="289" spans="12:14" x14ac:dyDescent="0.25">
      <c r="L289" s="42">
        <f>IF($A289="","",IF($G289="Y","완료 DONE",IF($F289="","날짜 없음",IF($F289&lt;'설정 Settings'!$C$15,"지남 OVERDUE",IF($F289='설정 Settings'!$C$15,"오늘 TODAY","예정 OPEN")))))</f>
      </c>
      <c r="M289" s="42">
        <f>IF($A289="","",IF($I289="Y","수신거부: 문자·이메일 보내지 않기",IF(OR($E289="SMS",$E289="EMAIL"),IF(OR($H289="",$H289="NONE"),"동의 근거 없음: 전화·방문만",IF($H289="INQUIRY",IF(N($N289)=0,"견적 요청일을 못 찾음: 관련 ID에 견적 ID(Q-…)를 넣었는지 확인",IF('설정 Settings'!$C$15&gt;N($N289),"문의 후 6개월 지남: 다른 동의 근거 필요","OK: 이름·주소·연락처·수신거부 문구 넣기")),IF($H289="REFERRAL","소개 후 첫 메시지만 OK: 소개자 이름 + 이름·주소·연락처·수신거부 문구. 두 번째부터는 다른 동의 근거 필요",IF(AND($H289="REPLY",$D289&lt;&gt;"QUOTE",$D289&lt;&gt;"CALLBACK"),"문의에 대한 답장이 아님: EXPRESS 또는 INQUIRY 동의 필요","OK: 이름·주소·연락처·수신거부 문구 넣기")))),"")))</f>
      </c>
      <c r="N289" s="40">
        <f>IF($H289="INQUIRY",IFERROR(EDATE(INDEX('견적 Quotes'!$B$3:$B$1002,MATCH($C289,'견적 Quotes'!$A$3:$A$1002,0)),'설정 Settings'!$C$20),""),"")</f>
      </c>
    </row>
    <row r="290" spans="12:14" x14ac:dyDescent="0.25">
      <c r="L290" s="42">
        <f>IF($A290="","",IF($G290="Y","완료 DONE",IF($F290="","날짜 없음",IF($F290&lt;'설정 Settings'!$C$15,"지남 OVERDUE",IF($F290='설정 Settings'!$C$15,"오늘 TODAY","예정 OPEN")))))</f>
      </c>
      <c r="M290" s="42">
        <f>IF($A290="","",IF($I290="Y","수신거부: 문자·이메일 보내지 않기",IF(OR($E290="SMS",$E290="EMAIL"),IF(OR($H290="",$H290="NONE"),"동의 근거 없음: 전화·방문만",IF($H290="INQUIRY",IF(N($N290)=0,"견적 요청일을 못 찾음: 관련 ID에 견적 ID(Q-…)를 넣었는지 확인",IF('설정 Settings'!$C$15&gt;N($N290),"문의 후 6개월 지남: 다른 동의 근거 필요","OK: 이름·주소·연락처·수신거부 문구 넣기")),IF($H290="REFERRAL","소개 후 첫 메시지만 OK: 소개자 이름 + 이름·주소·연락처·수신거부 문구. 두 번째부터는 다른 동의 근거 필요",IF(AND($H290="REPLY",$D290&lt;&gt;"QUOTE",$D290&lt;&gt;"CALLBACK"),"문의에 대한 답장이 아님: EXPRESS 또는 INQUIRY 동의 필요","OK: 이름·주소·연락처·수신거부 문구 넣기")))),"")))</f>
      </c>
      <c r="N290" s="40">
        <f>IF($H290="INQUIRY",IFERROR(EDATE(INDEX('견적 Quotes'!$B$3:$B$1002,MATCH($C290,'견적 Quotes'!$A$3:$A$1002,0)),'설정 Settings'!$C$20),""),"")</f>
      </c>
    </row>
    <row r="291" spans="12:14" x14ac:dyDescent="0.25">
      <c r="L291" s="42">
        <f>IF($A291="","",IF($G291="Y","완료 DONE",IF($F291="","날짜 없음",IF($F291&lt;'설정 Settings'!$C$15,"지남 OVERDUE",IF($F291='설정 Settings'!$C$15,"오늘 TODAY","예정 OPEN")))))</f>
      </c>
      <c r="M291" s="42">
        <f>IF($A291="","",IF($I291="Y","수신거부: 문자·이메일 보내지 않기",IF(OR($E291="SMS",$E291="EMAIL"),IF(OR($H291="",$H291="NONE"),"동의 근거 없음: 전화·방문만",IF($H291="INQUIRY",IF(N($N291)=0,"견적 요청일을 못 찾음: 관련 ID에 견적 ID(Q-…)를 넣었는지 확인",IF('설정 Settings'!$C$15&gt;N($N291),"문의 후 6개월 지남: 다른 동의 근거 필요","OK: 이름·주소·연락처·수신거부 문구 넣기")),IF($H291="REFERRAL","소개 후 첫 메시지만 OK: 소개자 이름 + 이름·주소·연락처·수신거부 문구. 두 번째부터는 다른 동의 근거 필요",IF(AND($H291="REPLY",$D291&lt;&gt;"QUOTE",$D291&lt;&gt;"CALLBACK"),"문의에 대한 답장이 아님: EXPRESS 또는 INQUIRY 동의 필요","OK: 이름·주소·연락처·수신거부 문구 넣기")))),"")))</f>
      </c>
      <c r="N291" s="40">
        <f>IF($H291="INQUIRY",IFERROR(EDATE(INDEX('견적 Quotes'!$B$3:$B$1002,MATCH($C291,'견적 Quotes'!$A$3:$A$1002,0)),'설정 Settings'!$C$20),""),"")</f>
      </c>
    </row>
    <row r="292" spans="12:14" x14ac:dyDescent="0.25">
      <c r="L292" s="42">
        <f>IF($A292="","",IF($G292="Y","완료 DONE",IF($F292="","날짜 없음",IF($F292&lt;'설정 Settings'!$C$15,"지남 OVERDUE",IF($F292='설정 Settings'!$C$15,"오늘 TODAY","예정 OPEN")))))</f>
      </c>
      <c r="M292" s="42">
        <f>IF($A292="","",IF($I292="Y","수신거부: 문자·이메일 보내지 않기",IF(OR($E292="SMS",$E292="EMAIL"),IF(OR($H292="",$H292="NONE"),"동의 근거 없음: 전화·방문만",IF($H292="INQUIRY",IF(N($N292)=0,"견적 요청일을 못 찾음: 관련 ID에 견적 ID(Q-…)를 넣었는지 확인",IF('설정 Settings'!$C$15&gt;N($N292),"문의 후 6개월 지남: 다른 동의 근거 필요","OK: 이름·주소·연락처·수신거부 문구 넣기")),IF($H292="REFERRAL","소개 후 첫 메시지만 OK: 소개자 이름 + 이름·주소·연락처·수신거부 문구. 두 번째부터는 다른 동의 근거 필요",IF(AND($H292="REPLY",$D292&lt;&gt;"QUOTE",$D292&lt;&gt;"CALLBACK"),"문의에 대한 답장이 아님: EXPRESS 또는 INQUIRY 동의 필요","OK: 이름·주소·연락처·수신거부 문구 넣기")))),"")))</f>
      </c>
      <c r="N292" s="40">
        <f>IF($H292="INQUIRY",IFERROR(EDATE(INDEX('견적 Quotes'!$B$3:$B$1002,MATCH($C292,'견적 Quotes'!$A$3:$A$1002,0)),'설정 Settings'!$C$20),""),"")</f>
      </c>
    </row>
    <row r="293" spans="12:14" x14ac:dyDescent="0.25">
      <c r="L293" s="42">
        <f>IF($A293="","",IF($G293="Y","완료 DONE",IF($F293="","날짜 없음",IF($F293&lt;'설정 Settings'!$C$15,"지남 OVERDUE",IF($F293='설정 Settings'!$C$15,"오늘 TODAY","예정 OPEN")))))</f>
      </c>
      <c r="M293" s="42">
        <f>IF($A293="","",IF($I293="Y","수신거부: 문자·이메일 보내지 않기",IF(OR($E293="SMS",$E293="EMAIL"),IF(OR($H293="",$H293="NONE"),"동의 근거 없음: 전화·방문만",IF($H293="INQUIRY",IF(N($N293)=0,"견적 요청일을 못 찾음: 관련 ID에 견적 ID(Q-…)를 넣었는지 확인",IF('설정 Settings'!$C$15&gt;N($N293),"문의 후 6개월 지남: 다른 동의 근거 필요","OK: 이름·주소·연락처·수신거부 문구 넣기")),IF($H293="REFERRAL","소개 후 첫 메시지만 OK: 소개자 이름 + 이름·주소·연락처·수신거부 문구. 두 번째부터는 다른 동의 근거 필요",IF(AND($H293="REPLY",$D293&lt;&gt;"QUOTE",$D293&lt;&gt;"CALLBACK"),"문의에 대한 답장이 아님: EXPRESS 또는 INQUIRY 동의 필요","OK: 이름·주소·연락처·수신거부 문구 넣기")))),"")))</f>
      </c>
      <c r="N293" s="40">
        <f>IF($H293="INQUIRY",IFERROR(EDATE(INDEX('견적 Quotes'!$B$3:$B$1002,MATCH($C293,'견적 Quotes'!$A$3:$A$1002,0)),'설정 Settings'!$C$20),""),"")</f>
      </c>
    </row>
    <row r="294" spans="12:14" x14ac:dyDescent="0.25">
      <c r="L294" s="42">
        <f>IF($A294="","",IF($G294="Y","완료 DONE",IF($F294="","날짜 없음",IF($F294&lt;'설정 Settings'!$C$15,"지남 OVERDUE",IF($F294='설정 Settings'!$C$15,"오늘 TODAY","예정 OPEN")))))</f>
      </c>
      <c r="M294" s="42">
        <f>IF($A294="","",IF($I294="Y","수신거부: 문자·이메일 보내지 않기",IF(OR($E294="SMS",$E294="EMAIL"),IF(OR($H294="",$H294="NONE"),"동의 근거 없음: 전화·방문만",IF($H294="INQUIRY",IF(N($N294)=0,"견적 요청일을 못 찾음: 관련 ID에 견적 ID(Q-…)를 넣었는지 확인",IF('설정 Settings'!$C$15&gt;N($N294),"문의 후 6개월 지남: 다른 동의 근거 필요","OK: 이름·주소·연락처·수신거부 문구 넣기")),IF($H294="REFERRAL","소개 후 첫 메시지만 OK: 소개자 이름 + 이름·주소·연락처·수신거부 문구. 두 번째부터는 다른 동의 근거 필요",IF(AND($H294="REPLY",$D294&lt;&gt;"QUOTE",$D294&lt;&gt;"CALLBACK"),"문의에 대한 답장이 아님: EXPRESS 또는 INQUIRY 동의 필요","OK: 이름·주소·연락처·수신거부 문구 넣기")))),"")))</f>
      </c>
      <c r="N294" s="40">
        <f>IF($H294="INQUIRY",IFERROR(EDATE(INDEX('견적 Quotes'!$B$3:$B$1002,MATCH($C294,'견적 Quotes'!$A$3:$A$1002,0)),'설정 Settings'!$C$20),""),"")</f>
      </c>
    </row>
    <row r="295" spans="12:14" x14ac:dyDescent="0.25">
      <c r="L295" s="42">
        <f>IF($A295="","",IF($G295="Y","완료 DONE",IF($F295="","날짜 없음",IF($F295&lt;'설정 Settings'!$C$15,"지남 OVERDUE",IF($F295='설정 Settings'!$C$15,"오늘 TODAY","예정 OPEN")))))</f>
      </c>
      <c r="M295" s="42">
        <f>IF($A295="","",IF($I295="Y","수신거부: 문자·이메일 보내지 않기",IF(OR($E295="SMS",$E295="EMAIL"),IF(OR($H295="",$H295="NONE"),"동의 근거 없음: 전화·방문만",IF($H295="INQUIRY",IF(N($N295)=0,"견적 요청일을 못 찾음: 관련 ID에 견적 ID(Q-…)를 넣었는지 확인",IF('설정 Settings'!$C$15&gt;N($N295),"문의 후 6개월 지남: 다른 동의 근거 필요","OK: 이름·주소·연락처·수신거부 문구 넣기")),IF($H295="REFERRAL","소개 후 첫 메시지만 OK: 소개자 이름 + 이름·주소·연락처·수신거부 문구. 두 번째부터는 다른 동의 근거 필요",IF(AND($H295="REPLY",$D295&lt;&gt;"QUOTE",$D295&lt;&gt;"CALLBACK"),"문의에 대한 답장이 아님: EXPRESS 또는 INQUIRY 동의 필요","OK: 이름·주소·연락처·수신거부 문구 넣기")))),"")))</f>
      </c>
      <c r="N295" s="40">
        <f>IF($H295="INQUIRY",IFERROR(EDATE(INDEX('견적 Quotes'!$B$3:$B$1002,MATCH($C295,'견적 Quotes'!$A$3:$A$1002,0)),'설정 Settings'!$C$20),""),"")</f>
      </c>
    </row>
    <row r="296" spans="12:14" x14ac:dyDescent="0.25">
      <c r="L296" s="42">
        <f>IF($A296="","",IF($G296="Y","완료 DONE",IF($F296="","날짜 없음",IF($F296&lt;'설정 Settings'!$C$15,"지남 OVERDUE",IF($F296='설정 Settings'!$C$15,"오늘 TODAY","예정 OPEN")))))</f>
      </c>
      <c r="M296" s="42">
        <f>IF($A296="","",IF($I296="Y","수신거부: 문자·이메일 보내지 않기",IF(OR($E296="SMS",$E296="EMAIL"),IF(OR($H296="",$H296="NONE"),"동의 근거 없음: 전화·방문만",IF($H296="INQUIRY",IF(N($N296)=0,"견적 요청일을 못 찾음: 관련 ID에 견적 ID(Q-…)를 넣었는지 확인",IF('설정 Settings'!$C$15&gt;N($N296),"문의 후 6개월 지남: 다른 동의 근거 필요","OK: 이름·주소·연락처·수신거부 문구 넣기")),IF($H296="REFERRAL","소개 후 첫 메시지만 OK: 소개자 이름 + 이름·주소·연락처·수신거부 문구. 두 번째부터는 다른 동의 근거 필요",IF(AND($H296="REPLY",$D296&lt;&gt;"QUOTE",$D296&lt;&gt;"CALLBACK"),"문의에 대한 답장이 아님: EXPRESS 또는 INQUIRY 동의 필요","OK: 이름·주소·연락처·수신거부 문구 넣기")))),"")))</f>
      </c>
      <c r="N296" s="40">
        <f>IF($H296="INQUIRY",IFERROR(EDATE(INDEX('견적 Quotes'!$B$3:$B$1002,MATCH($C296,'견적 Quotes'!$A$3:$A$1002,0)),'설정 Settings'!$C$20),""),"")</f>
      </c>
    </row>
    <row r="297" spans="12:14" x14ac:dyDescent="0.25">
      <c r="L297" s="42">
        <f>IF($A297="","",IF($G297="Y","완료 DONE",IF($F297="","날짜 없음",IF($F297&lt;'설정 Settings'!$C$15,"지남 OVERDUE",IF($F297='설정 Settings'!$C$15,"오늘 TODAY","예정 OPEN")))))</f>
      </c>
      <c r="M297" s="42">
        <f>IF($A297="","",IF($I297="Y","수신거부: 문자·이메일 보내지 않기",IF(OR($E297="SMS",$E297="EMAIL"),IF(OR($H297="",$H297="NONE"),"동의 근거 없음: 전화·방문만",IF($H297="INQUIRY",IF(N($N297)=0,"견적 요청일을 못 찾음: 관련 ID에 견적 ID(Q-…)를 넣었는지 확인",IF('설정 Settings'!$C$15&gt;N($N297),"문의 후 6개월 지남: 다른 동의 근거 필요","OK: 이름·주소·연락처·수신거부 문구 넣기")),IF($H297="REFERRAL","소개 후 첫 메시지만 OK: 소개자 이름 + 이름·주소·연락처·수신거부 문구. 두 번째부터는 다른 동의 근거 필요",IF(AND($H297="REPLY",$D297&lt;&gt;"QUOTE",$D297&lt;&gt;"CALLBACK"),"문의에 대한 답장이 아님: EXPRESS 또는 INQUIRY 동의 필요","OK: 이름·주소·연락처·수신거부 문구 넣기")))),"")))</f>
      </c>
      <c r="N297" s="40">
        <f>IF($H297="INQUIRY",IFERROR(EDATE(INDEX('견적 Quotes'!$B$3:$B$1002,MATCH($C297,'견적 Quotes'!$A$3:$A$1002,0)),'설정 Settings'!$C$20),""),"")</f>
      </c>
    </row>
    <row r="298" spans="12:14" x14ac:dyDescent="0.25">
      <c r="L298" s="42">
        <f>IF($A298="","",IF($G298="Y","완료 DONE",IF($F298="","날짜 없음",IF($F298&lt;'설정 Settings'!$C$15,"지남 OVERDUE",IF($F298='설정 Settings'!$C$15,"오늘 TODAY","예정 OPEN")))))</f>
      </c>
      <c r="M298" s="42">
        <f>IF($A298="","",IF($I298="Y","수신거부: 문자·이메일 보내지 않기",IF(OR($E298="SMS",$E298="EMAIL"),IF(OR($H298="",$H298="NONE"),"동의 근거 없음: 전화·방문만",IF($H298="INQUIRY",IF(N($N298)=0,"견적 요청일을 못 찾음: 관련 ID에 견적 ID(Q-…)를 넣었는지 확인",IF('설정 Settings'!$C$15&gt;N($N298),"문의 후 6개월 지남: 다른 동의 근거 필요","OK: 이름·주소·연락처·수신거부 문구 넣기")),IF($H298="REFERRAL","소개 후 첫 메시지만 OK: 소개자 이름 + 이름·주소·연락처·수신거부 문구. 두 번째부터는 다른 동의 근거 필요",IF(AND($H298="REPLY",$D298&lt;&gt;"QUOTE",$D298&lt;&gt;"CALLBACK"),"문의에 대한 답장이 아님: EXPRESS 또는 INQUIRY 동의 필요","OK: 이름·주소·연락처·수신거부 문구 넣기")))),"")))</f>
      </c>
      <c r="N298" s="40">
        <f>IF($H298="INQUIRY",IFERROR(EDATE(INDEX('견적 Quotes'!$B$3:$B$1002,MATCH($C298,'견적 Quotes'!$A$3:$A$1002,0)),'설정 Settings'!$C$20),""),"")</f>
      </c>
    </row>
    <row r="299" spans="12:14" x14ac:dyDescent="0.25">
      <c r="L299" s="42">
        <f>IF($A299="","",IF($G299="Y","완료 DONE",IF($F299="","날짜 없음",IF($F299&lt;'설정 Settings'!$C$15,"지남 OVERDUE",IF($F299='설정 Settings'!$C$15,"오늘 TODAY","예정 OPEN")))))</f>
      </c>
      <c r="M299" s="42">
        <f>IF($A299="","",IF($I299="Y","수신거부: 문자·이메일 보내지 않기",IF(OR($E299="SMS",$E299="EMAIL"),IF(OR($H299="",$H299="NONE"),"동의 근거 없음: 전화·방문만",IF($H299="INQUIRY",IF(N($N299)=0,"견적 요청일을 못 찾음: 관련 ID에 견적 ID(Q-…)를 넣었는지 확인",IF('설정 Settings'!$C$15&gt;N($N299),"문의 후 6개월 지남: 다른 동의 근거 필요","OK: 이름·주소·연락처·수신거부 문구 넣기")),IF($H299="REFERRAL","소개 후 첫 메시지만 OK: 소개자 이름 + 이름·주소·연락처·수신거부 문구. 두 번째부터는 다른 동의 근거 필요",IF(AND($H299="REPLY",$D299&lt;&gt;"QUOTE",$D299&lt;&gt;"CALLBACK"),"문의에 대한 답장이 아님: EXPRESS 또는 INQUIRY 동의 필요","OK: 이름·주소·연락처·수신거부 문구 넣기")))),"")))</f>
      </c>
      <c r="N299" s="40">
        <f>IF($H299="INQUIRY",IFERROR(EDATE(INDEX('견적 Quotes'!$B$3:$B$1002,MATCH($C299,'견적 Quotes'!$A$3:$A$1002,0)),'설정 Settings'!$C$20),""),"")</f>
      </c>
    </row>
    <row r="300" spans="12:14" x14ac:dyDescent="0.25">
      <c r="L300" s="42">
        <f>IF($A300="","",IF($G300="Y","완료 DONE",IF($F300="","날짜 없음",IF($F300&lt;'설정 Settings'!$C$15,"지남 OVERDUE",IF($F300='설정 Settings'!$C$15,"오늘 TODAY","예정 OPEN")))))</f>
      </c>
      <c r="M300" s="42">
        <f>IF($A300="","",IF($I300="Y","수신거부: 문자·이메일 보내지 않기",IF(OR($E300="SMS",$E300="EMAIL"),IF(OR($H300="",$H300="NONE"),"동의 근거 없음: 전화·방문만",IF($H300="INQUIRY",IF(N($N300)=0,"견적 요청일을 못 찾음: 관련 ID에 견적 ID(Q-…)를 넣었는지 확인",IF('설정 Settings'!$C$15&gt;N($N300),"문의 후 6개월 지남: 다른 동의 근거 필요","OK: 이름·주소·연락처·수신거부 문구 넣기")),IF($H300="REFERRAL","소개 후 첫 메시지만 OK: 소개자 이름 + 이름·주소·연락처·수신거부 문구. 두 번째부터는 다른 동의 근거 필요",IF(AND($H300="REPLY",$D300&lt;&gt;"QUOTE",$D300&lt;&gt;"CALLBACK"),"문의에 대한 답장이 아님: EXPRESS 또는 INQUIRY 동의 필요","OK: 이름·주소·연락처·수신거부 문구 넣기")))),"")))</f>
      </c>
      <c r="N300" s="40">
        <f>IF($H300="INQUIRY",IFERROR(EDATE(INDEX('견적 Quotes'!$B$3:$B$1002,MATCH($C300,'견적 Quotes'!$A$3:$A$1002,0)),'설정 Settings'!$C$20),""),"")</f>
      </c>
    </row>
    <row r="301" spans="12:14" x14ac:dyDescent="0.25">
      <c r="L301" s="42">
        <f>IF($A301="","",IF($G301="Y","완료 DONE",IF($F301="","날짜 없음",IF($F301&lt;'설정 Settings'!$C$15,"지남 OVERDUE",IF($F301='설정 Settings'!$C$15,"오늘 TODAY","예정 OPEN")))))</f>
      </c>
      <c r="M301" s="42">
        <f>IF($A301="","",IF($I301="Y","수신거부: 문자·이메일 보내지 않기",IF(OR($E301="SMS",$E301="EMAIL"),IF(OR($H301="",$H301="NONE"),"동의 근거 없음: 전화·방문만",IF($H301="INQUIRY",IF(N($N301)=0,"견적 요청일을 못 찾음: 관련 ID에 견적 ID(Q-…)를 넣었는지 확인",IF('설정 Settings'!$C$15&gt;N($N301),"문의 후 6개월 지남: 다른 동의 근거 필요","OK: 이름·주소·연락처·수신거부 문구 넣기")),IF($H301="REFERRAL","소개 후 첫 메시지만 OK: 소개자 이름 + 이름·주소·연락처·수신거부 문구. 두 번째부터는 다른 동의 근거 필요",IF(AND($H301="REPLY",$D301&lt;&gt;"QUOTE",$D301&lt;&gt;"CALLBACK"),"문의에 대한 답장이 아님: EXPRESS 또는 INQUIRY 동의 필요","OK: 이름·주소·연락처·수신거부 문구 넣기")))),"")))</f>
      </c>
      <c r="N301" s="40">
        <f>IF($H301="INQUIRY",IFERROR(EDATE(INDEX('견적 Quotes'!$B$3:$B$1002,MATCH($C301,'견적 Quotes'!$A$3:$A$1002,0)),'설정 Settings'!$C$20),""),"")</f>
      </c>
    </row>
    <row r="302" spans="12:14" x14ac:dyDescent="0.25">
      <c r="L302" s="42">
        <f>IF($A302="","",IF($G302="Y","완료 DONE",IF($F302="","날짜 없음",IF($F302&lt;'설정 Settings'!$C$15,"지남 OVERDUE",IF($F302='설정 Settings'!$C$15,"오늘 TODAY","예정 OPEN")))))</f>
      </c>
      <c r="M302" s="42">
        <f>IF($A302="","",IF($I302="Y","수신거부: 문자·이메일 보내지 않기",IF(OR($E302="SMS",$E302="EMAIL"),IF(OR($H302="",$H302="NONE"),"동의 근거 없음: 전화·방문만",IF($H302="INQUIRY",IF(N($N302)=0,"견적 요청일을 못 찾음: 관련 ID에 견적 ID(Q-…)를 넣었는지 확인",IF('설정 Settings'!$C$15&gt;N($N302),"문의 후 6개월 지남: 다른 동의 근거 필요","OK: 이름·주소·연락처·수신거부 문구 넣기")),IF($H302="REFERRAL","소개 후 첫 메시지만 OK: 소개자 이름 + 이름·주소·연락처·수신거부 문구. 두 번째부터는 다른 동의 근거 필요",IF(AND($H302="REPLY",$D302&lt;&gt;"QUOTE",$D302&lt;&gt;"CALLBACK"),"문의에 대한 답장이 아님: EXPRESS 또는 INQUIRY 동의 필요","OK: 이름·주소·연락처·수신거부 문구 넣기")))),"")))</f>
      </c>
      <c r="N302" s="40">
        <f>IF($H302="INQUIRY",IFERROR(EDATE(INDEX('견적 Quotes'!$B$3:$B$1002,MATCH($C302,'견적 Quotes'!$A$3:$A$1002,0)),'설정 Settings'!$C$20),""),"")</f>
      </c>
    </row>
    <row r="303" spans="12:14" x14ac:dyDescent="0.25">
      <c r="L303" s="42">
        <f>IF($A303="","",IF($G303="Y","완료 DONE",IF($F303="","날짜 없음",IF($F303&lt;'설정 Settings'!$C$15,"지남 OVERDUE",IF($F303='설정 Settings'!$C$15,"오늘 TODAY","예정 OPEN")))))</f>
      </c>
      <c r="M303" s="42">
        <f>IF($A303="","",IF($I303="Y","수신거부: 문자·이메일 보내지 않기",IF(OR($E303="SMS",$E303="EMAIL"),IF(OR($H303="",$H303="NONE"),"동의 근거 없음: 전화·방문만",IF($H303="INQUIRY",IF(N($N303)=0,"견적 요청일을 못 찾음: 관련 ID에 견적 ID(Q-…)를 넣었는지 확인",IF('설정 Settings'!$C$15&gt;N($N303),"문의 후 6개월 지남: 다른 동의 근거 필요","OK: 이름·주소·연락처·수신거부 문구 넣기")),IF($H303="REFERRAL","소개 후 첫 메시지만 OK: 소개자 이름 + 이름·주소·연락처·수신거부 문구. 두 번째부터는 다른 동의 근거 필요",IF(AND($H303="REPLY",$D303&lt;&gt;"QUOTE",$D303&lt;&gt;"CALLBACK"),"문의에 대한 답장이 아님: EXPRESS 또는 INQUIRY 동의 필요","OK: 이름·주소·연락처·수신거부 문구 넣기")))),"")))</f>
      </c>
      <c r="N303" s="40">
        <f>IF($H303="INQUIRY",IFERROR(EDATE(INDEX('견적 Quotes'!$B$3:$B$1002,MATCH($C303,'견적 Quotes'!$A$3:$A$1002,0)),'설정 Settings'!$C$20),""),"")</f>
      </c>
    </row>
    <row r="304" spans="12:14" x14ac:dyDescent="0.25">
      <c r="L304" s="42">
        <f>IF($A304="","",IF($G304="Y","완료 DONE",IF($F304="","날짜 없음",IF($F304&lt;'설정 Settings'!$C$15,"지남 OVERDUE",IF($F304='설정 Settings'!$C$15,"오늘 TODAY","예정 OPEN")))))</f>
      </c>
      <c r="M304" s="42">
        <f>IF($A304="","",IF($I304="Y","수신거부: 문자·이메일 보내지 않기",IF(OR($E304="SMS",$E304="EMAIL"),IF(OR($H304="",$H304="NONE"),"동의 근거 없음: 전화·방문만",IF($H304="INQUIRY",IF(N($N304)=0,"견적 요청일을 못 찾음: 관련 ID에 견적 ID(Q-…)를 넣었는지 확인",IF('설정 Settings'!$C$15&gt;N($N304),"문의 후 6개월 지남: 다른 동의 근거 필요","OK: 이름·주소·연락처·수신거부 문구 넣기")),IF($H304="REFERRAL","소개 후 첫 메시지만 OK: 소개자 이름 + 이름·주소·연락처·수신거부 문구. 두 번째부터는 다른 동의 근거 필요",IF(AND($H304="REPLY",$D304&lt;&gt;"QUOTE",$D304&lt;&gt;"CALLBACK"),"문의에 대한 답장이 아님: EXPRESS 또는 INQUIRY 동의 필요","OK: 이름·주소·연락처·수신거부 문구 넣기")))),"")))</f>
      </c>
      <c r="N304" s="40">
        <f>IF($H304="INQUIRY",IFERROR(EDATE(INDEX('견적 Quotes'!$B$3:$B$1002,MATCH($C304,'견적 Quotes'!$A$3:$A$1002,0)),'설정 Settings'!$C$20),""),"")</f>
      </c>
    </row>
    <row r="305" spans="12:14" x14ac:dyDescent="0.25">
      <c r="L305" s="42">
        <f>IF($A305="","",IF($G305="Y","완료 DONE",IF($F305="","날짜 없음",IF($F305&lt;'설정 Settings'!$C$15,"지남 OVERDUE",IF($F305='설정 Settings'!$C$15,"오늘 TODAY","예정 OPEN")))))</f>
      </c>
      <c r="M305" s="42">
        <f>IF($A305="","",IF($I305="Y","수신거부: 문자·이메일 보내지 않기",IF(OR($E305="SMS",$E305="EMAIL"),IF(OR($H305="",$H305="NONE"),"동의 근거 없음: 전화·방문만",IF($H305="INQUIRY",IF(N($N305)=0,"견적 요청일을 못 찾음: 관련 ID에 견적 ID(Q-…)를 넣었는지 확인",IF('설정 Settings'!$C$15&gt;N($N305),"문의 후 6개월 지남: 다른 동의 근거 필요","OK: 이름·주소·연락처·수신거부 문구 넣기")),IF($H305="REFERRAL","소개 후 첫 메시지만 OK: 소개자 이름 + 이름·주소·연락처·수신거부 문구. 두 번째부터는 다른 동의 근거 필요",IF(AND($H305="REPLY",$D305&lt;&gt;"QUOTE",$D305&lt;&gt;"CALLBACK"),"문의에 대한 답장이 아님: EXPRESS 또는 INQUIRY 동의 필요","OK: 이름·주소·연락처·수신거부 문구 넣기")))),"")))</f>
      </c>
      <c r="N305" s="40">
        <f>IF($H305="INQUIRY",IFERROR(EDATE(INDEX('견적 Quotes'!$B$3:$B$1002,MATCH($C305,'견적 Quotes'!$A$3:$A$1002,0)),'설정 Settings'!$C$20),""),"")</f>
      </c>
    </row>
    <row r="306" spans="12:14" x14ac:dyDescent="0.25">
      <c r="L306" s="42">
        <f>IF($A306="","",IF($G306="Y","완료 DONE",IF($F306="","날짜 없음",IF($F306&lt;'설정 Settings'!$C$15,"지남 OVERDUE",IF($F306='설정 Settings'!$C$15,"오늘 TODAY","예정 OPEN")))))</f>
      </c>
      <c r="M306" s="42">
        <f>IF($A306="","",IF($I306="Y","수신거부: 문자·이메일 보내지 않기",IF(OR($E306="SMS",$E306="EMAIL"),IF(OR($H306="",$H306="NONE"),"동의 근거 없음: 전화·방문만",IF($H306="INQUIRY",IF(N($N306)=0,"견적 요청일을 못 찾음: 관련 ID에 견적 ID(Q-…)를 넣었는지 확인",IF('설정 Settings'!$C$15&gt;N($N306),"문의 후 6개월 지남: 다른 동의 근거 필요","OK: 이름·주소·연락처·수신거부 문구 넣기")),IF($H306="REFERRAL","소개 후 첫 메시지만 OK: 소개자 이름 + 이름·주소·연락처·수신거부 문구. 두 번째부터는 다른 동의 근거 필요",IF(AND($H306="REPLY",$D306&lt;&gt;"QUOTE",$D306&lt;&gt;"CALLBACK"),"문의에 대한 답장이 아님: EXPRESS 또는 INQUIRY 동의 필요","OK: 이름·주소·연락처·수신거부 문구 넣기")))),"")))</f>
      </c>
      <c r="N306" s="40">
        <f>IF($H306="INQUIRY",IFERROR(EDATE(INDEX('견적 Quotes'!$B$3:$B$1002,MATCH($C306,'견적 Quotes'!$A$3:$A$1002,0)),'설정 Settings'!$C$20),""),"")</f>
      </c>
    </row>
    <row r="307" spans="12:14" x14ac:dyDescent="0.25">
      <c r="L307" s="42">
        <f>IF($A307="","",IF($G307="Y","완료 DONE",IF($F307="","날짜 없음",IF($F307&lt;'설정 Settings'!$C$15,"지남 OVERDUE",IF($F307='설정 Settings'!$C$15,"오늘 TODAY","예정 OPEN")))))</f>
      </c>
      <c r="M307" s="42">
        <f>IF($A307="","",IF($I307="Y","수신거부: 문자·이메일 보내지 않기",IF(OR($E307="SMS",$E307="EMAIL"),IF(OR($H307="",$H307="NONE"),"동의 근거 없음: 전화·방문만",IF($H307="INQUIRY",IF(N($N307)=0,"견적 요청일을 못 찾음: 관련 ID에 견적 ID(Q-…)를 넣었는지 확인",IF('설정 Settings'!$C$15&gt;N($N307),"문의 후 6개월 지남: 다른 동의 근거 필요","OK: 이름·주소·연락처·수신거부 문구 넣기")),IF($H307="REFERRAL","소개 후 첫 메시지만 OK: 소개자 이름 + 이름·주소·연락처·수신거부 문구. 두 번째부터는 다른 동의 근거 필요",IF(AND($H307="REPLY",$D307&lt;&gt;"QUOTE",$D307&lt;&gt;"CALLBACK"),"문의에 대한 답장이 아님: EXPRESS 또는 INQUIRY 동의 필요","OK: 이름·주소·연락처·수신거부 문구 넣기")))),"")))</f>
      </c>
      <c r="N307" s="40">
        <f>IF($H307="INQUIRY",IFERROR(EDATE(INDEX('견적 Quotes'!$B$3:$B$1002,MATCH($C307,'견적 Quotes'!$A$3:$A$1002,0)),'설정 Settings'!$C$20),""),"")</f>
      </c>
    </row>
    <row r="308" spans="12:14" x14ac:dyDescent="0.25">
      <c r="L308" s="42">
        <f>IF($A308="","",IF($G308="Y","완료 DONE",IF($F308="","날짜 없음",IF($F308&lt;'설정 Settings'!$C$15,"지남 OVERDUE",IF($F308='설정 Settings'!$C$15,"오늘 TODAY","예정 OPEN")))))</f>
      </c>
      <c r="M308" s="42">
        <f>IF($A308="","",IF($I308="Y","수신거부: 문자·이메일 보내지 않기",IF(OR($E308="SMS",$E308="EMAIL"),IF(OR($H308="",$H308="NONE"),"동의 근거 없음: 전화·방문만",IF($H308="INQUIRY",IF(N($N308)=0,"견적 요청일을 못 찾음: 관련 ID에 견적 ID(Q-…)를 넣었는지 확인",IF('설정 Settings'!$C$15&gt;N($N308),"문의 후 6개월 지남: 다른 동의 근거 필요","OK: 이름·주소·연락처·수신거부 문구 넣기")),IF($H308="REFERRAL","소개 후 첫 메시지만 OK: 소개자 이름 + 이름·주소·연락처·수신거부 문구. 두 번째부터는 다른 동의 근거 필요",IF(AND($H308="REPLY",$D308&lt;&gt;"QUOTE",$D308&lt;&gt;"CALLBACK"),"문의에 대한 답장이 아님: EXPRESS 또는 INQUIRY 동의 필요","OK: 이름·주소·연락처·수신거부 문구 넣기")))),"")))</f>
      </c>
      <c r="N308" s="40">
        <f>IF($H308="INQUIRY",IFERROR(EDATE(INDEX('견적 Quotes'!$B$3:$B$1002,MATCH($C308,'견적 Quotes'!$A$3:$A$1002,0)),'설정 Settings'!$C$20),""),"")</f>
      </c>
    </row>
    <row r="309" spans="12:14" x14ac:dyDescent="0.25">
      <c r="L309" s="42">
        <f>IF($A309="","",IF($G309="Y","완료 DONE",IF($F309="","날짜 없음",IF($F309&lt;'설정 Settings'!$C$15,"지남 OVERDUE",IF($F309='설정 Settings'!$C$15,"오늘 TODAY","예정 OPEN")))))</f>
      </c>
      <c r="M309" s="42">
        <f>IF($A309="","",IF($I309="Y","수신거부: 문자·이메일 보내지 않기",IF(OR($E309="SMS",$E309="EMAIL"),IF(OR($H309="",$H309="NONE"),"동의 근거 없음: 전화·방문만",IF($H309="INQUIRY",IF(N($N309)=0,"견적 요청일을 못 찾음: 관련 ID에 견적 ID(Q-…)를 넣었는지 확인",IF('설정 Settings'!$C$15&gt;N($N309),"문의 후 6개월 지남: 다른 동의 근거 필요","OK: 이름·주소·연락처·수신거부 문구 넣기")),IF($H309="REFERRAL","소개 후 첫 메시지만 OK: 소개자 이름 + 이름·주소·연락처·수신거부 문구. 두 번째부터는 다른 동의 근거 필요",IF(AND($H309="REPLY",$D309&lt;&gt;"QUOTE",$D309&lt;&gt;"CALLBACK"),"문의에 대한 답장이 아님: EXPRESS 또는 INQUIRY 동의 필요","OK: 이름·주소·연락처·수신거부 문구 넣기")))),"")))</f>
      </c>
      <c r="N309" s="40">
        <f>IF($H309="INQUIRY",IFERROR(EDATE(INDEX('견적 Quotes'!$B$3:$B$1002,MATCH($C309,'견적 Quotes'!$A$3:$A$1002,0)),'설정 Settings'!$C$20),""),"")</f>
      </c>
    </row>
    <row r="310" spans="12:14" x14ac:dyDescent="0.25">
      <c r="L310" s="42">
        <f>IF($A310="","",IF($G310="Y","완료 DONE",IF($F310="","날짜 없음",IF($F310&lt;'설정 Settings'!$C$15,"지남 OVERDUE",IF($F310='설정 Settings'!$C$15,"오늘 TODAY","예정 OPEN")))))</f>
      </c>
      <c r="M310" s="42">
        <f>IF($A310="","",IF($I310="Y","수신거부: 문자·이메일 보내지 않기",IF(OR($E310="SMS",$E310="EMAIL"),IF(OR($H310="",$H310="NONE"),"동의 근거 없음: 전화·방문만",IF($H310="INQUIRY",IF(N($N310)=0,"견적 요청일을 못 찾음: 관련 ID에 견적 ID(Q-…)를 넣었는지 확인",IF('설정 Settings'!$C$15&gt;N($N310),"문의 후 6개월 지남: 다른 동의 근거 필요","OK: 이름·주소·연락처·수신거부 문구 넣기")),IF($H310="REFERRAL","소개 후 첫 메시지만 OK: 소개자 이름 + 이름·주소·연락처·수신거부 문구. 두 번째부터는 다른 동의 근거 필요",IF(AND($H310="REPLY",$D310&lt;&gt;"QUOTE",$D310&lt;&gt;"CALLBACK"),"문의에 대한 답장이 아님: EXPRESS 또는 INQUIRY 동의 필요","OK: 이름·주소·연락처·수신거부 문구 넣기")))),"")))</f>
      </c>
      <c r="N310" s="40">
        <f>IF($H310="INQUIRY",IFERROR(EDATE(INDEX('견적 Quotes'!$B$3:$B$1002,MATCH($C310,'견적 Quotes'!$A$3:$A$1002,0)),'설정 Settings'!$C$20),""),"")</f>
      </c>
    </row>
    <row r="311" spans="12:14" x14ac:dyDescent="0.25">
      <c r="L311" s="42">
        <f>IF($A311="","",IF($G311="Y","완료 DONE",IF($F311="","날짜 없음",IF($F311&lt;'설정 Settings'!$C$15,"지남 OVERDUE",IF($F311='설정 Settings'!$C$15,"오늘 TODAY","예정 OPEN")))))</f>
      </c>
      <c r="M311" s="42">
        <f>IF($A311="","",IF($I311="Y","수신거부: 문자·이메일 보내지 않기",IF(OR($E311="SMS",$E311="EMAIL"),IF(OR($H311="",$H311="NONE"),"동의 근거 없음: 전화·방문만",IF($H311="INQUIRY",IF(N($N311)=0,"견적 요청일을 못 찾음: 관련 ID에 견적 ID(Q-…)를 넣었는지 확인",IF('설정 Settings'!$C$15&gt;N($N311),"문의 후 6개월 지남: 다른 동의 근거 필요","OK: 이름·주소·연락처·수신거부 문구 넣기")),IF($H311="REFERRAL","소개 후 첫 메시지만 OK: 소개자 이름 + 이름·주소·연락처·수신거부 문구. 두 번째부터는 다른 동의 근거 필요",IF(AND($H311="REPLY",$D311&lt;&gt;"QUOTE",$D311&lt;&gt;"CALLBACK"),"문의에 대한 답장이 아님: EXPRESS 또는 INQUIRY 동의 필요","OK: 이름·주소·연락처·수신거부 문구 넣기")))),"")))</f>
      </c>
      <c r="N311" s="40">
        <f>IF($H311="INQUIRY",IFERROR(EDATE(INDEX('견적 Quotes'!$B$3:$B$1002,MATCH($C311,'견적 Quotes'!$A$3:$A$1002,0)),'설정 Settings'!$C$20),""),"")</f>
      </c>
    </row>
    <row r="312" spans="12:14" x14ac:dyDescent="0.25">
      <c r="L312" s="42">
        <f>IF($A312="","",IF($G312="Y","완료 DONE",IF($F312="","날짜 없음",IF($F312&lt;'설정 Settings'!$C$15,"지남 OVERDUE",IF($F312='설정 Settings'!$C$15,"오늘 TODAY","예정 OPEN")))))</f>
      </c>
      <c r="M312" s="42">
        <f>IF($A312="","",IF($I312="Y","수신거부: 문자·이메일 보내지 않기",IF(OR($E312="SMS",$E312="EMAIL"),IF(OR($H312="",$H312="NONE"),"동의 근거 없음: 전화·방문만",IF($H312="INQUIRY",IF(N($N312)=0,"견적 요청일을 못 찾음: 관련 ID에 견적 ID(Q-…)를 넣었는지 확인",IF('설정 Settings'!$C$15&gt;N($N312),"문의 후 6개월 지남: 다른 동의 근거 필요","OK: 이름·주소·연락처·수신거부 문구 넣기")),IF($H312="REFERRAL","소개 후 첫 메시지만 OK: 소개자 이름 + 이름·주소·연락처·수신거부 문구. 두 번째부터는 다른 동의 근거 필요",IF(AND($H312="REPLY",$D312&lt;&gt;"QUOTE",$D312&lt;&gt;"CALLBACK"),"문의에 대한 답장이 아님: EXPRESS 또는 INQUIRY 동의 필요","OK: 이름·주소·연락처·수신거부 문구 넣기")))),"")))</f>
      </c>
      <c r="N312" s="40">
        <f>IF($H312="INQUIRY",IFERROR(EDATE(INDEX('견적 Quotes'!$B$3:$B$1002,MATCH($C312,'견적 Quotes'!$A$3:$A$1002,0)),'설정 Settings'!$C$20),""),"")</f>
      </c>
    </row>
    <row r="313" spans="12:14" x14ac:dyDescent="0.25">
      <c r="L313" s="42">
        <f>IF($A313="","",IF($G313="Y","완료 DONE",IF($F313="","날짜 없음",IF($F313&lt;'설정 Settings'!$C$15,"지남 OVERDUE",IF($F313='설정 Settings'!$C$15,"오늘 TODAY","예정 OPEN")))))</f>
      </c>
      <c r="M313" s="42">
        <f>IF($A313="","",IF($I313="Y","수신거부: 문자·이메일 보내지 않기",IF(OR($E313="SMS",$E313="EMAIL"),IF(OR($H313="",$H313="NONE"),"동의 근거 없음: 전화·방문만",IF($H313="INQUIRY",IF(N($N313)=0,"견적 요청일을 못 찾음: 관련 ID에 견적 ID(Q-…)를 넣었는지 확인",IF('설정 Settings'!$C$15&gt;N($N313),"문의 후 6개월 지남: 다른 동의 근거 필요","OK: 이름·주소·연락처·수신거부 문구 넣기")),IF($H313="REFERRAL","소개 후 첫 메시지만 OK: 소개자 이름 + 이름·주소·연락처·수신거부 문구. 두 번째부터는 다른 동의 근거 필요",IF(AND($H313="REPLY",$D313&lt;&gt;"QUOTE",$D313&lt;&gt;"CALLBACK"),"문의에 대한 답장이 아님: EXPRESS 또는 INQUIRY 동의 필요","OK: 이름·주소·연락처·수신거부 문구 넣기")))),"")))</f>
      </c>
      <c r="N313" s="40">
        <f>IF($H313="INQUIRY",IFERROR(EDATE(INDEX('견적 Quotes'!$B$3:$B$1002,MATCH($C313,'견적 Quotes'!$A$3:$A$1002,0)),'설정 Settings'!$C$20),""),"")</f>
      </c>
    </row>
    <row r="314" spans="12:14" x14ac:dyDescent="0.25">
      <c r="L314" s="42">
        <f>IF($A314="","",IF($G314="Y","완료 DONE",IF($F314="","날짜 없음",IF($F314&lt;'설정 Settings'!$C$15,"지남 OVERDUE",IF($F314='설정 Settings'!$C$15,"오늘 TODAY","예정 OPEN")))))</f>
      </c>
      <c r="M314" s="42">
        <f>IF($A314="","",IF($I314="Y","수신거부: 문자·이메일 보내지 않기",IF(OR($E314="SMS",$E314="EMAIL"),IF(OR($H314="",$H314="NONE"),"동의 근거 없음: 전화·방문만",IF($H314="INQUIRY",IF(N($N314)=0,"견적 요청일을 못 찾음: 관련 ID에 견적 ID(Q-…)를 넣었는지 확인",IF('설정 Settings'!$C$15&gt;N($N314),"문의 후 6개월 지남: 다른 동의 근거 필요","OK: 이름·주소·연락처·수신거부 문구 넣기")),IF($H314="REFERRAL","소개 후 첫 메시지만 OK: 소개자 이름 + 이름·주소·연락처·수신거부 문구. 두 번째부터는 다른 동의 근거 필요",IF(AND($H314="REPLY",$D314&lt;&gt;"QUOTE",$D314&lt;&gt;"CALLBACK"),"문의에 대한 답장이 아님: EXPRESS 또는 INQUIRY 동의 필요","OK: 이름·주소·연락처·수신거부 문구 넣기")))),"")))</f>
      </c>
      <c r="N314" s="40">
        <f>IF($H314="INQUIRY",IFERROR(EDATE(INDEX('견적 Quotes'!$B$3:$B$1002,MATCH($C314,'견적 Quotes'!$A$3:$A$1002,0)),'설정 Settings'!$C$20),""),"")</f>
      </c>
    </row>
    <row r="315" spans="12:14" x14ac:dyDescent="0.25">
      <c r="L315" s="42">
        <f>IF($A315="","",IF($G315="Y","완료 DONE",IF($F315="","날짜 없음",IF($F315&lt;'설정 Settings'!$C$15,"지남 OVERDUE",IF($F315='설정 Settings'!$C$15,"오늘 TODAY","예정 OPEN")))))</f>
      </c>
      <c r="M315" s="42">
        <f>IF($A315="","",IF($I315="Y","수신거부: 문자·이메일 보내지 않기",IF(OR($E315="SMS",$E315="EMAIL"),IF(OR($H315="",$H315="NONE"),"동의 근거 없음: 전화·방문만",IF($H315="INQUIRY",IF(N($N315)=0,"견적 요청일을 못 찾음: 관련 ID에 견적 ID(Q-…)를 넣었는지 확인",IF('설정 Settings'!$C$15&gt;N($N315),"문의 후 6개월 지남: 다른 동의 근거 필요","OK: 이름·주소·연락처·수신거부 문구 넣기")),IF($H315="REFERRAL","소개 후 첫 메시지만 OK: 소개자 이름 + 이름·주소·연락처·수신거부 문구. 두 번째부터는 다른 동의 근거 필요",IF(AND($H315="REPLY",$D315&lt;&gt;"QUOTE",$D315&lt;&gt;"CALLBACK"),"문의에 대한 답장이 아님: EXPRESS 또는 INQUIRY 동의 필요","OK: 이름·주소·연락처·수신거부 문구 넣기")))),"")))</f>
      </c>
      <c r="N315" s="40">
        <f>IF($H315="INQUIRY",IFERROR(EDATE(INDEX('견적 Quotes'!$B$3:$B$1002,MATCH($C315,'견적 Quotes'!$A$3:$A$1002,0)),'설정 Settings'!$C$20),""),"")</f>
      </c>
    </row>
    <row r="316" spans="12:14" x14ac:dyDescent="0.25">
      <c r="L316" s="42">
        <f>IF($A316="","",IF($G316="Y","완료 DONE",IF($F316="","날짜 없음",IF($F316&lt;'설정 Settings'!$C$15,"지남 OVERDUE",IF($F316='설정 Settings'!$C$15,"오늘 TODAY","예정 OPEN")))))</f>
      </c>
      <c r="M316" s="42">
        <f>IF($A316="","",IF($I316="Y","수신거부: 문자·이메일 보내지 않기",IF(OR($E316="SMS",$E316="EMAIL"),IF(OR($H316="",$H316="NONE"),"동의 근거 없음: 전화·방문만",IF($H316="INQUIRY",IF(N($N316)=0,"견적 요청일을 못 찾음: 관련 ID에 견적 ID(Q-…)를 넣었는지 확인",IF('설정 Settings'!$C$15&gt;N($N316),"문의 후 6개월 지남: 다른 동의 근거 필요","OK: 이름·주소·연락처·수신거부 문구 넣기")),IF($H316="REFERRAL","소개 후 첫 메시지만 OK: 소개자 이름 + 이름·주소·연락처·수신거부 문구. 두 번째부터는 다른 동의 근거 필요",IF(AND($H316="REPLY",$D316&lt;&gt;"QUOTE",$D316&lt;&gt;"CALLBACK"),"문의에 대한 답장이 아님: EXPRESS 또는 INQUIRY 동의 필요","OK: 이름·주소·연락처·수신거부 문구 넣기")))),"")))</f>
      </c>
      <c r="N316" s="40">
        <f>IF($H316="INQUIRY",IFERROR(EDATE(INDEX('견적 Quotes'!$B$3:$B$1002,MATCH($C316,'견적 Quotes'!$A$3:$A$1002,0)),'설정 Settings'!$C$20),""),"")</f>
      </c>
    </row>
    <row r="317" spans="12:14" x14ac:dyDescent="0.25">
      <c r="L317" s="42">
        <f>IF($A317="","",IF($G317="Y","완료 DONE",IF($F317="","날짜 없음",IF($F317&lt;'설정 Settings'!$C$15,"지남 OVERDUE",IF($F317='설정 Settings'!$C$15,"오늘 TODAY","예정 OPEN")))))</f>
      </c>
      <c r="M317" s="42">
        <f>IF($A317="","",IF($I317="Y","수신거부: 문자·이메일 보내지 않기",IF(OR($E317="SMS",$E317="EMAIL"),IF(OR($H317="",$H317="NONE"),"동의 근거 없음: 전화·방문만",IF($H317="INQUIRY",IF(N($N317)=0,"견적 요청일을 못 찾음: 관련 ID에 견적 ID(Q-…)를 넣었는지 확인",IF('설정 Settings'!$C$15&gt;N($N317),"문의 후 6개월 지남: 다른 동의 근거 필요","OK: 이름·주소·연락처·수신거부 문구 넣기")),IF($H317="REFERRAL","소개 후 첫 메시지만 OK: 소개자 이름 + 이름·주소·연락처·수신거부 문구. 두 번째부터는 다른 동의 근거 필요",IF(AND($H317="REPLY",$D317&lt;&gt;"QUOTE",$D317&lt;&gt;"CALLBACK"),"문의에 대한 답장이 아님: EXPRESS 또는 INQUIRY 동의 필요","OK: 이름·주소·연락처·수신거부 문구 넣기")))),"")))</f>
      </c>
      <c r="N317" s="40">
        <f>IF($H317="INQUIRY",IFERROR(EDATE(INDEX('견적 Quotes'!$B$3:$B$1002,MATCH($C317,'견적 Quotes'!$A$3:$A$1002,0)),'설정 Settings'!$C$20),""),"")</f>
      </c>
    </row>
    <row r="318" spans="12:14" x14ac:dyDescent="0.25">
      <c r="L318" s="42">
        <f>IF($A318="","",IF($G318="Y","완료 DONE",IF($F318="","날짜 없음",IF($F318&lt;'설정 Settings'!$C$15,"지남 OVERDUE",IF($F318='설정 Settings'!$C$15,"오늘 TODAY","예정 OPEN")))))</f>
      </c>
      <c r="M318" s="42">
        <f>IF($A318="","",IF($I318="Y","수신거부: 문자·이메일 보내지 않기",IF(OR($E318="SMS",$E318="EMAIL"),IF(OR($H318="",$H318="NONE"),"동의 근거 없음: 전화·방문만",IF($H318="INQUIRY",IF(N($N318)=0,"견적 요청일을 못 찾음: 관련 ID에 견적 ID(Q-…)를 넣었는지 확인",IF('설정 Settings'!$C$15&gt;N($N318),"문의 후 6개월 지남: 다른 동의 근거 필요","OK: 이름·주소·연락처·수신거부 문구 넣기")),IF($H318="REFERRAL","소개 후 첫 메시지만 OK: 소개자 이름 + 이름·주소·연락처·수신거부 문구. 두 번째부터는 다른 동의 근거 필요",IF(AND($H318="REPLY",$D318&lt;&gt;"QUOTE",$D318&lt;&gt;"CALLBACK"),"문의에 대한 답장이 아님: EXPRESS 또는 INQUIRY 동의 필요","OK: 이름·주소·연락처·수신거부 문구 넣기")))),"")))</f>
      </c>
      <c r="N318" s="40">
        <f>IF($H318="INQUIRY",IFERROR(EDATE(INDEX('견적 Quotes'!$B$3:$B$1002,MATCH($C318,'견적 Quotes'!$A$3:$A$1002,0)),'설정 Settings'!$C$20),""),"")</f>
      </c>
    </row>
    <row r="319" spans="12:14" x14ac:dyDescent="0.25">
      <c r="L319" s="42">
        <f>IF($A319="","",IF($G319="Y","완료 DONE",IF($F319="","날짜 없음",IF($F319&lt;'설정 Settings'!$C$15,"지남 OVERDUE",IF($F319='설정 Settings'!$C$15,"오늘 TODAY","예정 OPEN")))))</f>
      </c>
      <c r="M319" s="42">
        <f>IF($A319="","",IF($I319="Y","수신거부: 문자·이메일 보내지 않기",IF(OR($E319="SMS",$E319="EMAIL"),IF(OR($H319="",$H319="NONE"),"동의 근거 없음: 전화·방문만",IF($H319="INQUIRY",IF(N($N319)=0,"견적 요청일을 못 찾음: 관련 ID에 견적 ID(Q-…)를 넣었는지 확인",IF('설정 Settings'!$C$15&gt;N($N319),"문의 후 6개월 지남: 다른 동의 근거 필요","OK: 이름·주소·연락처·수신거부 문구 넣기")),IF($H319="REFERRAL","소개 후 첫 메시지만 OK: 소개자 이름 + 이름·주소·연락처·수신거부 문구. 두 번째부터는 다른 동의 근거 필요",IF(AND($H319="REPLY",$D319&lt;&gt;"QUOTE",$D319&lt;&gt;"CALLBACK"),"문의에 대한 답장이 아님: EXPRESS 또는 INQUIRY 동의 필요","OK: 이름·주소·연락처·수신거부 문구 넣기")))),"")))</f>
      </c>
      <c r="N319" s="40">
        <f>IF($H319="INQUIRY",IFERROR(EDATE(INDEX('견적 Quotes'!$B$3:$B$1002,MATCH($C319,'견적 Quotes'!$A$3:$A$1002,0)),'설정 Settings'!$C$20),""),"")</f>
      </c>
    </row>
    <row r="320" spans="12:14" x14ac:dyDescent="0.25">
      <c r="L320" s="42">
        <f>IF($A320="","",IF($G320="Y","완료 DONE",IF($F320="","날짜 없음",IF($F320&lt;'설정 Settings'!$C$15,"지남 OVERDUE",IF($F320='설정 Settings'!$C$15,"오늘 TODAY","예정 OPEN")))))</f>
      </c>
      <c r="M320" s="42">
        <f>IF($A320="","",IF($I320="Y","수신거부: 문자·이메일 보내지 않기",IF(OR($E320="SMS",$E320="EMAIL"),IF(OR($H320="",$H320="NONE"),"동의 근거 없음: 전화·방문만",IF($H320="INQUIRY",IF(N($N320)=0,"견적 요청일을 못 찾음: 관련 ID에 견적 ID(Q-…)를 넣었는지 확인",IF('설정 Settings'!$C$15&gt;N($N320),"문의 후 6개월 지남: 다른 동의 근거 필요","OK: 이름·주소·연락처·수신거부 문구 넣기")),IF($H320="REFERRAL","소개 후 첫 메시지만 OK: 소개자 이름 + 이름·주소·연락처·수신거부 문구. 두 번째부터는 다른 동의 근거 필요",IF(AND($H320="REPLY",$D320&lt;&gt;"QUOTE",$D320&lt;&gt;"CALLBACK"),"문의에 대한 답장이 아님: EXPRESS 또는 INQUIRY 동의 필요","OK: 이름·주소·연락처·수신거부 문구 넣기")))),"")))</f>
      </c>
      <c r="N320" s="40">
        <f>IF($H320="INQUIRY",IFERROR(EDATE(INDEX('견적 Quotes'!$B$3:$B$1002,MATCH($C320,'견적 Quotes'!$A$3:$A$1002,0)),'설정 Settings'!$C$20),""),"")</f>
      </c>
    </row>
    <row r="321" spans="12:14" x14ac:dyDescent="0.25">
      <c r="L321" s="42">
        <f>IF($A321="","",IF($G321="Y","완료 DONE",IF($F321="","날짜 없음",IF($F321&lt;'설정 Settings'!$C$15,"지남 OVERDUE",IF($F321='설정 Settings'!$C$15,"오늘 TODAY","예정 OPEN")))))</f>
      </c>
      <c r="M321" s="42">
        <f>IF($A321="","",IF($I321="Y","수신거부: 문자·이메일 보내지 않기",IF(OR($E321="SMS",$E321="EMAIL"),IF(OR($H321="",$H321="NONE"),"동의 근거 없음: 전화·방문만",IF($H321="INQUIRY",IF(N($N321)=0,"견적 요청일을 못 찾음: 관련 ID에 견적 ID(Q-…)를 넣었는지 확인",IF('설정 Settings'!$C$15&gt;N($N321),"문의 후 6개월 지남: 다른 동의 근거 필요","OK: 이름·주소·연락처·수신거부 문구 넣기")),IF($H321="REFERRAL","소개 후 첫 메시지만 OK: 소개자 이름 + 이름·주소·연락처·수신거부 문구. 두 번째부터는 다른 동의 근거 필요",IF(AND($H321="REPLY",$D321&lt;&gt;"QUOTE",$D321&lt;&gt;"CALLBACK"),"문의에 대한 답장이 아님: EXPRESS 또는 INQUIRY 동의 필요","OK: 이름·주소·연락처·수신거부 문구 넣기")))),"")))</f>
      </c>
      <c r="N321" s="40">
        <f>IF($H321="INQUIRY",IFERROR(EDATE(INDEX('견적 Quotes'!$B$3:$B$1002,MATCH($C321,'견적 Quotes'!$A$3:$A$1002,0)),'설정 Settings'!$C$20),""),"")</f>
      </c>
    </row>
    <row r="322" spans="12:14" x14ac:dyDescent="0.25">
      <c r="L322" s="42">
        <f>IF($A322="","",IF($G322="Y","완료 DONE",IF($F322="","날짜 없음",IF($F322&lt;'설정 Settings'!$C$15,"지남 OVERDUE",IF($F322='설정 Settings'!$C$15,"오늘 TODAY","예정 OPEN")))))</f>
      </c>
      <c r="M322" s="42">
        <f>IF($A322="","",IF($I322="Y","수신거부: 문자·이메일 보내지 않기",IF(OR($E322="SMS",$E322="EMAIL"),IF(OR($H322="",$H322="NONE"),"동의 근거 없음: 전화·방문만",IF($H322="INQUIRY",IF(N($N322)=0,"견적 요청일을 못 찾음: 관련 ID에 견적 ID(Q-…)를 넣었는지 확인",IF('설정 Settings'!$C$15&gt;N($N322),"문의 후 6개월 지남: 다른 동의 근거 필요","OK: 이름·주소·연락처·수신거부 문구 넣기")),IF($H322="REFERRAL","소개 후 첫 메시지만 OK: 소개자 이름 + 이름·주소·연락처·수신거부 문구. 두 번째부터는 다른 동의 근거 필요",IF(AND($H322="REPLY",$D322&lt;&gt;"QUOTE",$D322&lt;&gt;"CALLBACK"),"문의에 대한 답장이 아님: EXPRESS 또는 INQUIRY 동의 필요","OK: 이름·주소·연락처·수신거부 문구 넣기")))),"")))</f>
      </c>
      <c r="N322" s="40">
        <f>IF($H322="INQUIRY",IFERROR(EDATE(INDEX('견적 Quotes'!$B$3:$B$1002,MATCH($C322,'견적 Quotes'!$A$3:$A$1002,0)),'설정 Settings'!$C$20),""),"")</f>
      </c>
    </row>
    <row r="323" spans="12:14" x14ac:dyDescent="0.25">
      <c r="L323" s="42">
        <f>IF($A323="","",IF($G323="Y","완료 DONE",IF($F323="","날짜 없음",IF($F323&lt;'설정 Settings'!$C$15,"지남 OVERDUE",IF($F323='설정 Settings'!$C$15,"오늘 TODAY","예정 OPEN")))))</f>
      </c>
      <c r="M323" s="42">
        <f>IF($A323="","",IF($I323="Y","수신거부: 문자·이메일 보내지 않기",IF(OR($E323="SMS",$E323="EMAIL"),IF(OR($H323="",$H323="NONE"),"동의 근거 없음: 전화·방문만",IF($H323="INQUIRY",IF(N($N323)=0,"견적 요청일을 못 찾음: 관련 ID에 견적 ID(Q-…)를 넣었는지 확인",IF('설정 Settings'!$C$15&gt;N($N323),"문의 후 6개월 지남: 다른 동의 근거 필요","OK: 이름·주소·연락처·수신거부 문구 넣기")),IF($H323="REFERRAL","소개 후 첫 메시지만 OK: 소개자 이름 + 이름·주소·연락처·수신거부 문구. 두 번째부터는 다른 동의 근거 필요",IF(AND($H323="REPLY",$D323&lt;&gt;"QUOTE",$D323&lt;&gt;"CALLBACK"),"문의에 대한 답장이 아님: EXPRESS 또는 INQUIRY 동의 필요","OK: 이름·주소·연락처·수신거부 문구 넣기")))),"")))</f>
      </c>
      <c r="N323" s="40">
        <f>IF($H323="INQUIRY",IFERROR(EDATE(INDEX('견적 Quotes'!$B$3:$B$1002,MATCH($C323,'견적 Quotes'!$A$3:$A$1002,0)),'설정 Settings'!$C$20),""),"")</f>
      </c>
    </row>
    <row r="324" spans="12:14" x14ac:dyDescent="0.25">
      <c r="L324" s="42">
        <f>IF($A324="","",IF($G324="Y","완료 DONE",IF($F324="","날짜 없음",IF($F324&lt;'설정 Settings'!$C$15,"지남 OVERDUE",IF($F324='설정 Settings'!$C$15,"오늘 TODAY","예정 OPEN")))))</f>
      </c>
      <c r="M324" s="42">
        <f>IF($A324="","",IF($I324="Y","수신거부: 문자·이메일 보내지 않기",IF(OR($E324="SMS",$E324="EMAIL"),IF(OR($H324="",$H324="NONE"),"동의 근거 없음: 전화·방문만",IF($H324="INQUIRY",IF(N($N324)=0,"견적 요청일을 못 찾음: 관련 ID에 견적 ID(Q-…)를 넣었는지 확인",IF('설정 Settings'!$C$15&gt;N($N324),"문의 후 6개월 지남: 다른 동의 근거 필요","OK: 이름·주소·연락처·수신거부 문구 넣기")),IF($H324="REFERRAL","소개 후 첫 메시지만 OK: 소개자 이름 + 이름·주소·연락처·수신거부 문구. 두 번째부터는 다른 동의 근거 필요",IF(AND($H324="REPLY",$D324&lt;&gt;"QUOTE",$D324&lt;&gt;"CALLBACK"),"문의에 대한 답장이 아님: EXPRESS 또는 INQUIRY 동의 필요","OK: 이름·주소·연락처·수신거부 문구 넣기")))),"")))</f>
      </c>
      <c r="N324" s="40">
        <f>IF($H324="INQUIRY",IFERROR(EDATE(INDEX('견적 Quotes'!$B$3:$B$1002,MATCH($C324,'견적 Quotes'!$A$3:$A$1002,0)),'설정 Settings'!$C$20),""),"")</f>
      </c>
    </row>
    <row r="325" spans="12:14" x14ac:dyDescent="0.25">
      <c r="L325" s="42">
        <f>IF($A325="","",IF($G325="Y","완료 DONE",IF($F325="","날짜 없음",IF($F325&lt;'설정 Settings'!$C$15,"지남 OVERDUE",IF($F325='설정 Settings'!$C$15,"오늘 TODAY","예정 OPEN")))))</f>
      </c>
      <c r="M325" s="42">
        <f>IF($A325="","",IF($I325="Y","수신거부: 문자·이메일 보내지 않기",IF(OR($E325="SMS",$E325="EMAIL"),IF(OR($H325="",$H325="NONE"),"동의 근거 없음: 전화·방문만",IF($H325="INQUIRY",IF(N($N325)=0,"견적 요청일을 못 찾음: 관련 ID에 견적 ID(Q-…)를 넣었는지 확인",IF('설정 Settings'!$C$15&gt;N($N325),"문의 후 6개월 지남: 다른 동의 근거 필요","OK: 이름·주소·연락처·수신거부 문구 넣기")),IF($H325="REFERRAL","소개 후 첫 메시지만 OK: 소개자 이름 + 이름·주소·연락처·수신거부 문구. 두 번째부터는 다른 동의 근거 필요",IF(AND($H325="REPLY",$D325&lt;&gt;"QUOTE",$D325&lt;&gt;"CALLBACK"),"문의에 대한 답장이 아님: EXPRESS 또는 INQUIRY 동의 필요","OK: 이름·주소·연락처·수신거부 문구 넣기")))),"")))</f>
      </c>
      <c r="N325" s="40">
        <f>IF($H325="INQUIRY",IFERROR(EDATE(INDEX('견적 Quotes'!$B$3:$B$1002,MATCH($C325,'견적 Quotes'!$A$3:$A$1002,0)),'설정 Settings'!$C$20),""),"")</f>
      </c>
    </row>
    <row r="326" spans="12:14" x14ac:dyDescent="0.25">
      <c r="L326" s="42">
        <f>IF($A326="","",IF($G326="Y","완료 DONE",IF($F326="","날짜 없음",IF($F326&lt;'설정 Settings'!$C$15,"지남 OVERDUE",IF($F326='설정 Settings'!$C$15,"오늘 TODAY","예정 OPEN")))))</f>
      </c>
      <c r="M326" s="42">
        <f>IF($A326="","",IF($I326="Y","수신거부: 문자·이메일 보내지 않기",IF(OR($E326="SMS",$E326="EMAIL"),IF(OR($H326="",$H326="NONE"),"동의 근거 없음: 전화·방문만",IF($H326="INQUIRY",IF(N($N326)=0,"견적 요청일을 못 찾음: 관련 ID에 견적 ID(Q-…)를 넣었는지 확인",IF('설정 Settings'!$C$15&gt;N($N326),"문의 후 6개월 지남: 다른 동의 근거 필요","OK: 이름·주소·연락처·수신거부 문구 넣기")),IF($H326="REFERRAL","소개 후 첫 메시지만 OK: 소개자 이름 + 이름·주소·연락처·수신거부 문구. 두 번째부터는 다른 동의 근거 필요",IF(AND($H326="REPLY",$D326&lt;&gt;"QUOTE",$D326&lt;&gt;"CALLBACK"),"문의에 대한 답장이 아님: EXPRESS 또는 INQUIRY 동의 필요","OK: 이름·주소·연락처·수신거부 문구 넣기")))),"")))</f>
      </c>
      <c r="N326" s="40">
        <f>IF($H326="INQUIRY",IFERROR(EDATE(INDEX('견적 Quotes'!$B$3:$B$1002,MATCH($C326,'견적 Quotes'!$A$3:$A$1002,0)),'설정 Settings'!$C$20),""),"")</f>
      </c>
    </row>
    <row r="327" spans="12:14" x14ac:dyDescent="0.25">
      <c r="L327" s="42">
        <f>IF($A327="","",IF($G327="Y","완료 DONE",IF($F327="","날짜 없음",IF($F327&lt;'설정 Settings'!$C$15,"지남 OVERDUE",IF($F327='설정 Settings'!$C$15,"오늘 TODAY","예정 OPEN")))))</f>
      </c>
      <c r="M327" s="42">
        <f>IF($A327="","",IF($I327="Y","수신거부: 문자·이메일 보내지 않기",IF(OR($E327="SMS",$E327="EMAIL"),IF(OR($H327="",$H327="NONE"),"동의 근거 없음: 전화·방문만",IF($H327="INQUIRY",IF(N($N327)=0,"견적 요청일을 못 찾음: 관련 ID에 견적 ID(Q-…)를 넣었는지 확인",IF('설정 Settings'!$C$15&gt;N($N327),"문의 후 6개월 지남: 다른 동의 근거 필요","OK: 이름·주소·연락처·수신거부 문구 넣기")),IF($H327="REFERRAL","소개 후 첫 메시지만 OK: 소개자 이름 + 이름·주소·연락처·수신거부 문구. 두 번째부터는 다른 동의 근거 필요",IF(AND($H327="REPLY",$D327&lt;&gt;"QUOTE",$D327&lt;&gt;"CALLBACK"),"문의에 대한 답장이 아님: EXPRESS 또는 INQUIRY 동의 필요","OK: 이름·주소·연락처·수신거부 문구 넣기")))),"")))</f>
      </c>
      <c r="N327" s="40">
        <f>IF($H327="INQUIRY",IFERROR(EDATE(INDEX('견적 Quotes'!$B$3:$B$1002,MATCH($C327,'견적 Quotes'!$A$3:$A$1002,0)),'설정 Settings'!$C$20),""),"")</f>
      </c>
    </row>
    <row r="328" spans="12:14" x14ac:dyDescent="0.25">
      <c r="L328" s="42">
        <f>IF($A328="","",IF($G328="Y","완료 DONE",IF($F328="","날짜 없음",IF($F328&lt;'설정 Settings'!$C$15,"지남 OVERDUE",IF($F328='설정 Settings'!$C$15,"오늘 TODAY","예정 OPEN")))))</f>
      </c>
      <c r="M328" s="42">
        <f>IF($A328="","",IF($I328="Y","수신거부: 문자·이메일 보내지 않기",IF(OR($E328="SMS",$E328="EMAIL"),IF(OR($H328="",$H328="NONE"),"동의 근거 없음: 전화·방문만",IF($H328="INQUIRY",IF(N($N328)=0,"견적 요청일을 못 찾음: 관련 ID에 견적 ID(Q-…)를 넣었는지 확인",IF('설정 Settings'!$C$15&gt;N($N328),"문의 후 6개월 지남: 다른 동의 근거 필요","OK: 이름·주소·연락처·수신거부 문구 넣기")),IF($H328="REFERRAL","소개 후 첫 메시지만 OK: 소개자 이름 + 이름·주소·연락처·수신거부 문구. 두 번째부터는 다른 동의 근거 필요",IF(AND($H328="REPLY",$D328&lt;&gt;"QUOTE",$D328&lt;&gt;"CALLBACK"),"문의에 대한 답장이 아님: EXPRESS 또는 INQUIRY 동의 필요","OK: 이름·주소·연락처·수신거부 문구 넣기")))),"")))</f>
      </c>
      <c r="N328" s="40">
        <f>IF($H328="INQUIRY",IFERROR(EDATE(INDEX('견적 Quotes'!$B$3:$B$1002,MATCH($C328,'견적 Quotes'!$A$3:$A$1002,0)),'설정 Settings'!$C$20),""),"")</f>
      </c>
    </row>
    <row r="329" spans="12:14" x14ac:dyDescent="0.25">
      <c r="L329" s="42">
        <f>IF($A329="","",IF($G329="Y","완료 DONE",IF($F329="","날짜 없음",IF($F329&lt;'설정 Settings'!$C$15,"지남 OVERDUE",IF($F329='설정 Settings'!$C$15,"오늘 TODAY","예정 OPEN")))))</f>
      </c>
      <c r="M329" s="42">
        <f>IF($A329="","",IF($I329="Y","수신거부: 문자·이메일 보내지 않기",IF(OR($E329="SMS",$E329="EMAIL"),IF(OR($H329="",$H329="NONE"),"동의 근거 없음: 전화·방문만",IF($H329="INQUIRY",IF(N($N329)=0,"견적 요청일을 못 찾음: 관련 ID에 견적 ID(Q-…)를 넣었는지 확인",IF('설정 Settings'!$C$15&gt;N($N329),"문의 후 6개월 지남: 다른 동의 근거 필요","OK: 이름·주소·연락처·수신거부 문구 넣기")),IF($H329="REFERRAL","소개 후 첫 메시지만 OK: 소개자 이름 + 이름·주소·연락처·수신거부 문구. 두 번째부터는 다른 동의 근거 필요",IF(AND($H329="REPLY",$D329&lt;&gt;"QUOTE",$D329&lt;&gt;"CALLBACK"),"문의에 대한 답장이 아님: EXPRESS 또는 INQUIRY 동의 필요","OK: 이름·주소·연락처·수신거부 문구 넣기")))),"")))</f>
      </c>
      <c r="N329" s="40">
        <f>IF($H329="INQUIRY",IFERROR(EDATE(INDEX('견적 Quotes'!$B$3:$B$1002,MATCH($C329,'견적 Quotes'!$A$3:$A$1002,0)),'설정 Settings'!$C$20),""),"")</f>
      </c>
    </row>
    <row r="330" spans="12:14" x14ac:dyDescent="0.25">
      <c r="L330" s="42">
        <f>IF($A330="","",IF($G330="Y","완료 DONE",IF($F330="","날짜 없음",IF($F330&lt;'설정 Settings'!$C$15,"지남 OVERDUE",IF($F330='설정 Settings'!$C$15,"오늘 TODAY","예정 OPEN")))))</f>
      </c>
      <c r="M330" s="42">
        <f>IF($A330="","",IF($I330="Y","수신거부: 문자·이메일 보내지 않기",IF(OR($E330="SMS",$E330="EMAIL"),IF(OR($H330="",$H330="NONE"),"동의 근거 없음: 전화·방문만",IF($H330="INQUIRY",IF(N($N330)=0,"견적 요청일을 못 찾음: 관련 ID에 견적 ID(Q-…)를 넣었는지 확인",IF('설정 Settings'!$C$15&gt;N($N330),"문의 후 6개월 지남: 다른 동의 근거 필요","OK: 이름·주소·연락처·수신거부 문구 넣기")),IF($H330="REFERRAL","소개 후 첫 메시지만 OK: 소개자 이름 + 이름·주소·연락처·수신거부 문구. 두 번째부터는 다른 동의 근거 필요",IF(AND($H330="REPLY",$D330&lt;&gt;"QUOTE",$D330&lt;&gt;"CALLBACK"),"문의에 대한 답장이 아님: EXPRESS 또는 INQUIRY 동의 필요","OK: 이름·주소·연락처·수신거부 문구 넣기")))),"")))</f>
      </c>
      <c r="N330" s="40">
        <f>IF($H330="INQUIRY",IFERROR(EDATE(INDEX('견적 Quotes'!$B$3:$B$1002,MATCH($C330,'견적 Quotes'!$A$3:$A$1002,0)),'설정 Settings'!$C$20),""),"")</f>
      </c>
    </row>
    <row r="331" spans="12:14" x14ac:dyDescent="0.25">
      <c r="L331" s="42">
        <f>IF($A331="","",IF($G331="Y","완료 DONE",IF($F331="","날짜 없음",IF($F331&lt;'설정 Settings'!$C$15,"지남 OVERDUE",IF($F331='설정 Settings'!$C$15,"오늘 TODAY","예정 OPEN")))))</f>
      </c>
      <c r="M331" s="42">
        <f>IF($A331="","",IF($I331="Y","수신거부: 문자·이메일 보내지 않기",IF(OR($E331="SMS",$E331="EMAIL"),IF(OR($H331="",$H331="NONE"),"동의 근거 없음: 전화·방문만",IF($H331="INQUIRY",IF(N($N331)=0,"견적 요청일을 못 찾음: 관련 ID에 견적 ID(Q-…)를 넣었는지 확인",IF('설정 Settings'!$C$15&gt;N($N331),"문의 후 6개월 지남: 다른 동의 근거 필요","OK: 이름·주소·연락처·수신거부 문구 넣기")),IF($H331="REFERRAL","소개 후 첫 메시지만 OK: 소개자 이름 + 이름·주소·연락처·수신거부 문구. 두 번째부터는 다른 동의 근거 필요",IF(AND($H331="REPLY",$D331&lt;&gt;"QUOTE",$D331&lt;&gt;"CALLBACK"),"문의에 대한 답장이 아님: EXPRESS 또는 INQUIRY 동의 필요","OK: 이름·주소·연락처·수신거부 문구 넣기")))),"")))</f>
      </c>
      <c r="N331" s="40">
        <f>IF($H331="INQUIRY",IFERROR(EDATE(INDEX('견적 Quotes'!$B$3:$B$1002,MATCH($C331,'견적 Quotes'!$A$3:$A$1002,0)),'설정 Settings'!$C$20),""),"")</f>
      </c>
    </row>
    <row r="332" spans="12:14" x14ac:dyDescent="0.25">
      <c r="L332" s="42">
        <f>IF($A332="","",IF($G332="Y","완료 DONE",IF($F332="","날짜 없음",IF($F332&lt;'설정 Settings'!$C$15,"지남 OVERDUE",IF($F332='설정 Settings'!$C$15,"오늘 TODAY","예정 OPEN")))))</f>
      </c>
      <c r="M332" s="42">
        <f>IF($A332="","",IF($I332="Y","수신거부: 문자·이메일 보내지 않기",IF(OR($E332="SMS",$E332="EMAIL"),IF(OR($H332="",$H332="NONE"),"동의 근거 없음: 전화·방문만",IF($H332="INQUIRY",IF(N($N332)=0,"견적 요청일을 못 찾음: 관련 ID에 견적 ID(Q-…)를 넣었는지 확인",IF('설정 Settings'!$C$15&gt;N($N332),"문의 후 6개월 지남: 다른 동의 근거 필요","OK: 이름·주소·연락처·수신거부 문구 넣기")),IF($H332="REFERRAL","소개 후 첫 메시지만 OK: 소개자 이름 + 이름·주소·연락처·수신거부 문구. 두 번째부터는 다른 동의 근거 필요",IF(AND($H332="REPLY",$D332&lt;&gt;"QUOTE",$D332&lt;&gt;"CALLBACK"),"문의에 대한 답장이 아님: EXPRESS 또는 INQUIRY 동의 필요","OK: 이름·주소·연락처·수신거부 문구 넣기")))),"")))</f>
      </c>
      <c r="N332" s="40">
        <f>IF($H332="INQUIRY",IFERROR(EDATE(INDEX('견적 Quotes'!$B$3:$B$1002,MATCH($C332,'견적 Quotes'!$A$3:$A$1002,0)),'설정 Settings'!$C$20),""),"")</f>
      </c>
    </row>
    <row r="333" spans="12:14" x14ac:dyDescent="0.25">
      <c r="L333" s="42">
        <f>IF($A333="","",IF($G333="Y","완료 DONE",IF($F333="","날짜 없음",IF($F333&lt;'설정 Settings'!$C$15,"지남 OVERDUE",IF($F333='설정 Settings'!$C$15,"오늘 TODAY","예정 OPEN")))))</f>
      </c>
      <c r="M333" s="42">
        <f>IF($A333="","",IF($I333="Y","수신거부: 문자·이메일 보내지 않기",IF(OR($E333="SMS",$E333="EMAIL"),IF(OR($H333="",$H333="NONE"),"동의 근거 없음: 전화·방문만",IF($H333="INQUIRY",IF(N($N333)=0,"견적 요청일을 못 찾음: 관련 ID에 견적 ID(Q-…)를 넣었는지 확인",IF('설정 Settings'!$C$15&gt;N($N333),"문의 후 6개월 지남: 다른 동의 근거 필요","OK: 이름·주소·연락처·수신거부 문구 넣기")),IF($H333="REFERRAL","소개 후 첫 메시지만 OK: 소개자 이름 + 이름·주소·연락처·수신거부 문구. 두 번째부터는 다른 동의 근거 필요",IF(AND($H333="REPLY",$D333&lt;&gt;"QUOTE",$D333&lt;&gt;"CALLBACK"),"문의에 대한 답장이 아님: EXPRESS 또는 INQUIRY 동의 필요","OK: 이름·주소·연락처·수신거부 문구 넣기")))),"")))</f>
      </c>
      <c r="N333" s="40">
        <f>IF($H333="INQUIRY",IFERROR(EDATE(INDEX('견적 Quotes'!$B$3:$B$1002,MATCH($C333,'견적 Quotes'!$A$3:$A$1002,0)),'설정 Settings'!$C$20),""),"")</f>
      </c>
    </row>
    <row r="334" spans="12:14" x14ac:dyDescent="0.25">
      <c r="L334" s="42">
        <f>IF($A334="","",IF($G334="Y","완료 DONE",IF($F334="","날짜 없음",IF($F334&lt;'설정 Settings'!$C$15,"지남 OVERDUE",IF($F334='설정 Settings'!$C$15,"오늘 TODAY","예정 OPEN")))))</f>
      </c>
      <c r="M334" s="42">
        <f>IF($A334="","",IF($I334="Y","수신거부: 문자·이메일 보내지 않기",IF(OR($E334="SMS",$E334="EMAIL"),IF(OR($H334="",$H334="NONE"),"동의 근거 없음: 전화·방문만",IF($H334="INQUIRY",IF(N($N334)=0,"견적 요청일을 못 찾음: 관련 ID에 견적 ID(Q-…)를 넣었는지 확인",IF('설정 Settings'!$C$15&gt;N($N334),"문의 후 6개월 지남: 다른 동의 근거 필요","OK: 이름·주소·연락처·수신거부 문구 넣기")),IF($H334="REFERRAL","소개 후 첫 메시지만 OK: 소개자 이름 + 이름·주소·연락처·수신거부 문구. 두 번째부터는 다른 동의 근거 필요",IF(AND($H334="REPLY",$D334&lt;&gt;"QUOTE",$D334&lt;&gt;"CALLBACK"),"문의에 대한 답장이 아님: EXPRESS 또는 INQUIRY 동의 필요","OK: 이름·주소·연락처·수신거부 문구 넣기")))),"")))</f>
      </c>
      <c r="N334" s="40">
        <f>IF($H334="INQUIRY",IFERROR(EDATE(INDEX('견적 Quotes'!$B$3:$B$1002,MATCH($C334,'견적 Quotes'!$A$3:$A$1002,0)),'설정 Settings'!$C$20),""),"")</f>
      </c>
    </row>
    <row r="335" spans="12:14" x14ac:dyDescent="0.25">
      <c r="L335" s="42">
        <f>IF($A335="","",IF($G335="Y","완료 DONE",IF($F335="","날짜 없음",IF($F335&lt;'설정 Settings'!$C$15,"지남 OVERDUE",IF($F335='설정 Settings'!$C$15,"오늘 TODAY","예정 OPEN")))))</f>
      </c>
      <c r="M335" s="42">
        <f>IF($A335="","",IF($I335="Y","수신거부: 문자·이메일 보내지 않기",IF(OR($E335="SMS",$E335="EMAIL"),IF(OR($H335="",$H335="NONE"),"동의 근거 없음: 전화·방문만",IF($H335="INQUIRY",IF(N($N335)=0,"견적 요청일을 못 찾음: 관련 ID에 견적 ID(Q-…)를 넣었는지 확인",IF('설정 Settings'!$C$15&gt;N($N335),"문의 후 6개월 지남: 다른 동의 근거 필요","OK: 이름·주소·연락처·수신거부 문구 넣기")),IF($H335="REFERRAL","소개 후 첫 메시지만 OK: 소개자 이름 + 이름·주소·연락처·수신거부 문구. 두 번째부터는 다른 동의 근거 필요",IF(AND($H335="REPLY",$D335&lt;&gt;"QUOTE",$D335&lt;&gt;"CALLBACK"),"문의에 대한 답장이 아님: EXPRESS 또는 INQUIRY 동의 필요","OK: 이름·주소·연락처·수신거부 문구 넣기")))),"")))</f>
      </c>
      <c r="N335" s="40">
        <f>IF($H335="INQUIRY",IFERROR(EDATE(INDEX('견적 Quotes'!$B$3:$B$1002,MATCH($C335,'견적 Quotes'!$A$3:$A$1002,0)),'설정 Settings'!$C$20),""),"")</f>
      </c>
    </row>
    <row r="336" spans="12:14" x14ac:dyDescent="0.25">
      <c r="L336" s="42">
        <f>IF($A336="","",IF($G336="Y","완료 DONE",IF($F336="","날짜 없음",IF($F336&lt;'설정 Settings'!$C$15,"지남 OVERDUE",IF($F336='설정 Settings'!$C$15,"오늘 TODAY","예정 OPEN")))))</f>
      </c>
      <c r="M336" s="42">
        <f>IF($A336="","",IF($I336="Y","수신거부: 문자·이메일 보내지 않기",IF(OR($E336="SMS",$E336="EMAIL"),IF(OR($H336="",$H336="NONE"),"동의 근거 없음: 전화·방문만",IF($H336="INQUIRY",IF(N($N336)=0,"견적 요청일을 못 찾음: 관련 ID에 견적 ID(Q-…)를 넣었는지 확인",IF('설정 Settings'!$C$15&gt;N($N336),"문의 후 6개월 지남: 다른 동의 근거 필요","OK: 이름·주소·연락처·수신거부 문구 넣기")),IF($H336="REFERRAL","소개 후 첫 메시지만 OK: 소개자 이름 + 이름·주소·연락처·수신거부 문구. 두 번째부터는 다른 동의 근거 필요",IF(AND($H336="REPLY",$D336&lt;&gt;"QUOTE",$D336&lt;&gt;"CALLBACK"),"문의에 대한 답장이 아님: EXPRESS 또는 INQUIRY 동의 필요","OK: 이름·주소·연락처·수신거부 문구 넣기")))),"")))</f>
      </c>
      <c r="N336" s="40">
        <f>IF($H336="INQUIRY",IFERROR(EDATE(INDEX('견적 Quotes'!$B$3:$B$1002,MATCH($C336,'견적 Quotes'!$A$3:$A$1002,0)),'설정 Settings'!$C$20),""),"")</f>
      </c>
    </row>
    <row r="337" spans="12:14" x14ac:dyDescent="0.25">
      <c r="L337" s="42">
        <f>IF($A337="","",IF($G337="Y","완료 DONE",IF($F337="","날짜 없음",IF($F337&lt;'설정 Settings'!$C$15,"지남 OVERDUE",IF($F337='설정 Settings'!$C$15,"오늘 TODAY","예정 OPEN")))))</f>
      </c>
      <c r="M337" s="42">
        <f>IF($A337="","",IF($I337="Y","수신거부: 문자·이메일 보내지 않기",IF(OR($E337="SMS",$E337="EMAIL"),IF(OR($H337="",$H337="NONE"),"동의 근거 없음: 전화·방문만",IF($H337="INQUIRY",IF(N($N337)=0,"견적 요청일을 못 찾음: 관련 ID에 견적 ID(Q-…)를 넣었는지 확인",IF('설정 Settings'!$C$15&gt;N($N337),"문의 후 6개월 지남: 다른 동의 근거 필요","OK: 이름·주소·연락처·수신거부 문구 넣기")),IF($H337="REFERRAL","소개 후 첫 메시지만 OK: 소개자 이름 + 이름·주소·연락처·수신거부 문구. 두 번째부터는 다른 동의 근거 필요",IF(AND($H337="REPLY",$D337&lt;&gt;"QUOTE",$D337&lt;&gt;"CALLBACK"),"문의에 대한 답장이 아님: EXPRESS 또는 INQUIRY 동의 필요","OK: 이름·주소·연락처·수신거부 문구 넣기")))),"")))</f>
      </c>
      <c r="N337" s="40">
        <f>IF($H337="INQUIRY",IFERROR(EDATE(INDEX('견적 Quotes'!$B$3:$B$1002,MATCH($C337,'견적 Quotes'!$A$3:$A$1002,0)),'설정 Settings'!$C$20),""),"")</f>
      </c>
    </row>
    <row r="338" spans="12:14" x14ac:dyDescent="0.25">
      <c r="L338" s="42">
        <f>IF($A338="","",IF($G338="Y","완료 DONE",IF($F338="","날짜 없음",IF($F338&lt;'설정 Settings'!$C$15,"지남 OVERDUE",IF($F338='설정 Settings'!$C$15,"오늘 TODAY","예정 OPEN")))))</f>
      </c>
      <c r="M338" s="42">
        <f>IF($A338="","",IF($I338="Y","수신거부: 문자·이메일 보내지 않기",IF(OR($E338="SMS",$E338="EMAIL"),IF(OR($H338="",$H338="NONE"),"동의 근거 없음: 전화·방문만",IF($H338="INQUIRY",IF(N($N338)=0,"견적 요청일을 못 찾음: 관련 ID에 견적 ID(Q-…)를 넣었는지 확인",IF('설정 Settings'!$C$15&gt;N($N338),"문의 후 6개월 지남: 다른 동의 근거 필요","OK: 이름·주소·연락처·수신거부 문구 넣기")),IF($H338="REFERRAL","소개 후 첫 메시지만 OK: 소개자 이름 + 이름·주소·연락처·수신거부 문구. 두 번째부터는 다른 동의 근거 필요",IF(AND($H338="REPLY",$D338&lt;&gt;"QUOTE",$D338&lt;&gt;"CALLBACK"),"문의에 대한 답장이 아님: EXPRESS 또는 INQUIRY 동의 필요","OK: 이름·주소·연락처·수신거부 문구 넣기")))),"")))</f>
      </c>
      <c r="N338" s="40">
        <f>IF($H338="INQUIRY",IFERROR(EDATE(INDEX('견적 Quotes'!$B$3:$B$1002,MATCH($C338,'견적 Quotes'!$A$3:$A$1002,0)),'설정 Settings'!$C$20),""),"")</f>
      </c>
    </row>
    <row r="339" spans="12:14" x14ac:dyDescent="0.25">
      <c r="L339" s="42">
        <f>IF($A339="","",IF($G339="Y","완료 DONE",IF($F339="","날짜 없음",IF($F339&lt;'설정 Settings'!$C$15,"지남 OVERDUE",IF($F339='설정 Settings'!$C$15,"오늘 TODAY","예정 OPEN")))))</f>
      </c>
      <c r="M339" s="42">
        <f>IF($A339="","",IF($I339="Y","수신거부: 문자·이메일 보내지 않기",IF(OR($E339="SMS",$E339="EMAIL"),IF(OR($H339="",$H339="NONE"),"동의 근거 없음: 전화·방문만",IF($H339="INQUIRY",IF(N($N339)=0,"견적 요청일을 못 찾음: 관련 ID에 견적 ID(Q-…)를 넣었는지 확인",IF('설정 Settings'!$C$15&gt;N($N339),"문의 후 6개월 지남: 다른 동의 근거 필요","OK: 이름·주소·연락처·수신거부 문구 넣기")),IF($H339="REFERRAL","소개 후 첫 메시지만 OK: 소개자 이름 + 이름·주소·연락처·수신거부 문구. 두 번째부터는 다른 동의 근거 필요",IF(AND($H339="REPLY",$D339&lt;&gt;"QUOTE",$D339&lt;&gt;"CALLBACK"),"문의에 대한 답장이 아님: EXPRESS 또는 INQUIRY 동의 필요","OK: 이름·주소·연락처·수신거부 문구 넣기")))),"")))</f>
      </c>
      <c r="N339" s="40">
        <f>IF($H339="INQUIRY",IFERROR(EDATE(INDEX('견적 Quotes'!$B$3:$B$1002,MATCH($C339,'견적 Quotes'!$A$3:$A$1002,0)),'설정 Settings'!$C$20),""),"")</f>
      </c>
    </row>
    <row r="340" spans="12:14" x14ac:dyDescent="0.25">
      <c r="L340" s="42">
        <f>IF($A340="","",IF($G340="Y","완료 DONE",IF($F340="","날짜 없음",IF($F340&lt;'설정 Settings'!$C$15,"지남 OVERDUE",IF($F340='설정 Settings'!$C$15,"오늘 TODAY","예정 OPEN")))))</f>
      </c>
      <c r="M340" s="42">
        <f>IF($A340="","",IF($I340="Y","수신거부: 문자·이메일 보내지 않기",IF(OR($E340="SMS",$E340="EMAIL"),IF(OR($H340="",$H340="NONE"),"동의 근거 없음: 전화·방문만",IF($H340="INQUIRY",IF(N($N340)=0,"견적 요청일을 못 찾음: 관련 ID에 견적 ID(Q-…)를 넣었는지 확인",IF('설정 Settings'!$C$15&gt;N($N340),"문의 후 6개월 지남: 다른 동의 근거 필요","OK: 이름·주소·연락처·수신거부 문구 넣기")),IF($H340="REFERRAL","소개 후 첫 메시지만 OK: 소개자 이름 + 이름·주소·연락처·수신거부 문구. 두 번째부터는 다른 동의 근거 필요",IF(AND($H340="REPLY",$D340&lt;&gt;"QUOTE",$D340&lt;&gt;"CALLBACK"),"문의에 대한 답장이 아님: EXPRESS 또는 INQUIRY 동의 필요","OK: 이름·주소·연락처·수신거부 문구 넣기")))),"")))</f>
      </c>
      <c r="N340" s="40">
        <f>IF($H340="INQUIRY",IFERROR(EDATE(INDEX('견적 Quotes'!$B$3:$B$1002,MATCH($C340,'견적 Quotes'!$A$3:$A$1002,0)),'설정 Settings'!$C$20),""),"")</f>
      </c>
    </row>
    <row r="341" spans="12:14" x14ac:dyDescent="0.25">
      <c r="L341" s="42">
        <f>IF($A341="","",IF($G341="Y","완료 DONE",IF($F341="","날짜 없음",IF($F341&lt;'설정 Settings'!$C$15,"지남 OVERDUE",IF($F341='설정 Settings'!$C$15,"오늘 TODAY","예정 OPEN")))))</f>
      </c>
      <c r="M341" s="42">
        <f>IF($A341="","",IF($I341="Y","수신거부: 문자·이메일 보내지 않기",IF(OR($E341="SMS",$E341="EMAIL"),IF(OR($H341="",$H341="NONE"),"동의 근거 없음: 전화·방문만",IF($H341="INQUIRY",IF(N($N341)=0,"견적 요청일을 못 찾음: 관련 ID에 견적 ID(Q-…)를 넣었는지 확인",IF('설정 Settings'!$C$15&gt;N($N341),"문의 후 6개월 지남: 다른 동의 근거 필요","OK: 이름·주소·연락처·수신거부 문구 넣기")),IF($H341="REFERRAL","소개 후 첫 메시지만 OK: 소개자 이름 + 이름·주소·연락처·수신거부 문구. 두 번째부터는 다른 동의 근거 필요",IF(AND($H341="REPLY",$D341&lt;&gt;"QUOTE",$D341&lt;&gt;"CALLBACK"),"문의에 대한 답장이 아님: EXPRESS 또는 INQUIRY 동의 필요","OK: 이름·주소·연락처·수신거부 문구 넣기")))),"")))</f>
      </c>
      <c r="N341" s="40">
        <f>IF($H341="INQUIRY",IFERROR(EDATE(INDEX('견적 Quotes'!$B$3:$B$1002,MATCH($C341,'견적 Quotes'!$A$3:$A$1002,0)),'설정 Settings'!$C$20),""),"")</f>
      </c>
    </row>
    <row r="342" spans="12:14" x14ac:dyDescent="0.25">
      <c r="L342" s="42">
        <f>IF($A342="","",IF($G342="Y","완료 DONE",IF($F342="","날짜 없음",IF($F342&lt;'설정 Settings'!$C$15,"지남 OVERDUE",IF($F342='설정 Settings'!$C$15,"오늘 TODAY","예정 OPEN")))))</f>
      </c>
      <c r="M342" s="42">
        <f>IF($A342="","",IF($I342="Y","수신거부: 문자·이메일 보내지 않기",IF(OR($E342="SMS",$E342="EMAIL"),IF(OR($H342="",$H342="NONE"),"동의 근거 없음: 전화·방문만",IF($H342="INQUIRY",IF(N($N342)=0,"견적 요청일을 못 찾음: 관련 ID에 견적 ID(Q-…)를 넣었는지 확인",IF('설정 Settings'!$C$15&gt;N($N342),"문의 후 6개월 지남: 다른 동의 근거 필요","OK: 이름·주소·연락처·수신거부 문구 넣기")),IF($H342="REFERRAL","소개 후 첫 메시지만 OK: 소개자 이름 + 이름·주소·연락처·수신거부 문구. 두 번째부터는 다른 동의 근거 필요",IF(AND($H342="REPLY",$D342&lt;&gt;"QUOTE",$D342&lt;&gt;"CALLBACK"),"문의에 대한 답장이 아님: EXPRESS 또는 INQUIRY 동의 필요","OK: 이름·주소·연락처·수신거부 문구 넣기")))),"")))</f>
      </c>
      <c r="N342" s="40">
        <f>IF($H342="INQUIRY",IFERROR(EDATE(INDEX('견적 Quotes'!$B$3:$B$1002,MATCH($C342,'견적 Quotes'!$A$3:$A$1002,0)),'설정 Settings'!$C$20),""),"")</f>
      </c>
    </row>
    <row r="343" spans="12:14" x14ac:dyDescent="0.25">
      <c r="L343" s="42">
        <f>IF($A343="","",IF($G343="Y","완료 DONE",IF($F343="","날짜 없음",IF($F343&lt;'설정 Settings'!$C$15,"지남 OVERDUE",IF($F343='설정 Settings'!$C$15,"오늘 TODAY","예정 OPEN")))))</f>
      </c>
      <c r="M343" s="42">
        <f>IF($A343="","",IF($I343="Y","수신거부: 문자·이메일 보내지 않기",IF(OR($E343="SMS",$E343="EMAIL"),IF(OR($H343="",$H343="NONE"),"동의 근거 없음: 전화·방문만",IF($H343="INQUIRY",IF(N($N343)=0,"견적 요청일을 못 찾음: 관련 ID에 견적 ID(Q-…)를 넣었는지 확인",IF('설정 Settings'!$C$15&gt;N($N343),"문의 후 6개월 지남: 다른 동의 근거 필요","OK: 이름·주소·연락처·수신거부 문구 넣기")),IF($H343="REFERRAL","소개 후 첫 메시지만 OK: 소개자 이름 + 이름·주소·연락처·수신거부 문구. 두 번째부터는 다른 동의 근거 필요",IF(AND($H343="REPLY",$D343&lt;&gt;"QUOTE",$D343&lt;&gt;"CALLBACK"),"문의에 대한 답장이 아님: EXPRESS 또는 INQUIRY 동의 필요","OK: 이름·주소·연락처·수신거부 문구 넣기")))),"")))</f>
      </c>
      <c r="N343" s="40">
        <f>IF($H343="INQUIRY",IFERROR(EDATE(INDEX('견적 Quotes'!$B$3:$B$1002,MATCH($C343,'견적 Quotes'!$A$3:$A$1002,0)),'설정 Settings'!$C$20),""),"")</f>
      </c>
    </row>
    <row r="344" spans="12:14" x14ac:dyDescent="0.25">
      <c r="L344" s="42">
        <f>IF($A344="","",IF($G344="Y","완료 DONE",IF($F344="","날짜 없음",IF($F344&lt;'설정 Settings'!$C$15,"지남 OVERDUE",IF($F344='설정 Settings'!$C$15,"오늘 TODAY","예정 OPEN")))))</f>
      </c>
      <c r="M344" s="42">
        <f>IF($A344="","",IF($I344="Y","수신거부: 문자·이메일 보내지 않기",IF(OR($E344="SMS",$E344="EMAIL"),IF(OR($H344="",$H344="NONE"),"동의 근거 없음: 전화·방문만",IF($H344="INQUIRY",IF(N($N344)=0,"견적 요청일을 못 찾음: 관련 ID에 견적 ID(Q-…)를 넣었는지 확인",IF('설정 Settings'!$C$15&gt;N($N344),"문의 후 6개월 지남: 다른 동의 근거 필요","OK: 이름·주소·연락처·수신거부 문구 넣기")),IF($H344="REFERRAL","소개 후 첫 메시지만 OK: 소개자 이름 + 이름·주소·연락처·수신거부 문구. 두 번째부터는 다른 동의 근거 필요",IF(AND($H344="REPLY",$D344&lt;&gt;"QUOTE",$D344&lt;&gt;"CALLBACK"),"문의에 대한 답장이 아님: EXPRESS 또는 INQUIRY 동의 필요","OK: 이름·주소·연락처·수신거부 문구 넣기")))),"")))</f>
      </c>
      <c r="N344" s="40">
        <f>IF($H344="INQUIRY",IFERROR(EDATE(INDEX('견적 Quotes'!$B$3:$B$1002,MATCH($C344,'견적 Quotes'!$A$3:$A$1002,0)),'설정 Settings'!$C$20),""),"")</f>
      </c>
    </row>
    <row r="345" spans="12:14" x14ac:dyDescent="0.25">
      <c r="L345" s="42">
        <f>IF($A345="","",IF($G345="Y","완료 DONE",IF($F345="","날짜 없음",IF($F345&lt;'설정 Settings'!$C$15,"지남 OVERDUE",IF($F345='설정 Settings'!$C$15,"오늘 TODAY","예정 OPEN")))))</f>
      </c>
      <c r="M345" s="42">
        <f>IF($A345="","",IF($I345="Y","수신거부: 문자·이메일 보내지 않기",IF(OR($E345="SMS",$E345="EMAIL"),IF(OR($H345="",$H345="NONE"),"동의 근거 없음: 전화·방문만",IF($H345="INQUIRY",IF(N($N345)=0,"견적 요청일을 못 찾음: 관련 ID에 견적 ID(Q-…)를 넣었는지 확인",IF('설정 Settings'!$C$15&gt;N($N345),"문의 후 6개월 지남: 다른 동의 근거 필요","OK: 이름·주소·연락처·수신거부 문구 넣기")),IF($H345="REFERRAL","소개 후 첫 메시지만 OK: 소개자 이름 + 이름·주소·연락처·수신거부 문구. 두 번째부터는 다른 동의 근거 필요",IF(AND($H345="REPLY",$D345&lt;&gt;"QUOTE",$D345&lt;&gt;"CALLBACK"),"문의에 대한 답장이 아님: EXPRESS 또는 INQUIRY 동의 필요","OK: 이름·주소·연락처·수신거부 문구 넣기")))),"")))</f>
      </c>
      <c r="N345" s="40">
        <f>IF($H345="INQUIRY",IFERROR(EDATE(INDEX('견적 Quotes'!$B$3:$B$1002,MATCH($C345,'견적 Quotes'!$A$3:$A$1002,0)),'설정 Settings'!$C$20),""),"")</f>
      </c>
    </row>
    <row r="346" spans="12:14" x14ac:dyDescent="0.25">
      <c r="L346" s="42">
        <f>IF($A346="","",IF($G346="Y","완료 DONE",IF($F346="","날짜 없음",IF($F346&lt;'설정 Settings'!$C$15,"지남 OVERDUE",IF($F346='설정 Settings'!$C$15,"오늘 TODAY","예정 OPEN")))))</f>
      </c>
      <c r="M346" s="42">
        <f>IF($A346="","",IF($I346="Y","수신거부: 문자·이메일 보내지 않기",IF(OR($E346="SMS",$E346="EMAIL"),IF(OR($H346="",$H346="NONE"),"동의 근거 없음: 전화·방문만",IF($H346="INQUIRY",IF(N($N346)=0,"견적 요청일을 못 찾음: 관련 ID에 견적 ID(Q-…)를 넣었는지 확인",IF('설정 Settings'!$C$15&gt;N($N346),"문의 후 6개월 지남: 다른 동의 근거 필요","OK: 이름·주소·연락처·수신거부 문구 넣기")),IF($H346="REFERRAL","소개 후 첫 메시지만 OK: 소개자 이름 + 이름·주소·연락처·수신거부 문구. 두 번째부터는 다른 동의 근거 필요",IF(AND($H346="REPLY",$D346&lt;&gt;"QUOTE",$D346&lt;&gt;"CALLBACK"),"문의에 대한 답장이 아님: EXPRESS 또는 INQUIRY 동의 필요","OK: 이름·주소·연락처·수신거부 문구 넣기")))),"")))</f>
      </c>
      <c r="N346" s="40">
        <f>IF($H346="INQUIRY",IFERROR(EDATE(INDEX('견적 Quotes'!$B$3:$B$1002,MATCH($C346,'견적 Quotes'!$A$3:$A$1002,0)),'설정 Settings'!$C$20),""),"")</f>
      </c>
    </row>
    <row r="347" spans="12:14" x14ac:dyDescent="0.25">
      <c r="L347" s="42">
        <f>IF($A347="","",IF($G347="Y","완료 DONE",IF($F347="","날짜 없음",IF($F347&lt;'설정 Settings'!$C$15,"지남 OVERDUE",IF($F347='설정 Settings'!$C$15,"오늘 TODAY","예정 OPEN")))))</f>
      </c>
      <c r="M347" s="42">
        <f>IF($A347="","",IF($I347="Y","수신거부: 문자·이메일 보내지 않기",IF(OR($E347="SMS",$E347="EMAIL"),IF(OR($H347="",$H347="NONE"),"동의 근거 없음: 전화·방문만",IF($H347="INQUIRY",IF(N($N347)=0,"견적 요청일을 못 찾음: 관련 ID에 견적 ID(Q-…)를 넣었는지 확인",IF('설정 Settings'!$C$15&gt;N($N347),"문의 후 6개월 지남: 다른 동의 근거 필요","OK: 이름·주소·연락처·수신거부 문구 넣기")),IF($H347="REFERRAL","소개 후 첫 메시지만 OK: 소개자 이름 + 이름·주소·연락처·수신거부 문구. 두 번째부터는 다른 동의 근거 필요",IF(AND($H347="REPLY",$D347&lt;&gt;"QUOTE",$D347&lt;&gt;"CALLBACK"),"문의에 대한 답장이 아님: EXPRESS 또는 INQUIRY 동의 필요","OK: 이름·주소·연락처·수신거부 문구 넣기")))),"")))</f>
      </c>
      <c r="N347" s="40">
        <f>IF($H347="INQUIRY",IFERROR(EDATE(INDEX('견적 Quotes'!$B$3:$B$1002,MATCH($C347,'견적 Quotes'!$A$3:$A$1002,0)),'설정 Settings'!$C$20),""),"")</f>
      </c>
    </row>
    <row r="348" spans="12:14" x14ac:dyDescent="0.25">
      <c r="L348" s="42">
        <f>IF($A348="","",IF($G348="Y","완료 DONE",IF($F348="","날짜 없음",IF($F348&lt;'설정 Settings'!$C$15,"지남 OVERDUE",IF($F348='설정 Settings'!$C$15,"오늘 TODAY","예정 OPEN")))))</f>
      </c>
      <c r="M348" s="42">
        <f>IF($A348="","",IF($I348="Y","수신거부: 문자·이메일 보내지 않기",IF(OR($E348="SMS",$E348="EMAIL"),IF(OR($H348="",$H348="NONE"),"동의 근거 없음: 전화·방문만",IF($H348="INQUIRY",IF(N($N348)=0,"견적 요청일을 못 찾음: 관련 ID에 견적 ID(Q-…)를 넣었는지 확인",IF('설정 Settings'!$C$15&gt;N($N348),"문의 후 6개월 지남: 다른 동의 근거 필요","OK: 이름·주소·연락처·수신거부 문구 넣기")),IF($H348="REFERRAL","소개 후 첫 메시지만 OK: 소개자 이름 + 이름·주소·연락처·수신거부 문구. 두 번째부터는 다른 동의 근거 필요",IF(AND($H348="REPLY",$D348&lt;&gt;"QUOTE",$D348&lt;&gt;"CALLBACK"),"문의에 대한 답장이 아님: EXPRESS 또는 INQUIRY 동의 필요","OK: 이름·주소·연락처·수신거부 문구 넣기")))),"")))</f>
      </c>
      <c r="N348" s="40">
        <f>IF($H348="INQUIRY",IFERROR(EDATE(INDEX('견적 Quotes'!$B$3:$B$1002,MATCH($C348,'견적 Quotes'!$A$3:$A$1002,0)),'설정 Settings'!$C$20),""),"")</f>
      </c>
    </row>
    <row r="349" spans="12:14" x14ac:dyDescent="0.25">
      <c r="L349" s="42">
        <f>IF($A349="","",IF($G349="Y","완료 DONE",IF($F349="","날짜 없음",IF($F349&lt;'설정 Settings'!$C$15,"지남 OVERDUE",IF($F349='설정 Settings'!$C$15,"오늘 TODAY","예정 OPEN")))))</f>
      </c>
      <c r="M349" s="42">
        <f>IF($A349="","",IF($I349="Y","수신거부: 문자·이메일 보내지 않기",IF(OR($E349="SMS",$E349="EMAIL"),IF(OR($H349="",$H349="NONE"),"동의 근거 없음: 전화·방문만",IF($H349="INQUIRY",IF(N($N349)=0,"견적 요청일을 못 찾음: 관련 ID에 견적 ID(Q-…)를 넣었는지 확인",IF('설정 Settings'!$C$15&gt;N($N349),"문의 후 6개월 지남: 다른 동의 근거 필요","OK: 이름·주소·연락처·수신거부 문구 넣기")),IF($H349="REFERRAL","소개 후 첫 메시지만 OK: 소개자 이름 + 이름·주소·연락처·수신거부 문구. 두 번째부터는 다른 동의 근거 필요",IF(AND($H349="REPLY",$D349&lt;&gt;"QUOTE",$D349&lt;&gt;"CALLBACK"),"문의에 대한 답장이 아님: EXPRESS 또는 INQUIRY 동의 필요","OK: 이름·주소·연락처·수신거부 문구 넣기")))),"")))</f>
      </c>
      <c r="N349" s="40">
        <f>IF($H349="INQUIRY",IFERROR(EDATE(INDEX('견적 Quotes'!$B$3:$B$1002,MATCH($C349,'견적 Quotes'!$A$3:$A$1002,0)),'설정 Settings'!$C$20),""),"")</f>
      </c>
    </row>
    <row r="350" spans="12:14" x14ac:dyDescent="0.25">
      <c r="L350" s="42">
        <f>IF($A350="","",IF($G350="Y","완료 DONE",IF($F350="","날짜 없음",IF($F350&lt;'설정 Settings'!$C$15,"지남 OVERDUE",IF($F350='설정 Settings'!$C$15,"오늘 TODAY","예정 OPEN")))))</f>
      </c>
      <c r="M350" s="42">
        <f>IF($A350="","",IF($I350="Y","수신거부: 문자·이메일 보내지 않기",IF(OR($E350="SMS",$E350="EMAIL"),IF(OR($H350="",$H350="NONE"),"동의 근거 없음: 전화·방문만",IF($H350="INQUIRY",IF(N($N350)=0,"견적 요청일을 못 찾음: 관련 ID에 견적 ID(Q-…)를 넣었는지 확인",IF('설정 Settings'!$C$15&gt;N($N350),"문의 후 6개월 지남: 다른 동의 근거 필요","OK: 이름·주소·연락처·수신거부 문구 넣기")),IF($H350="REFERRAL","소개 후 첫 메시지만 OK: 소개자 이름 + 이름·주소·연락처·수신거부 문구. 두 번째부터는 다른 동의 근거 필요",IF(AND($H350="REPLY",$D350&lt;&gt;"QUOTE",$D350&lt;&gt;"CALLBACK"),"문의에 대한 답장이 아님: EXPRESS 또는 INQUIRY 동의 필요","OK: 이름·주소·연락처·수신거부 문구 넣기")))),"")))</f>
      </c>
      <c r="N350" s="40">
        <f>IF($H350="INQUIRY",IFERROR(EDATE(INDEX('견적 Quotes'!$B$3:$B$1002,MATCH($C350,'견적 Quotes'!$A$3:$A$1002,0)),'설정 Settings'!$C$20),""),"")</f>
      </c>
    </row>
    <row r="351" spans="12:14" x14ac:dyDescent="0.25">
      <c r="L351" s="42">
        <f>IF($A351="","",IF($G351="Y","완료 DONE",IF($F351="","날짜 없음",IF($F351&lt;'설정 Settings'!$C$15,"지남 OVERDUE",IF($F351='설정 Settings'!$C$15,"오늘 TODAY","예정 OPEN")))))</f>
      </c>
      <c r="M351" s="42">
        <f>IF($A351="","",IF($I351="Y","수신거부: 문자·이메일 보내지 않기",IF(OR($E351="SMS",$E351="EMAIL"),IF(OR($H351="",$H351="NONE"),"동의 근거 없음: 전화·방문만",IF($H351="INQUIRY",IF(N($N351)=0,"견적 요청일을 못 찾음: 관련 ID에 견적 ID(Q-…)를 넣었는지 확인",IF('설정 Settings'!$C$15&gt;N($N351),"문의 후 6개월 지남: 다른 동의 근거 필요","OK: 이름·주소·연락처·수신거부 문구 넣기")),IF($H351="REFERRAL","소개 후 첫 메시지만 OK: 소개자 이름 + 이름·주소·연락처·수신거부 문구. 두 번째부터는 다른 동의 근거 필요",IF(AND($H351="REPLY",$D351&lt;&gt;"QUOTE",$D351&lt;&gt;"CALLBACK"),"문의에 대한 답장이 아님: EXPRESS 또는 INQUIRY 동의 필요","OK: 이름·주소·연락처·수신거부 문구 넣기")))),"")))</f>
      </c>
      <c r="N351" s="40">
        <f>IF($H351="INQUIRY",IFERROR(EDATE(INDEX('견적 Quotes'!$B$3:$B$1002,MATCH($C351,'견적 Quotes'!$A$3:$A$1002,0)),'설정 Settings'!$C$20),""),"")</f>
      </c>
    </row>
    <row r="352" spans="12:14" x14ac:dyDescent="0.25">
      <c r="L352" s="42">
        <f>IF($A352="","",IF($G352="Y","완료 DONE",IF($F352="","날짜 없음",IF($F352&lt;'설정 Settings'!$C$15,"지남 OVERDUE",IF($F352='설정 Settings'!$C$15,"오늘 TODAY","예정 OPEN")))))</f>
      </c>
      <c r="M352" s="42">
        <f>IF($A352="","",IF($I352="Y","수신거부: 문자·이메일 보내지 않기",IF(OR($E352="SMS",$E352="EMAIL"),IF(OR($H352="",$H352="NONE"),"동의 근거 없음: 전화·방문만",IF($H352="INQUIRY",IF(N($N352)=0,"견적 요청일을 못 찾음: 관련 ID에 견적 ID(Q-…)를 넣었는지 확인",IF('설정 Settings'!$C$15&gt;N($N352),"문의 후 6개월 지남: 다른 동의 근거 필요","OK: 이름·주소·연락처·수신거부 문구 넣기")),IF($H352="REFERRAL","소개 후 첫 메시지만 OK: 소개자 이름 + 이름·주소·연락처·수신거부 문구. 두 번째부터는 다른 동의 근거 필요",IF(AND($H352="REPLY",$D352&lt;&gt;"QUOTE",$D352&lt;&gt;"CALLBACK"),"문의에 대한 답장이 아님: EXPRESS 또는 INQUIRY 동의 필요","OK: 이름·주소·연락처·수신거부 문구 넣기")))),"")))</f>
      </c>
      <c r="N352" s="40">
        <f>IF($H352="INQUIRY",IFERROR(EDATE(INDEX('견적 Quotes'!$B$3:$B$1002,MATCH($C352,'견적 Quotes'!$A$3:$A$1002,0)),'설정 Settings'!$C$20),""),"")</f>
      </c>
    </row>
    <row r="353" spans="12:14" x14ac:dyDescent="0.25">
      <c r="L353" s="42">
        <f>IF($A353="","",IF($G353="Y","완료 DONE",IF($F353="","날짜 없음",IF($F353&lt;'설정 Settings'!$C$15,"지남 OVERDUE",IF($F353='설정 Settings'!$C$15,"오늘 TODAY","예정 OPEN")))))</f>
      </c>
      <c r="M353" s="42">
        <f>IF($A353="","",IF($I353="Y","수신거부: 문자·이메일 보내지 않기",IF(OR($E353="SMS",$E353="EMAIL"),IF(OR($H353="",$H353="NONE"),"동의 근거 없음: 전화·방문만",IF($H353="INQUIRY",IF(N($N353)=0,"견적 요청일을 못 찾음: 관련 ID에 견적 ID(Q-…)를 넣었는지 확인",IF('설정 Settings'!$C$15&gt;N($N353),"문의 후 6개월 지남: 다른 동의 근거 필요","OK: 이름·주소·연락처·수신거부 문구 넣기")),IF($H353="REFERRAL","소개 후 첫 메시지만 OK: 소개자 이름 + 이름·주소·연락처·수신거부 문구. 두 번째부터는 다른 동의 근거 필요",IF(AND($H353="REPLY",$D353&lt;&gt;"QUOTE",$D353&lt;&gt;"CALLBACK"),"문의에 대한 답장이 아님: EXPRESS 또는 INQUIRY 동의 필요","OK: 이름·주소·연락처·수신거부 문구 넣기")))),"")))</f>
      </c>
      <c r="N353" s="40">
        <f>IF($H353="INQUIRY",IFERROR(EDATE(INDEX('견적 Quotes'!$B$3:$B$1002,MATCH($C353,'견적 Quotes'!$A$3:$A$1002,0)),'설정 Settings'!$C$20),""),"")</f>
      </c>
    </row>
    <row r="354" spans="12:14" x14ac:dyDescent="0.25">
      <c r="L354" s="42">
        <f>IF($A354="","",IF($G354="Y","완료 DONE",IF($F354="","날짜 없음",IF($F354&lt;'설정 Settings'!$C$15,"지남 OVERDUE",IF($F354='설정 Settings'!$C$15,"오늘 TODAY","예정 OPEN")))))</f>
      </c>
      <c r="M354" s="42">
        <f>IF($A354="","",IF($I354="Y","수신거부: 문자·이메일 보내지 않기",IF(OR($E354="SMS",$E354="EMAIL"),IF(OR($H354="",$H354="NONE"),"동의 근거 없음: 전화·방문만",IF($H354="INQUIRY",IF(N($N354)=0,"견적 요청일을 못 찾음: 관련 ID에 견적 ID(Q-…)를 넣었는지 확인",IF('설정 Settings'!$C$15&gt;N($N354),"문의 후 6개월 지남: 다른 동의 근거 필요","OK: 이름·주소·연락처·수신거부 문구 넣기")),IF($H354="REFERRAL","소개 후 첫 메시지만 OK: 소개자 이름 + 이름·주소·연락처·수신거부 문구. 두 번째부터는 다른 동의 근거 필요",IF(AND($H354="REPLY",$D354&lt;&gt;"QUOTE",$D354&lt;&gt;"CALLBACK"),"문의에 대한 답장이 아님: EXPRESS 또는 INQUIRY 동의 필요","OK: 이름·주소·연락처·수신거부 문구 넣기")))),"")))</f>
      </c>
      <c r="N354" s="40">
        <f>IF($H354="INQUIRY",IFERROR(EDATE(INDEX('견적 Quotes'!$B$3:$B$1002,MATCH($C354,'견적 Quotes'!$A$3:$A$1002,0)),'설정 Settings'!$C$20),""),"")</f>
      </c>
    </row>
    <row r="355" spans="12:14" x14ac:dyDescent="0.25">
      <c r="L355" s="42">
        <f>IF($A355="","",IF($G355="Y","완료 DONE",IF($F355="","날짜 없음",IF($F355&lt;'설정 Settings'!$C$15,"지남 OVERDUE",IF($F355='설정 Settings'!$C$15,"오늘 TODAY","예정 OPEN")))))</f>
      </c>
      <c r="M355" s="42">
        <f>IF($A355="","",IF($I355="Y","수신거부: 문자·이메일 보내지 않기",IF(OR($E355="SMS",$E355="EMAIL"),IF(OR($H355="",$H355="NONE"),"동의 근거 없음: 전화·방문만",IF($H355="INQUIRY",IF(N($N355)=0,"견적 요청일을 못 찾음: 관련 ID에 견적 ID(Q-…)를 넣었는지 확인",IF('설정 Settings'!$C$15&gt;N($N355),"문의 후 6개월 지남: 다른 동의 근거 필요","OK: 이름·주소·연락처·수신거부 문구 넣기")),IF($H355="REFERRAL","소개 후 첫 메시지만 OK: 소개자 이름 + 이름·주소·연락처·수신거부 문구. 두 번째부터는 다른 동의 근거 필요",IF(AND($H355="REPLY",$D355&lt;&gt;"QUOTE",$D355&lt;&gt;"CALLBACK"),"문의에 대한 답장이 아님: EXPRESS 또는 INQUIRY 동의 필요","OK: 이름·주소·연락처·수신거부 문구 넣기")))),"")))</f>
      </c>
      <c r="N355" s="40">
        <f>IF($H355="INQUIRY",IFERROR(EDATE(INDEX('견적 Quotes'!$B$3:$B$1002,MATCH($C355,'견적 Quotes'!$A$3:$A$1002,0)),'설정 Settings'!$C$20),""),"")</f>
      </c>
    </row>
    <row r="356" spans="12:14" x14ac:dyDescent="0.25">
      <c r="L356" s="42">
        <f>IF($A356="","",IF($G356="Y","완료 DONE",IF($F356="","날짜 없음",IF($F356&lt;'설정 Settings'!$C$15,"지남 OVERDUE",IF($F356='설정 Settings'!$C$15,"오늘 TODAY","예정 OPEN")))))</f>
      </c>
      <c r="M356" s="42">
        <f>IF($A356="","",IF($I356="Y","수신거부: 문자·이메일 보내지 않기",IF(OR($E356="SMS",$E356="EMAIL"),IF(OR($H356="",$H356="NONE"),"동의 근거 없음: 전화·방문만",IF($H356="INQUIRY",IF(N($N356)=0,"견적 요청일을 못 찾음: 관련 ID에 견적 ID(Q-…)를 넣었는지 확인",IF('설정 Settings'!$C$15&gt;N($N356),"문의 후 6개월 지남: 다른 동의 근거 필요","OK: 이름·주소·연락처·수신거부 문구 넣기")),IF($H356="REFERRAL","소개 후 첫 메시지만 OK: 소개자 이름 + 이름·주소·연락처·수신거부 문구. 두 번째부터는 다른 동의 근거 필요",IF(AND($H356="REPLY",$D356&lt;&gt;"QUOTE",$D356&lt;&gt;"CALLBACK"),"문의에 대한 답장이 아님: EXPRESS 또는 INQUIRY 동의 필요","OK: 이름·주소·연락처·수신거부 문구 넣기")))),"")))</f>
      </c>
      <c r="N356" s="40">
        <f>IF($H356="INQUIRY",IFERROR(EDATE(INDEX('견적 Quotes'!$B$3:$B$1002,MATCH($C356,'견적 Quotes'!$A$3:$A$1002,0)),'설정 Settings'!$C$20),""),"")</f>
      </c>
    </row>
    <row r="357" spans="12:14" x14ac:dyDescent="0.25">
      <c r="L357" s="42">
        <f>IF($A357="","",IF($G357="Y","완료 DONE",IF($F357="","날짜 없음",IF($F357&lt;'설정 Settings'!$C$15,"지남 OVERDUE",IF($F357='설정 Settings'!$C$15,"오늘 TODAY","예정 OPEN")))))</f>
      </c>
      <c r="M357" s="42">
        <f>IF($A357="","",IF($I357="Y","수신거부: 문자·이메일 보내지 않기",IF(OR($E357="SMS",$E357="EMAIL"),IF(OR($H357="",$H357="NONE"),"동의 근거 없음: 전화·방문만",IF($H357="INQUIRY",IF(N($N357)=0,"견적 요청일을 못 찾음: 관련 ID에 견적 ID(Q-…)를 넣었는지 확인",IF('설정 Settings'!$C$15&gt;N($N357),"문의 후 6개월 지남: 다른 동의 근거 필요","OK: 이름·주소·연락처·수신거부 문구 넣기")),IF($H357="REFERRAL","소개 후 첫 메시지만 OK: 소개자 이름 + 이름·주소·연락처·수신거부 문구. 두 번째부터는 다른 동의 근거 필요",IF(AND($H357="REPLY",$D357&lt;&gt;"QUOTE",$D357&lt;&gt;"CALLBACK"),"문의에 대한 답장이 아님: EXPRESS 또는 INQUIRY 동의 필요","OK: 이름·주소·연락처·수신거부 문구 넣기")))),"")))</f>
      </c>
      <c r="N357" s="40">
        <f>IF($H357="INQUIRY",IFERROR(EDATE(INDEX('견적 Quotes'!$B$3:$B$1002,MATCH($C357,'견적 Quotes'!$A$3:$A$1002,0)),'설정 Settings'!$C$20),""),"")</f>
      </c>
    </row>
    <row r="358" spans="12:14" x14ac:dyDescent="0.25">
      <c r="L358" s="42">
        <f>IF($A358="","",IF($G358="Y","완료 DONE",IF($F358="","날짜 없음",IF($F358&lt;'설정 Settings'!$C$15,"지남 OVERDUE",IF($F358='설정 Settings'!$C$15,"오늘 TODAY","예정 OPEN")))))</f>
      </c>
      <c r="M358" s="42">
        <f>IF($A358="","",IF($I358="Y","수신거부: 문자·이메일 보내지 않기",IF(OR($E358="SMS",$E358="EMAIL"),IF(OR($H358="",$H358="NONE"),"동의 근거 없음: 전화·방문만",IF($H358="INQUIRY",IF(N($N358)=0,"견적 요청일을 못 찾음: 관련 ID에 견적 ID(Q-…)를 넣었는지 확인",IF('설정 Settings'!$C$15&gt;N($N358),"문의 후 6개월 지남: 다른 동의 근거 필요","OK: 이름·주소·연락처·수신거부 문구 넣기")),IF($H358="REFERRAL","소개 후 첫 메시지만 OK: 소개자 이름 + 이름·주소·연락처·수신거부 문구. 두 번째부터는 다른 동의 근거 필요",IF(AND($H358="REPLY",$D358&lt;&gt;"QUOTE",$D358&lt;&gt;"CALLBACK"),"문의에 대한 답장이 아님: EXPRESS 또는 INQUIRY 동의 필요","OK: 이름·주소·연락처·수신거부 문구 넣기")))),"")))</f>
      </c>
      <c r="N358" s="40">
        <f>IF($H358="INQUIRY",IFERROR(EDATE(INDEX('견적 Quotes'!$B$3:$B$1002,MATCH($C358,'견적 Quotes'!$A$3:$A$1002,0)),'설정 Settings'!$C$20),""),"")</f>
      </c>
    </row>
    <row r="359" spans="12:14" x14ac:dyDescent="0.25">
      <c r="L359" s="42">
        <f>IF($A359="","",IF($G359="Y","완료 DONE",IF($F359="","날짜 없음",IF($F359&lt;'설정 Settings'!$C$15,"지남 OVERDUE",IF($F359='설정 Settings'!$C$15,"오늘 TODAY","예정 OPEN")))))</f>
      </c>
      <c r="M359" s="42">
        <f>IF($A359="","",IF($I359="Y","수신거부: 문자·이메일 보내지 않기",IF(OR($E359="SMS",$E359="EMAIL"),IF(OR($H359="",$H359="NONE"),"동의 근거 없음: 전화·방문만",IF($H359="INQUIRY",IF(N($N359)=0,"견적 요청일을 못 찾음: 관련 ID에 견적 ID(Q-…)를 넣었는지 확인",IF('설정 Settings'!$C$15&gt;N($N359),"문의 후 6개월 지남: 다른 동의 근거 필요","OK: 이름·주소·연락처·수신거부 문구 넣기")),IF($H359="REFERRAL","소개 후 첫 메시지만 OK: 소개자 이름 + 이름·주소·연락처·수신거부 문구. 두 번째부터는 다른 동의 근거 필요",IF(AND($H359="REPLY",$D359&lt;&gt;"QUOTE",$D359&lt;&gt;"CALLBACK"),"문의에 대한 답장이 아님: EXPRESS 또는 INQUIRY 동의 필요","OK: 이름·주소·연락처·수신거부 문구 넣기")))),"")))</f>
      </c>
      <c r="N359" s="40">
        <f>IF($H359="INQUIRY",IFERROR(EDATE(INDEX('견적 Quotes'!$B$3:$B$1002,MATCH($C359,'견적 Quotes'!$A$3:$A$1002,0)),'설정 Settings'!$C$20),""),"")</f>
      </c>
    </row>
    <row r="360" spans="12:14" x14ac:dyDescent="0.25">
      <c r="L360" s="42">
        <f>IF($A360="","",IF($G360="Y","완료 DONE",IF($F360="","날짜 없음",IF($F360&lt;'설정 Settings'!$C$15,"지남 OVERDUE",IF($F360='설정 Settings'!$C$15,"오늘 TODAY","예정 OPEN")))))</f>
      </c>
      <c r="M360" s="42">
        <f>IF($A360="","",IF($I360="Y","수신거부: 문자·이메일 보내지 않기",IF(OR($E360="SMS",$E360="EMAIL"),IF(OR($H360="",$H360="NONE"),"동의 근거 없음: 전화·방문만",IF($H360="INQUIRY",IF(N($N360)=0,"견적 요청일을 못 찾음: 관련 ID에 견적 ID(Q-…)를 넣었는지 확인",IF('설정 Settings'!$C$15&gt;N($N360),"문의 후 6개월 지남: 다른 동의 근거 필요","OK: 이름·주소·연락처·수신거부 문구 넣기")),IF($H360="REFERRAL","소개 후 첫 메시지만 OK: 소개자 이름 + 이름·주소·연락처·수신거부 문구. 두 번째부터는 다른 동의 근거 필요",IF(AND($H360="REPLY",$D360&lt;&gt;"QUOTE",$D360&lt;&gt;"CALLBACK"),"문의에 대한 답장이 아님: EXPRESS 또는 INQUIRY 동의 필요","OK: 이름·주소·연락처·수신거부 문구 넣기")))),"")))</f>
      </c>
      <c r="N360" s="40">
        <f>IF($H360="INQUIRY",IFERROR(EDATE(INDEX('견적 Quotes'!$B$3:$B$1002,MATCH($C360,'견적 Quotes'!$A$3:$A$1002,0)),'설정 Settings'!$C$20),""),"")</f>
      </c>
    </row>
    <row r="361" spans="12:14" x14ac:dyDescent="0.25">
      <c r="L361" s="42">
        <f>IF($A361="","",IF($G361="Y","완료 DONE",IF($F361="","날짜 없음",IF($F361&lt;'설정 Settings'!$C$15,"지남 OVERDUE",IF($F361='설정 Settings'!$C$15,"오늘 TODAY","예정 OPEN")))))</f>
      </c>
      <c r="M361" s="42">
        <f>IF($A361="","",IF($I361="Y","수신거부: 문자·이메일 보내지 않기",IF(OR($E361="SMS",$E361="EMAIL"),IF(OR($H361="",$H361="NONE"),"동의 근거 없음: 전화·방문만",IF($H361="INQUIRY",IF(N($N361)=0,"견적 요청일을 못 찾음: 관련 ID에 견적 ID(Q-…)를 넣었는지 확인",IF('설정 Settings'!$C$15&gt;N($N361),"문의 후 6개월 지남: 다른 동의 근거 필요","OK: 이름·주소·연락처·수신거부 문구 넣기")),IF($H361="REFERRAL","소개 후 첫 메시지만 OK: 소개자 이름 + 이름·주소·연락처·수신거부 문구. 두 번째부터는 다른 동의 근거 필요",IF(AND($H361="REPLY",$D361&lt;&gt;"QUOTE",$D361&lt;&gt;"CALLBACK"),"문의에 대한 답장이 아님: EXPRESS 또는 INQUIRY 동의 필요","OK: 이름·주소·연락처·수신거부 문구 넣기")))),"")))</f>
      </c>
      <c r="N361" s="40">
        <f>IF($H361="INQUIRY",IFERROR(EDATE(INDEX('견적 Quotes'!$B$3:$B$1002,MATCH($C361,'견적 Quotes'!$A$3:$A$1002,0)),'설정 Settings'!$C$20),""),"")</f>
      </c>
    </row>
    <row r="362" spans="12:14" x14ac:dyDescent="0.25">
      <c r="L362" s="42">
        <f>IF($A362="","",IF($G362="Y","완료 DONE",IF($F362="","날짜 없음",IF($F362&lt;'설정 Settings'!$C$15,"지남 OVERDUE",IF($F362='설정 Settings'!$C$15,"오늘 TODAY","예정 OPEN")))))</f>
      </c>
      <c r="M362" s="42">
        <f>IF($A362="","",IF($I362="Y","수신거부: 문자·이메일 보내지 않기",IF(OR($E362="SMS",$E362="EMAIL"),IF(OR($H362="",$H362="NONE"),"동의 근거 없음: 전화·방문만",IF($H362="INQUIRY",IF(N($N362)=0,"견적 요청일을 못 찾음: 관련 ID에 견적 ID(Q-…)를 넣었는지 확인",IF('설정 Settings'!$C$15&gt;N($N362),"문의 후 6개월 지남: 다른 동의 근거 필요","OK: 이름·주소·연락처·수신거부 문구 넣기")),IF($H362="REFERRAL","소개 후 첫 메시지만 OK: 소개자 이름 + 이름·주소·연락처·수신거부 문구. 두 번째부터는 다른 동의 근거 필요",IF(AND($H362="REPLY",$D362&lt;&gt;"QUOTE",$D362&lt;&gt;"CALLBACK"),"문의에 대한 답장이 아님: EXPRESS 또는 INQUIRY 동의 필요","OK: 이름·주소·연락처·수신거부 문구 넣기")))),"")))</f>
      </c>
      <c r="N362" s="40">
        <f>IF($H362="INQUIRY",IFERROR(EDATE(INDEX('견적 Quotes'!$B$3:$B$1002,MATCH($C362,'견적 Quotes'!$A$3:$A$1002,0)),'설정 Settings'!$C$20),""),"")</f>
      </c>
    </row>
    <row r="363" spans="12:14" x14ac:dyDescent="0.25">
      <c r="L363" s="42">
        <f>IF($A363="","",IF($G363="Y","완료 DONE",IF($F363="","날짜 없음",IF($F363&lt;'설정 Settings'!$C$15,"지남 OVERDUE",IF($F363='설정 Settings'!$C$15,"오늘 TODAY","예정 OPEN")))))</f>
      </c>
      <c r="M363" s="42">
        <f>IF($A363="","",IF($I363="Y","수신거부: 문자·이메일 보내지 않기",IF(OR($E363="SMS",$E363="EMAIL"),IF(OR($H363="",$H363="NONE"),"동의 근거 없음: 전화·방문만",IF($H363="INQUIRY",IF(N($N363)=0,"견적 요청일을 못 찾음: 관련 ID에 견적 ID(Q-…)를 넣었는지 확인",IF('설정 Settings'!$C$15&gt;N($N363),"문의 후 6개월 지남: 다른 동의 근거 필요","OK: 이름·주소·연락처·수신거부 문구 넣기")),IF($H363="REFERRAL","소개 후 첫 메시지만 OK: 소개자 이름 + 이름·주소·연락처·수신거부 문구. 두 번째부터는 다른 동의 근거 필요",IF(AND($H363="REPLY",$D363&lt;&gt;"QUOTE",$D363&lt;&gt;"CALLBACK"),"문의에 대한 답장이 아님: EXPRESS 또는 INQUIRY 동의 필요","OK: 이름·주소·연락처·수신거부 문구 넣기")))),"")))</f>
      </c>
      <c r="N363" s="40">
        <f>IF($H363="INQUIRY",IFERROR(EDATE(INDEX('견적 Quotes'!$B$3:$B$1002,MATCH($C363,'견적 Quotes'!$A$3:$A$1002,0)),'설정 Settings'!$C$20),""),"")</f>
      </c>
    </row>
    <row r="364" spans="12:14" x14ac:dyDescent="0.25">
      <c r="L364" s="42">
        <f>IF($A364="","",IF($G364="Y","완료 DONE",IF($F364="","날짜 없음",IF($F364&lt;'설정 Settings'!$C$15,"지남 OVERDUE",IF($F364='설정 Settings'!$C$15,"오늘 TODAY","예정 OPEN")))))</f>
      </c>
      <c r="M364" s="42">
        <f>IF($A364="","",IF($I364="Y","수신거부: 문자·이메일 보내지 않기",IF(OR($E364="SMS",$E364="EMAIL"),IF(OR($H364="",$H364="NONE"),"동의 근거 없음: 전화·방문만",IF($H364="INQUIRY",IF(N($N364)=0,"견적 요청일을 못 찾음: 관련 ID에 견적 ID(Q-…)를 넣었는지 확인",IF('설정 Settings'!$C$15&gt;N($N364),"문의 후 6개월 지남: 다른 동의 근거 필요","OK: 이름·주소·연락처·수신거부 문구 넣기")),IF($H364="REFERRAL","소개 후 첫 메시지만 OK: 소개자 이름 + 이름·주소·연락처·수신거부 문구. 두 번째부터는 다른 동의 근거 필요",IF(AND($H364="REPLY",$D364&lt;&gt;"QUOTE",$D364&lt;&gt;"CALLBACK"),"문의에 대한 답장이 아님: EXPRESS 또는 INQUIRY 동의 필요","OK: 이름·주소·연락처·수신거부 문구 넣기")))),"")))</f>
      </c>
      <c r="N364" s="40">
        <f>IF($H364="INQUIRY",IFERROR(EDATE(INDEX('견적 Quotes'!$B$3:$B$1002,MATCH($C364,'견적 Quotes'!$A$3:$A$1002,0)),'설정 Settings'!$C$20),""),"")</f>
      </c>
    </row>
    <row r="365" spans="12:14" x14ac:dyDescent="0.25">
      <c r="L365" s="42">
        <f>IF($A365="","",IF($G365="Y","완료 DONE",IF($F365="","날짜 없음",IF($F365&lt;'설정 Settings'!$C$15,"지남 OVERDUE",IF($F365='설정 Settings'!$C$15,"오늘 TODAY","예정 OPEN")))))</f>
      </c>
      <c r="M365" s="42">
        <f>IF($A365="","",IF($I365="Y","수신거부: 문자·이메일 보내지 않기",IF(OR($E365="SMS",$E365="EMAIL"),IF(OR($H365="",$H365="NONE"),"동의 근거 없음: 전화·방문만",IF($H365="INQUIRY",IF(N($N365)=0,"견적 요청일을 못 찾음: 관련 ID에 견적 ID(Q-…)를 넣었는지 확인",IF('설정 Settings'!$C$15&gt;N($N365),"문의 후 6개월 지남: 다른 동의 근거 필요","OK: 이름·주소·연락처·수신거부 문구 넣기")),IF($H365="REFERRAL","소개 후 첫 메시지만 OK: 소개자 이름 + 이름·주소·연락처·수신거부 문구. 두 번째부터는 다른 동의 근거 필요",IF(AND($H365="REPLY",$D365&lt;&gt;"QUOTE",$D365&lt;&gt;"CALLBACK"),"문의에 대한 답장이 아님: EXPRESS 또는 INQUIRY 동의 필요","OK: 이름·주소·연락처·수신거부 문구 넣기")))),"")))</f>
      </c>
      <c r="N365" s="40">
        <f>IF($H365="INQUIRY",IFERROR(EDATE(INDEX('견적 Quotes'!$B$3:$B$1002,MATCH($C365,'견적 Quotes'!$A$3:$A$1002,0)),'설정 Settings'!$C$20),""),"")</f>
      </c>
    </row>
    <row r="366" spans="12:14" x14ac:dyDescent="0.25">
      <c r="L366" s="42">
        <f>IF($A366="","",IF($G366="Y","완료 DONE",IF($F366="","날짜 없음",IF($F366&lt;'설정 Settings'!$C$15,"지남 OVERDUE",IF($F366='설정 Settings'!$C$15,"오늘 TODAY","예정 OPEN")))))</f>
      </c>
      <c r="M366" s="42">
        <f>IF($A366="","",IF($I366="Y","수신거부: 문자·이메일 보내지 않기",IF(OR($E366="SMS",$E366="EMAIL"),IF(OR($H366="",$H366="NONE"),"동의 근거 없음: 전화·방문만",IF($H366="INQUIRY",IF(N($N366)=0,"견적 요청일을 못 찾음: 관련 ID에 견적 ID(Q-…)를 넣었는지 확인",IF('설정 Settings'!$C$15&gt;N($N366),"문의 후 6개월 지남: 다른 동의 근거 필요","OK: 이름·주소·연락처·수신거부 문구 넣기")),IF($H366="REFERRAL","소개 후 첫 메시지만 OK: 소개자 이름 + 이름·주소·연락처·수신거부 문구. 두 번째부터는 다른 동의 근거 필요",IF(AND($H366="REPLY",$D366&lt;&gt;"QUOTE",$D366&lt;&gt;"CALLBACK"),"문의에 대한 답장이 아님: EXPRESS 또는 INQUIRY 동의 필요","OK: 이름·주소·연락처·수신거부 문구 넣기")))),"")))</f>
      </c>
      <c r="N366" s="40">
        <f>IF($H366="INQUIRY",IFERROR(EDATE(INDEX('견적 Quotes'!$B$3:$B$1002,MATCH($C366,'견적 Quotes'!$A$3:$A$1002,0)),'설정 Settings'!$C$20),""),"")</f>
      </c>
    </row>
    <row r="367" spans="12:14" x14ac:dyDescent="0.25">
      <c r="L367" s="42">
        <f>IF($A367="","",IF($G367="Y","완료 DONE",IF($F367="","날짜 없음",IF($F367&lt;'설정 Settings'!$C$15,"지남 OVERDUE",IF($F367='설정 Settings'!$C$15,"오늘 TODAY","예정 OPEN")))))</f>
      </c>
      <c r="M367" s="42">
        <f>IF($A367="","",IF($I367="Y","수신거부: 문자·이메일 보내지 않기",IF(OR($E367="SMS",$E367="EMAIL"),IF(OR($H367="",$H367="NONE"),"동의 근거 없음: 전화·방문만",IF($H367="INQUIRY",IF(N($N367)=0,"견적 요청일을 못 찾음: 관련 ID에 견적 ID(Q-…)를 넣었는지 확인",IF('설정 Settings'!$C$15&gt;N($N367),"문의 후 6개월 지남: 다른 동의 근거 필요","OK: 이름·주소·연락처·수신거부 문구 넣기")),IF($H367="REFERRAL","소개 후 첫 메시지만 OK: 소개자 이름 + 이름·주소·연락처·수신거부 문구. 두 번째부터는 다른 동의 근거 필요",IF(AND($H367="REPLY",$D367&lt;&gt;"QUOTE",$D367&lt;&gt;"CALLBACK"),"문의에 대한 답장이 아님: EXPRESS 또는 INQUIRY 동의 필요","OK: 이름·주소·연락처·수신거부 문구 넣기")))),"")))</f>
      </c>
      <c r="N367" s="40">
        <f>IF($H367="INQUIRY",IFERROR(EDATE(INDEX('견적 Quotes'!$B$3:$B$1002,MATCH($C367,'견적 Quotes'!$A$3:$A$1002,0)),'설정 Settings'!$C$20),""),"")</f>
      </c>
    </row>
    <row r="368" spans="12:14" x14ac:dyDescent="0.25">
      <c r="L368" s="42">
        <f>IF($A368="","",IF($G368="Y","완료 DONE",IF($F368="","날짜 없음",IF($F368&lt;'설정 Settings'!$C$15,"지남 OVERDUE",IF($F368='설정 Settings'!$C$15,"오늘 TODAY","예정 OPEN")))))</f>
      </c>
      <c r="M368" s="42">
        <f>IF($A368="","",IF($I368="Y","수신거부: 문자·이메일 보내지 않기",IF(OR($E368="SMS",$E368="EMAIL"),IF(OR($H368="",$H368="NONE"),"동의 근거 없음: 전화·방문만",IF($H368="INQUIRY",IF(N($N368)=0,"견적 요청일을 못 찾음: 관련 ID에 견적 ID(Q-…)를 넣었는지 확인",IF('설정 Settings'!$C$15&gt;N($N368),"문의 후 6개월 지남: 다른 동의 근거 필요","OK: 이름·주소·연락처·수신거부 문구 넣기")),IF($H368="REFERRAL","소개 후 첫 메시지만 OK: 소개자 이름 + 이름·주소·연락처·수신거부 문구. 두 번째부터는 다른 동의 근거 필요",IF(AND($H368="REPLY",$D368&lt;&gt;"QUOTE",$D368&lt;&gt;"CALLBACK"),"문의에 대한 답장이 아님: EXPRESS 또는 INQUIRY 동의 필요","OK: 이름·주소·연락처·수신거부 문구 넣기")))),"")))</f>
      </c>
      <c r="N368" s="40">
        <f>IF($H368="INQUIRY",IFERROR(EDATE(INDEX('견적 Quotes'!$B$3:$B$1002,MATCH($C368,'견적 Quotes'!$A$3:$A$1002,0)),'설정 Settings'!$C$20),""),"")</f>
      </c>
    </row>
    <row r="369" spans="12:14" x14ac:dyDescent="0.25">
      <c r="L369" s="42">
        <f>IF($A369="","",IF($G369="Y","완료 DONE",IF($F369="","날짜 없음",IF($F369&lt;'설정 Settings'!$C$15,"지남 OVERDUE",IF($F369='설정 Settings'!$C$15,"오늘 TODAY","예정 OPEN")))))</f>
      </c>
      <c r="M369" s="42">
        <f>IF($A369="","",IF($I369="Y","수신거부: 문자·이메일 보내지 않기",IF(OR($E369="SMS",$E369="EMAIL"),IF(OR($H369="",$H369="NONE"),"동의 근거 없음: 전화·방문만",IF($H369="INQUIRY",IF(N($N369)=0,"견적 요청일을 못 찾음: 관련 ID에 견적 ID(Q-…)를 넣었는지 확인",IF('설정 Settings'!$C$15&gt;N($N369),"문의 후 6개월 지남: 다른 동의 근거 필요","OK: 이름·주소·연락처·수신거부 문구 넣기")),IF($H369="REFERRAL","소개 후 첫 메시지만 OK: 소개자 이름 + 이름·주소·연락처·수신거부 문구. 두 번째부터는 다른 동의 근거 필요",IF(AND($H369="REPLY",$D369&lt;&gt;"QUOTE",$D369&lt;&gt;"CALLBACK"),"문의에 대한 답장이 아님: EXPRESS 또는 INQUIRY 동의 필요","OK: 이름·주소·연락처·수신거부 문구 넣기")))),"")))</f>
      </c>
      <c r="N369" s="40">
        <f>IF($H369="INQUIRY",IFERROR(EDATE(INDEX('견적 Quotes'!$B$3:$B$1002,MATCH($C369,'견적 Quotes'!$A$3:$A$1002,0)),'설정 Settings'!$C$20),""),"")</f>
      </c>
    </row>
    <row r="370" spans="12:14" x14ac:dyDescent="0.25">
      <c r="L370" s="42">
        <f>IF($A370="","",IF($G370="Y","완료 DONE",IF($F370="","날짜 없음",IF($F370&lt;'설정 Settings'!$C$15,"지남 OVERDUE",IF($F370='설정 Settings'!$C$15,"오늘 TODAY","예정 OPEN")))))</f>
      </c>
      <c r="M370" s="42">
        <f>IF($A370="","",IF($I370="Y","수신거부: 문자·이메일 보내지 않기",IF(OR($E370="SMS",$E370="EMAIL"),IF(OR($H370="",$H370="NONE"),"동의 근거 없음: 전화·방문만",IF($H370="INQUIRY",IF(N($N370)=0,"견적 요청일을 못 찾음: 관련 ID에 견적 ID(Q-…)를 넣었는지 확인",IF('설정 Settings'!$C$15&gt;N($N370),"문의 후 6개월 지남: 다른 동의 근거 필요","OK: 이름·주소·연락처·수신거부 문구 넣기")),IF($H370="REFERRAL","소개 후 첫 메시지만 OK: 소개자 이름 + 이름·주소·연락처·수신거부 문구. 두 번째부터는 다른 동의 근거 필요",IF(AND($H370="REPLY",$D370&lt;&gt;"QUOTE",$D370&lt;&gt;"CALLBACK"),"문의에 대한 답장이 아님: EXPRESS 또는 INQUIRY 동의 필요","OK: 이름·주소·연락처·수신거부 문구 넣기")))),"")))</f>
      </c>
      <c r="N370" s="40">
        <f>IF($H370="INQUIRY",IFERROR(EDATE(INDEX('견적 Quotes'!$B$3:$B$1002,MATCH($C370,'견적 Quotes'!$A$3:$A$1002,0)),'설정 Settings'!$C$20),""),"")</f>
      </c>
    </row>
    <row r="371" spans="12:14" x14ac:dyDescent="0.25">
      <c r="L371" s="42">
        <f>IF($A371="","",IF($G371="Y","완료 DONE",IF($F371="","날짜 없음",IF($F371&lt;'설정 Settings'!$C$15,"지남 OVERDUE",IF($F371='설정 Settings'!$C$15,"오늘 TODAY","예정 OPEN")))))</f>
      </c>
      <c r="M371" s="42">
        <f>IF($A371="","",IF($I371="Y","수신거부: 문자·이메일 보내지 않기",IF(OR($E371="SMS",$E371="EMAIL"),IF(OR($H371="",$H371="NONE"),"동의 근거 없음: 전화·방문만",IF($H371="INQUIRY",IF(N($N371)=0,"견적 요청일을 못 찾음: 관련 ID에 견적 ID(Q-…)를 넣었는지 확인",IF('설정 Settings'!$C$15&gt;N($N371),"문의 후 6개월 지남: 다른 동의 근거 필요","OK: 이름·주소·연락처·수신거부 문구 넣기")),IF($H371="REFERRAL","소개 후 첫 메시지만 OK: 소개자 이름 + 이름·주소·연락처·수신거부 문구. 두 번째부터는 다른 동의 근거 필요",IF(AND($H371="REPLY",$D371&lt;&gt;"QUOTE",$D371&lt;&gt;"CALLBACK"),"문의에 대한 답장이 아님: EXPRESS 또는 INQUIRY 동의 필요","OK: 이름·주소·연락처·수신거부 문구 넣기")))),"")))</f>
      </c>
      <c r="N371" s="40">
        <f>IF($H371="INQUIRY",IFERROR(EDATE(INDEX('견적 Quotes'!$B$3:$B$1002,MATCH($C371,'견적 Quotes'!$A$3:$A$1002,0)),'설정 Settings'!$C$20),""),"")</f>
      </c>
    </row>
    <row r="372" spans="12:14" x14ac:dyDescent="0.25">
      <c r="L372" s="42">
        <f>IF($A372="","",IF($G372="Y","완료 DONE",IF($F372="","날짜 없음",IF($F372&lt;'설정 Settings'!$C$15,"지남 OVERDUE",IF($F372='설정 Settings'!$C$15,"오늘 TODAY","예정 OPEN")))))</f>
      </c>
      <c r="M372" s="42">
        <f>IF($A372="","",IF($I372="Y","수신거부: 문자·이메일 보내지 않기",IF(OR($E372="SMS",$E372="EMAIL"),IF(OR($H372="",$H372="NONE"),"동의 근거 없음: 전화·방문만",IF($H372="INQUIRY",IF(N($N372)=0,"견적 요청일을 못 찾음: 관련 ID에 견적 ID(Q-…)를 넣었는지 확인",IF('설정 Settings'!$C$15&gt;N($N372),"문의 후 6개월 지남: 다른 동의 근거 필요","OK: 이름·주소·연락처·수신거부 문구 넣기")),IF($H372="REFERRAL","소개 후 첫 메시지만 OK: 소개자 이름 + 이름·주소·연락처·수신거부 문구. 두 번째부터는 다른 동의 근거 필요",IF(AND($H372="REPLY",$D372&lt;&gt;"QUOTE",$D372&lt;&gt;"CALLBACK"),"문의에 대한 답장이 아님: EXPRESS 또는 INQUIRY 동의 필요","OK: 이름·주소·연락처·수신거부 문구 넣기")))),"")))</f>
      </c>
      <c r="N372" s="40">
        <f>IF($H372="INQUIRY",IFERROR(EDATE(INDEX('견적 Quotes'!$B$3:$B$1002,MATCH($C372,'견적 Quotes'!$A$3:$A$1002,0)),'설정 Settings'!$C$20),""),"")</f>
      </c>
    </row>
    <row r="373" spans="12:14" x14ac:dyDescent="0.25">
      <c r="L373" s="42">
        <f>IF($A373="","",IF($G373="Y","완료 DONE",IF($F373="","날짜 없음",IF($F373&lt;'설정 Settings'!$C$15,"지남 OVERDUE",IF($F373='설정 Settings'!$C$15,"오늘 TODAY","예정 OPEN")))))</f>
      </c>
      <c r="M373" s="42">
        <f>IF($A373="","",IF($I373="Y","수신거부: 문자·이메일 보내지 않기",IF(OR($E373="SMS",$E373="EMAIL"),IF(OR($H373="",$H373="NONE"),"동의 근거 없음: 전화·방문만",IF($H373="INQUIRY",IF(N($N373)=0,"견적 요청일을 못 찾음: 관련 ID에 견적 ID(Q-…)를 넣었는지 확인",IF('설정 Settings'!$C$15&gt;N($N373),"문의 후 6개월 지남: 다른 동의 근거 필요","OK: 이름·주소·연락처·수신거부 문구 넣기")),IF($H373="REFERRAL","소개 후 첫 메시지만 OK: 소개자 이름 + 이름·주소·연락처·수신거부 문구. 두 번째부터는 다른 동의 근거 필요",IF(AND($H373="REPLY",$D373&lt;&gt;"QUOTE",$D373&lt;&gt;"CALLBACK"),"문의에 대한 답장이 아님: EXPRESS 또는 INQUIRY 동의 필요","OK: 이름·주소·연락처·수신거부 문구 넣기")))),"")))</f>
      </c>
      <c r="N373" s="40">
        <f>IF($H373="INQUIRY",IFERROR(EDATE(INDEX('견적 Quotes'!$B$3:$B$1002,MATCH($C373,'견적 Quotes'!$A$3:$A$1002,0)),'설정 Settings'!$C$20),""),"")</f>
      </c>
    </row>
    <row r="374" spans="12:14" x14ac:dyDescent="0.25">
      <c r="L374" s="42">
        <f>IF($A374="","",IF($G374="Y","완료 DONE",IF($F374="","날짜 없음",IF($F374&lt;'설정 Settings'!$C$15,"지남 OVERDUE",IF($F374='설정 Settings'!$C$15,"오늘 TODAY","예정 OPEN")))))</f>
      </c>
      <c r="M374" s="42">
        <f>IF($A374="","",IF($I374="Y","수신거부: 문자·이메일 보내지 않기",IF(OR($E374="SMS",$E374="EMAIL"),IF(OR($H374="",$H374="NONE"),"동의 근거 없음: 전화·방문만",IF($H374="INQUIRY",IF(N($N374)=0,"견적 요청일을 못 찾음: 관련 ID에 견적 ID(Q-…)를 넣었는지 확인",IF('설정 Settings'!$C$15&gt;N($N374),"문의 후 6개월 지남: 다른 동의 근거 필요","OK: 이름·주소·연락처·수신거부 문구 넣기")),IF($H374="REFERRAL","소개 후 첫 메시지만 OK: 소개자 이름 + 이름·주소·연락처·수신거부 문구. 두 번째부터는 다른 동의 근거 필요",IF(AND($H374="REPLY",$D374&lt;&gt;"QUOTE",$D374&lt;&gt;"CALLBACK"),"문의에 대한 답장이 아님: EXPRESS 또는 INQUIRY 동의 필요","OK: 이름·주소·연락처·수신거부 문구 넣기")))),"")))</f>
      </c>
      <c r="N374" s="40">
        <f>IF($H374="INQUIRY",IFERROR(EDATE(INDEX('견적 Quotes'!$B$3:$B$1002,MATCH($C374,'견적 Quotes'!$A$3:$A$1002,0)),'설정 Settings'!$C$20),""),"")</f>
      </c>
    </row>
    <row r="375" spans="12:14" x14ac:dyDescent="0.25">
      <c r="L375" s="42">
        <f>IF($A375="","",IF($G375="Y","완료 DONE",IF($F375="","날짜 없음",IF($F375&lt;'설정 Settings'!$C$15,"지남 OVERDUE",IF($F375='설정 Settings'!$C$15,"오늘 TODAY","예정 OPEN")))))</f>
      </c>
      <c r="M375" s="42">
        <f>IF($A375="","",IF($I375="Y","수신거부: 문자·이메일 보내지 않기",IF(OR($E375="SMS",$E375="EMAIL"),IF(OR($H375="",$H375="NONE"),"동의 근거 없음: 전화·방문만",IF($H375="INQUIRY",IF(N($N375)=0,"견적 요청일을 못 찾음: 관련 ID에 견적 ID(Q-…)를 넣었는지 확인",IF('설정 Settings'!$C$15&gt;N($N375),"문의 후 6개월 지남: 다른 동의 근거 필요","OK: 이름·주소·연락처·수신거부 문구 넣기")),IF($H375="REFERRAL","소개 후 첫 메시지만 OK: 소개자 이름 + 이름·주소·연락처·수신거부 문구. 두 번째부터는 다른 동의 근거 필요",IF(AND($H375="REPLY",$D375&lt;&gt;"QUOTE",$D375&lt;&gt;"CALLBACK"),"문의에 대한 답장이 아님: EXPRESS 또는 INQUIRY 동의 필요","OK: 이름·주소·연락처·수신거부 문구 넣기")))),"")))</f>
      </c>
      <c r="N375" s="40">
        <f>IF($H375="INQUIRY",IFERROR(EDATE(INDEX('견적 Quotes'!$B$3:$B$1002,MATCH($C375,'견적 Quotes'!$A$3:$A$1002,0)),'설정 Settings'!$C$20),""),"")</f>
      </c>
    </row>
    <row r="376" spans="12:14" x14ac:dyDescent="0.25">
      <c r="L376" s="42">
        <f>IF($A376="","",IF($G376="Y","완료 DONE",IF($F376="","날짜 없음",IF($F376&lt;'설정 Settings'!$C$15,"지남 OVERDUE",IF($F376='설정 Settings'!$C$15,"오늘 TODAY","예정 OPEN")))))</f>
      </c>
      <c r="M376" s="42">
        <f>IF($A376="","",IF($I376="Y","수신거부: 문자·이메일 보내지 않기",IF(OR($E376="SMS",$E376="EMAIL"),IF(OR($H376="",$H376="NONE"),"동의 근거 없음: 전화·방문만",IF($H376="INQUIRY",IF(N($N376)=0,"견적 요청일을 못 찾음: 관련 ID에 견적 ID(Q-…)를 넣었는지 확인",IF('설정 Settings'!$C$15&gt;N($N376),"문의 후 6개월 지남: 다른 동의 근거 필요","OK: 이름·주소·연락처·수신거부 문구 넣기")),IF($H376="REFERRAL","소개 후 첫 메시지만 OK: 소개자 이름 + 이름·주소·연락처·수신거부 문구. 두 번째부터는 다른 동의 근거 필요",IF(AND($H376="REPLY",$D376&lt;&gt;"QUOTE",$D376&lt;&gt;"CALLBACK"),"문의에 대한 답장이 아님: EXPRESS 또는 INQUIRY 동의 필요","OK: 이름·주소·연락처·수신거부 문구 넣기")))),"")))</f>
      </c>
      <c r="N376" s="40">
        <f>IF($H376="INQUIRY",IFERROR(EDATE(INDEX('견적 Quotes'!$B$3:$B$1002,MATCH($C376,'견적 Quotes'!$A$3:$A$1002,0)),'설정 Settings'!$C$20),""),"")</f>
      </c>
    </row>
    <row r="377" spans="12:14" x14ac:dyDescent="0.25">
      <c r="L377" s="42">
        <f>IF($A377="","",IF($G377="Y","완료 DONE",IF($F377="","날짜 없음",IF($F377&lt;'설정 Settings'!$C$15,"지남 OVERDUE",IF($F377='설정 Settings'!$C$15,"오늘 TODAY","예정 OPEN")))))</f>
      </c>
      <c r="M377" s="42">
        <f>IF($A377="","",IF($I377="Y","수신거부: 문자·이메일 보내지 않기",IF(OR($E377="SMS",$E377="EMAIL"),IF(OR($H377="",$H377="NONE"),"동의 근거 없음: 전화·방문만",IF($H377="INQUIRY",IF(N($N377)=0,"견적 요청일을 못 찾음: 관련 ID에 견적 ID(Q-…)를 넣었는지 확인",IF('설정 Settings'!$C$15&gt;N($N377),"문의 후 6개월 지남: 다른 동의 근거 필요","OK: 이름·주소·연락처·수신거부 문구 넣기")),IF($H377="REFERRAL","소개 후 첫 메시지만 OK: 소개자 이름 + 이름·주소·연락처·수신거부 문구. 두 번째부터는 다른 동의 근거 필요",IF(AND($H377="REPLY",$D377&lt;&gt;"QUOTE",$D377&lt;&gt;"CALLBACK"),"문의에 대한 답장이 아님: EXPRESS 또는 INQUIRY 동의 필요","OK: 이름·주소·연락처·수신거부 문구 넣기")))),"")))</f>
      </c>
      <c r="N377" s="40">
        <f>IF($H377="INQUIRY",IFERROR(EDATE(INDEX('견적 Quotes'!$B$3:$B$1002,MATCH($C377,'견적 Quotes'!$A$3:$A$1002,0)),'설정 Settings'!$C$20),""),"")</f>
      </c>
    </row>
    <row r="378" spans="12:14" x14ac:dyDescent="0.25">
      <c r="L378" s="42">
        <f>IF($A378="","",IF($G378="Y","완료 DONE",IF($F378="","날짜 없음",IF($F378&lt;'설정 Settings'!$C$15,"지남 OVERDUE",IF($F378='설정 Settings'!$C$15,"오늘 TODAY","예정 OPEN")))))</f>
      </c>
      <c r="M378" s="42">
        <f>IF($A378="","",IF($I378="Y","수신거부: 문자·이메일 보내지 않기",IF(OR($E378="SMS",$E378="EMAIL"),IF(OR($H378="",$H378="NONE"),"동의 근거 없음: 전화·방문만",IF($H378="INQUIRY",IF(N($N378)=0,"견적 요청일을 못 찾음: 관련 ID에 견적 ID(Q-…)를 넣었는지 확인",IF('설정 Settings'!$C$15&gt;N($N378),"문의 후 6개월 지남: 다른 동의 근거 필요","OK: 이름·주소·연락처·수신거부 문구 넣기")),IF($H378="REFERRAL","소개 후 첫 메시지만 OK: 소개자 이름 + 이름·주소·연락처·수신거부 문구. 두 번째부터는 다른 동의 근거 필요",IF(AND($H378="REPLY",$D378&lt;&gt;"QUOTE",$D378&lt;&gt;"CALLBACK"),"문의에 대한 답장이 아님: EXPRESS 또는 INQUIRY 동의 필요","OK: 이름·주소·연락처·수신거부 문구 넣기")))),"")))</f>
      </c>
      <c r="N378" s="40">
        <f>IF($H378="INQUIRY",IFERROR(EDATE(INDEX('견적 Quotes'!$B$3:$B$1002,MATCH($C378,'견적 Quotes'!$A$3:$A$1002,0)),'설정 Settings'!$C$20),""),"")</f>
      </c>
    </row>
    <row r="379" spans="12:14" x14ac:dyDescent="0.25">
      <c r="L379" s="42">
        <f>IF($A379="","",IF($G379="Y","완료 DONE",IF($F379="","날짜 없음",IF($F379&lt;'설정 Settings'!$C$15,"지남 OVERDUE",IF($F379='설정 Settings'!$C$15,"오늘 TODAY","예정 OPEN")))))</f>
      </c>
      <c r="M379" s="42">
        <f>IF($A379="","",IF($I379="Y","수신거부: 문자·이메일 보내지 않기",IF(OR($E379="SMS",$E379="EMAIL"),IF(OR($H379="",$H379="NONE"),"동의 근거 없음: 전화·방문만",IF($H379="INQUIRY",IF(N($N379)=0,"견적 요청일을 못 찾음: 관련 ID에 견적 ID(Q-…)를 넣었는지 확인",IF('설정 Settings'!$C$15&gt;N($N379),"문의 후 6개월 지남: 다른 동의 근거 필요","OK: 이름·주소·연락처·수신거부 문구 넣기")),IF($H379="REFERRAL","소개 후 첫 메시지만 OK: 소개자 이름 + 이름·주소·연락처·수신거부 문구. 두 번째부터는 다른 동의 근거 필요",IF(AND($H379="REPLY",$D379&lt;&gt;"QUOTE",$D379&lt;&gt;"CALLBACK"),"문의에 대한 답장이 아님: EXPRESS 또는 INQUIRY 동의 필요","OK: 이름·주소·연락처·수신거부 문구 넣기")))),"")))</f>
      </c>
      <c r="N379" s="40">
        <f>IF($H379="INQUIRY",IFERROR(EDATE(INDEX('견적 Quotes'!$B$3:$B$1002,MATCH($C379,'견적 Quotes'!$A$3:$A$1002,0)),'설정 Settings'!$C$20),""),"")</f>
      </c>
    </row>
    <row r="380" spans="12:14" x14ac:dyDescent="0.25">
      <c r="L380" s="42">
        <f>IF($A380="","",IF($G380="Y","완료 DONE",IF($F380="","날짜 없음",IF($F380&lt;'설정 Settings'!$C$15,"지남 OVERDUE",IF($F380='설정 Settings'!$C$15,"오늘 TODAY","예정 OPEN")))))</f>
      </c>
      <c r="M380" s="42">
        <f>IF($A380="","",IF($I380="Y","수신거부: 문자·이메일 보내지 않기",IF(OR($E380="SMS",$E380="EMAIL"),IF(OR($H380="",$H380="NONE"),"동의 근거 없음: 전화·방문만",IF($H380="INQUIRY",IF(N($N380)=0,"견적 요청일을 못 찾음: 관련 ID에 견적 ID(Q-…)를 넣었는지 확인",IF('설정 Settings'!$C$15&gt;N($N380),"문의 후 6개월 지남: 다른 동의 근거 필요","OK: 이름·주소·연락처·수신거부 문구 넣기")),IF($H380="REFERRAL","소개 후 첫 메시지만 OK: 소개자 이름 + 이름·주소·연락처·수신거부 문구. 두 번째부터는 다른 동의 근거 필요",IF(AND($H380="REPLY",$D380&lt;&gt;"QUOTE",$D380&lt;&gt;"CALLBACK"),"문의에 대한 답장이 아님: EXPRESS 또는 INQUIRY 동의 필요","OK: 이름·주소·연락처·수신거부 문구 넣기")))),"")))</f>
      </c>
      <c r="N380" s="40">
        <f>IF($H380="INQUIRY",IFERROR(EDATE(INDEX('견적 Quotes'!$B$3:$B$1002,MATCH($C380,'견적 Quotes'!$A$3:$A$1002,0)),'설정 Settings'!$C$20),""),"")</f>
      </c>
    </row>
    <row r="381" spans="12:14" x14ac:dyDescent="0.25">
      <c r="L381" s="42">
        <f>IF($A381="","",IF($G381="Y","완료 DONE",IF($F381="","날짜 없음",IF($F381&lt;'설정 Settings'!$C$15,"지남 OVERDUE",IF($F381='설정 Settings'!$C$15,"오늘 TODAY","예정 OPEN")))))</f>
      </c>
      <c r="M381" s="42">
        <f>IF($A381="","",IF($I381="Y","수신거부: 문자·이메일 보내지 않기",IF(OR($E381="SMS",$E381="EMAIL"),IF(OR($H381="",$H381="NONE"),"동의 근거 없음: 전화·방문만",IF($H381="INQUIRY",IF(N($N381)=0,"견적 요청일을 못 찾음: 관련 ID에 견적 ID(Q-…)를 넣었는지 확인",IF('설정 Settings'!$C$15&gt;N($N381),"문의 후 6개월 지남: 다른 동의 근거 필요","OK: 이름·주소·연락처·수신거부 문구 넣기")),IF($H381="REFERRAL","소개 후 첫 메시지만 OK: 소개자 이름 + 이름·주소·연락처·수신거부 문구. 두 번째부터는 다른 동의 근거 필요",IF(AND($H381="REPLY",$D381&lt;&gt;"QUOTE",$D381&lt;&gt;"CALLBACK"),"문의에 대한 답장이 아님: EXPRESS 또는 INQUIRY 동의 필요","OK: 이름·주소·연락처·수신거부 문구 넣기")))),"")))</f>
      </c>
      <c r="N381" s="40">
        <f>IF($H381="INQUIRY",IFERROR(EDATE(INDEX('견적 Quotes'!$B$3:$B$1002,MATCH($C381,'견적 Quotes'!$A$3:$A$1002,0)),'설정 Settings'!$C$20),""),"")</f>
      </c>
    </row>
    <row r="382" spans="12:14" x14ac:dyDescent="0.25">
      <c r="L382" s="42">
        <f>IF($A382="","",IF($G382="Y","완료 DONE",IF($F382="","날짜 없음",IF($F382&lt;'설정 Settings'!$C$15,"지남 OVERDUE",IF($F382='설정 Settings'!$C$15,"오늘 TODAY","예정 OPEN")))))</f>
      </c>
      <c r="M382" s="42">
        <f>IF($A382="","",IF($I382="Y","수신거부: 문자·이메일 보내지 않기",IF(OR($E382="SMS",$E382="EMAIL"),IF(OR($H382="",$H382="NONE"),"동의 근거 없음: 전화·방문만",IF($H382="INQUIRY",IF(N($N382)=0,"견적 요청일을 못 찾음: 관련 ID에 견적 ID(Q-…)를 넣었는지 확인",IF('설정 Settings'!$C$15&gt;N($N382),"문의 후 6개월 지남: 다른 동의 근거 필요","OK: 이름·주소·연락처·수신거부 문구 넣기")),IF($H382="REFERRAL","소개 후 첫 메시지만 OK: 소개자 이름 + 이름·주소·연락처·수신거부 문구. 두 번째부터는 다른 동의 근거 필요",IF(AND($H382="REPLY",$D382&lt;&gt;"QUOTE",$D382&lt;&gt;"CALLBACK"),"문의에 대한 답장이 아님: EXPRESS 또는 INQUIRY 동의 필요","OK: 이름·주소·연락처·수신거부 문구 넣기")))),"")))</f>
      </c>
      <c r="N382" s="40">
        <f>IF($H382="INQUIRY",IFERROR(EDATE(INDEX('견적 Quotes'!$B$3:$B$1002,MATCH($C382,'견적 Quotes'!$A$3:$A$1002,0)),'설정 Settings'!$C$20),""),"")</f>
      </c>
    </row>
    <row r="383" spans="12:14" x14ac:dyDescent="0.25">
      <c r="L383" s="42">
        <f>IF($A383="","",IF($G383="Y","완료 DONE",IF($F383="","날짜 없음",IF($F383&lt;'설정 Settings'!$C$15,"지남 OVERDUE",IF($F383='설정 Settings'!$C$15,"오늘 TODAY","예정 OPEN")))))</f>
      </c>
      <c r="M383" s="42">
        <f>IF($A383="","",IF($I383="Y","수신거부: 문자·이메일 보내지 않기",IF(OR($E383="SMS",$E383="EMAIL"),IF(OR($H383="",$H383="NONE"),"동의 근거 없음: 전화·방문만",IF($H383="INQUIRY",IF(N($N383)=0,"견적 요청일을 못 찾음: 관련 ID에 견적 ID(Q-…)를 넣었는지 확인",IF('설정 Settings'!$C$15&gt;N($N383),"문의 후 6개월 지남: 다른 동의 근거 필요","OK: 이름·주소·연락처·수신거부 문구 넣기")),IF($H383="REFERRAL","소개 후 첫 메시지만 OK: 소개자 이름 + 이름·주소·연락처·수신거부 문구. 두 번째부터는 다른 동의 근거 필요",IF(AND($H383="REPLY",$D383&lt;&gt;"QUOTE",$D383&lt;&gt;"CALLBACK"),"문의에 대한 답장이 아님: EXPRESS 또는 INQUIRY 동의 필요","OK: 이름·주소·연락처·수신거부 문구 넣기")))),"")))</f>
      </c>
      <c r="N383" s="40">
        <f>IF($H383="INQUIRY",IFERROR(EDATE(INDEX('견적 Quotes'!$B$3:$B$1002,MATCH($C383,'견적 Quotes'!$A$3:$A$1002,0)),'설정 Settings'!$C$20),""),"")</f>
      </c>
    </row>
    <row r="384" spans="12:14" x14ac:dyDescent="0.25">
      <c r="L384" s="42">
        <f>IF($A384="","",IF($G384="Y","완료 DONE",IF($F384="","날짜 없음",IF($F384&lt;'설정 Settings'!$C$15,"지남 OVERDUE",IF($F384='설정 Settings'!$C$15,"오늘 TODAY","예정 OPEN")))))</f>
      </c>
      <c r="M384" s="42">
        <f>IF($A384="","",IF($I384="Y","수신거부: 문자·이메일 보내지 않기",IF(OR($E384="SMS",$E384="EMAIL"),IF(OR($H384="",$H384="NONE"),"동의 근거 없음: 전화·방문만",IF($H384="INQUIRY",IF(N($N384)=0,"견적 요청일을 못 찾음: 관련 ID에 견적 ID(Q-…)를 넣었는지 확인",IF('설정 Settings'!$C$15&gt;N($N384),"문의 후 6개월 지남: 다른 동의 근거 필요","OK: 이름·주소·연락처·수신거부 문구 넣기")),IF($H384="REFERRAL","소개 후 첫 메시지만 OK: 소개자 이름 + 이름·주소·연락처·수신거부 문구. 두 번째부터는 다른 동의 근거 필요",IF(AND($H384="REPLY",$D384&lt;&gt;"QUOTE",$D384&lt;&gt;"CALLBACK"),"문의에 대한 답장이 아님: EXPRESS 또는 INQUIRY 동의 필요","OK: 이름·주소·연락처·수신거부 문구 넣기")))),"")))</f>
      </c>
      <c r="N384" s="40">
        <f>IF($H384="INQUIRY",IFERROR(EDATE(INDEX('견적 Quotes'!$B$3:$B$1002,MATCH($C384,'견적 Quotes'!$A$3:$A$1002,0)),'설정 Settings'!$C$20),""),"")</f>
      </c>
    </row>
    <row r="385" spans="12:14" x14ac:dyDescent="0.25">
      <c r="L385" s="42">
        <f>IF($A385="","",IF($G385="Y","완료 DONE",IF($F385="","날짜 없음",IF($F385&lt;'설정 Settings'!$C$15,"지남 OVERDUE",IF($F385='설정 Settings'!$C$15,"오늘 TODAY","예정 OPEN")))))</f>
      </c>
      <c r="M385" s="42">
        <f>IF($A385="","",IF($I385="Y","수신거부: 문자·이메일 보내지 않기",IF(OR($E385="SMS",$E385="EMAIL"),IF(OR($H385="",$H385="NONE"),"동의 근거 없음: 전화·방문만",IF($H385="INQUIRY",IF(N($N385)=0,"견적 요청일을 못 찾음: 관련 ID에 견적 ID(Q-…)를 넣었는지 확인",IF('설정 Settings'!$C$15&gt;N($N385),"문의 후 6개월 지남: 다른 동의 근거 필요","OK: 이름·주소·연락처·수신거부 문구 넣기")),IF($H385="REFERRAL","소개 후 첫 메시지만 OK: 소개자 이름 + 이름·주소·연락처·수신거부 문구. 두 번째부터는 다른 동의 근거 필요",IF(AND($H385="REPLY",$D385&lt;&gt;"QUOTE",$D385&lt;&gt;"CALLBACK"),"문의에 대한 답장이 아님: EXPRESS 또는 INQUIRY 동의 필요","OK: 이름·주소·연락처·수신거부 문구 넣기")))),"")))</f>
      </c>
      <c r="N385" s="40">
        <f>IF($H385="INQUIRY",IFERROR(EDATE(INDEX('견적 Quotes'!$B$3:$B$1002,MATCH($C385,'견적 Quotes'!$A$3:$A$1002,0)),'설정 Settings'!$C$20),""),"")</f>
      </c>
    </row>
    <row r="386" spans="12:14" x14ac:dyDescent="0.25">
      <c r="L386" s="42">
        <f>IF($A386="","",IF($G386="Y","완료 DONE",IF($F386="","날짜 없음",IF($F386&lt;'설정 Settings'!$C$15,"지남 OVERDUE",IF($F386='설정 Settings'!$C$15,"오늘 TODAY","예정 OPEN")))))</f>
      </c>
      <c r="M386" s="42">
        <f>IF($A386="","",IF($I386="Y","수신거부: 문자·이메일 보내지 않기",IF(OR($E386="SMS",$E386="EMAIL"),IF(OR($H386="",$H386="NONE"),"동의 근거 없음: 전화·방문만",IF($H386="INQUIRY",IF(N($N386)=0,"견적 요청일을 못 찾음: 관련 ID에 견적 ID(Q-…)를 넣었는지 확인",IF('설정 Settings'!$C$15&gt;N($N386),"문의 후 6개월 지남: 다른 동의 근거 필요","OK: 이름·주소·연락처·수신거부 문구 넣기")),IF($H386="REFERRAL","소개 후 첫 메시지만 OK: 소개자 이름 + 이름·주소·연락처·수신거부 문구. 두 번째부터는 다른 동의 근거 필요",IF(AND($H386="REPLY",$D386&lt;&gt;"QUOTE",$D386&lt;&gt;"CALLBACK"),"문의에 대한 답장이 아님: EXPRESS 또는 INQUIRY 동의 필요","OK: 이름·주소·연락처·수신거부 문구 넣기")))),"")))</f>
      </c>
      <c r="N386" s="40">
        <f>IF($H386="INQUIRY",IFERROR(EDATE(INDEX('견적 Quotes'!$B$3:$B$1002,MATCH($C386,'견적 Quotes'!$A$3:$A$1002,0)),'설정 Settings'!$C$20),""),"")</f>
      </c>
    </row>
    <row r="387" spans="12:14" x14ac:dyDescent="0.25">
      <c r="L387" s="42">
        <f>IF($A387="","",IF($G387="Y","완료 DONE",IF($F387="","날짜 없음",IF($F387&lt;'설정 Settings'!$C$15,"지남 OVERDUE",IF($F387='설정 Settings'!$C$15,"오늘 TODAY","예정 OPEN")))))</f>
      </c>
      <c r="M387" s="42">
        <f>IF($A387="","",IF($I387="Y","수신거부: 문자·이메일 보내지 않기",IF(OR($E387="SMS",$E387="EMAIL"),IF(OR($H387="",$H387="NONE"),"동의 근거 없음: 전화·방문만",IF($H387="INQUIRY",IF(N($N387)=0,"견적 요청일을 못 찾음: 관련 ID에 견적 ID(Q-…)를 넣었는지 확인",IF('설정 Settings'!$C$15&gt;N($N387),"문의 후 6개월 지남: 다른 동의 근거 필요","OK: 이름·주소·연락처·수신거부 문구 넣기")),IF($H387="REFERRAL","소개 후 첫 메시지만 OK: 소개자 이름 + 이름·주소·연락처·수신거부 문구. 두 번째부터는 다른 동의 근거 필요",IF(AND($H387="REPLY",$D387&lt;&gt;"QUOTE",$D387&lt;&gt;"CALLBACK"),"문의에 대한 답장이 아님: EXPRESS 또는 INQUIRY 동의 필요","OK: 이름·주소·연락처·수신거부 문구 넣기")))),"")))</f>
      </c>
      <c r="N387" s="40">
        <f>IF($H387="INQUIRY",IFERROR(EDATE(INDEX('견적 Quotes'!$B$3:$B$1002,MATCH($C387,'견적 Quotes'!$A$3:$A$1002,0)),'설정 Settings'!$C$20),""),"")</f>
      </c>
    </row>
    <row r="388" spans="12:14" x14ac:dyDescent="0.25">
      <c r="L388" s="42">
        <f>IF($A388="","",IF($G388="Y","완료 DONE",IF($F388="","날짜 없음",IF($F388&lt;'설정 Settings'!$C$15,"지남 OVERDUE",IF($F388='설정 Settings'!$C$15,"오늘 TODAY","예정 OPEN")))))</f>
      </c>
      <c r="M388" s="42">
        <f>IF($A388="","",IF($I388="Y","수신거부: 문자·이메일 보내지 않기",IF(OR($E388="SMS",$E388="EMAIL"),IF(OR($H388="",$H388="NONE"),"동의 근거 없음: 전화·방문만",IF($H388="INQUIRY",IF(N($N388)=0,"견적 요청일을 못 찾음: 관련 ID에 견적 ID(Q-…)를 넣었는지 확인",IF('설정 Settings'!$C$15&gt;N($N388),"문의 후 6개월 지남: 다른 동의 근거 필요","OK: 이름·주소·연락처·수신거부 문구 넣기")),IF($H388="REFERRAL","소개 후 첫 메시지만 OK: 소개자 이름 + 이름·주소·연락처·수신거부 문구. 두 번째부터는 다른 동의 근거 필요",IF(AND($H388="REPLY",$D388&lt;&gt;"QUOTE",$D388&lt;&gt;"CALLBACK"),"문의에 대한 답장이 아님: EXPRESS 또는 INQUIRY 동의 필요","OK: 이름·주소·연락처·수신거부 문구 넣기")))),"")))</f>
      </c>
      <c r="N388" s="40">
        <f>IF($H388="INQUIRY",IFERROR(EDATE(INDEX('견적 Quotes'!$B$3:$B$1002,MATCH($C388,'견적 Quotes'!$A$3:$A$1002,0)),'설정 Settings'!$C$20),""),"")</f>
      </c>
    </row>
    <row r="389" spans="12:14" x14ac:dyDescent="0.25">
      <c r="L389" s="42">
        <f>IF($A389="","",IF($G389="Y","완료 DONE",IF($F389="","날짜 없음",IF($F389&lt;'설정 Settings'!$C$15,"지남 OVERDUE",IF($F389='설정 Settings'!$C$15,"오늘 TODAY","예정 OPEN")))))</f>
      </c>
      <c r="M389" s="42">
        <f>IF($A389="","",IF($I389="Y","수신거부: 문자·이메일 보내지 않기",IF(OR($E389="SMS",$E389="EMAIL"),IF(OR($H389="",$H389="NONE"),"동의 근거 없음: 전화·방문만",IF($H389="INQUIRY",IF(N($N389)=0,"견적 요청일을 못 찾음: 관련 ID에 견적 ID(Q-…)를 넣었는지 확인",IF('설정 Settings'!$C$15&gt;N($N389),"문의 후 6개월 지남: 다른 동의 근거 필요","OK: 이름·주소·연락처·수신거부 문구 넣기")),IF($H389="REFERRAL","소개 후 첫 메시지만 OK: 소개자 이름 + 이름·주소·연락처·수신거부 문구. 두 번째부터는 다른 동의 근거 필요",IF(AND($H389="REPLY",$D389&lt;&gt;"QUOTE",$D389&lt;&gt;"CALLBACK"),"문의에 대한 답장이 아님: EXPRESS 또는 INQUIRY 동의 필요","OK: 이름·주소·연락처·수신거부 문구 넣기")))),"")))</f>
      </c>
      <c r="N389" s="40">
        <f>IF($H389="INQUIRY",IFERROR(EDATE(INDEX('견적 Quotes'!$B$3:$B$1002,MATCH($C389,'견적 Quotes'!$A$3:$A$1002,0)),'설정 Settings'!$C$20),""),"")</f>
      </c>
    </row>
    <row r="390" spans="12:14" x14ac:dyDescent="0.25">
      <c r="L390" s="42">
        <f>IF($A390="","",IF($G390="Y","완료 DONE",IF($F390="","날짜 없음",IF($F390&lt;'설정 Settings'!$C$15,"지남 OVERDUE",IF($F390='설정 Settings'!$C$15,"오늘 TODAY","예정 OPEN")))))</f>
      </c>
      <c r="M390" s="42">
        <f>IF($A390="","",IF($I390="Y","수신거부: 문자·이메일 보내지 않기",IF(OR($E390="SMS",$E390="EMAIL"),IF(OR($H390="",$H390="NONE"),"동의 근거 없음: 전화·방문만",IF($H390="INQUIRY",IF(N($N390)=0,"견적 요청일을 못 찾음: 관련 ID에 견적 ID(Q-…)를 넣었는지 확인",IF('설정 Settings'!$C$15&gt;N($N390),"문의 후 6개월 지남: 다른 동의 근거 필요","OK: 이름·주소·연락처·수신거부 문구 넣기")),IF($H390="REFERRAL","소개 후 첫 메시지만 OK: 소개자 이름 + 이름·주소·연락처·수신거부 문구. 두 번째부터는 다른 동의 근거 필요",IF(AND($H390="REPLY",$D390&lt;&gt;"QUOTE",$D390&lt;&gt;"CALLBACK"),"문의에 대한 답장이 아님: EXPRESS 또는 INQUIRY 동의 필요","OK: 이름·주소·연락처·수신거부 문구 넣기")))),"")))</f>
      </c>
      <c r="N390" s="40">
        <f>IF($H390="INQUIRY",IFERROR(EDATE(INDEX('견적 Quotes'!$B$3:$B$1002,MATCH($C390,'견적 Quotes'!$A$3:$A$1002,0)),'설정 Settings'!$C$20),""),"")</f>
      </c>
    </row>
    <row r="391" spans="12:14" x14ac:dyDescent="0.25">
      <c r="L391" s="42">
        <f>IF($A391="","",IF($G391="Y","완료 DONE",IF($F391="","날짜 없음",IF($F391&lt;'설정 Settings'!$C$15,"지남 OVERDUE",IF($F391='설정 Settings'!$C$15,"오늘 TODAY","예정 OPEN")))))</f>
      </c>
      <c r="M391" s="42">
        <f>IF($A391="","",IF($I391="Y","수신거부: 문자·이메일 보내지 않기",IF(OR($E391="SMS",$E391="EMAIL"),IF(OR($H391="",$H391="NONE"),"동의 근거 없음: 전화·방문만",IF($H391="INQUIRY",IF(N($N391)=0,"견적 요청일을 못 찾음: 관련 ID에 견적 ID(Q-…)를 넣었는지 확인",IF('설정 Settings'!$C$15&gt;N($N391),"문의 후 6개월 지남: 다른 동의 근거 필요","OK: 이름·주소·연락처·수신거부 문구 넣기")),IF($H391="REFERRAL","소개 후 첫 메시지만 OK: 소개자 이름 + 이름·주소·연락처·수신거부 문구. 두 번째부터는 다른 동의 근거 필요",IF(AND($H391="REPLY",$D391&lt;&gt;"QUOTE",$D391&lt;&gt;"CALLBACK"),"문의에 대한 답장이 아님: EXPRESS 또는 INQUIRY 동의 필요","OK: 이름·주소·연락처·수신거부 문구 넣기")))),"")))</f>
      </c>
      <c r="N391" s="40">
        <f>IF($H391="INQUIRY",IFERROR(EDATE(INDEX('견적 Quotes'!$B$3:$B$1002,MATCH($C391,'견적 Quotes'!$A$3:$A$1002,0)),'설정 Settings'!$C$20),""),"")</f>
      </c>
    </row>
    <row r="392" spans="12:14" x14ac:dyDescent="0.25">
      <c r="L392" s="42">
        <f>IF($A392="","",IF($G392="Y","완료 DONE",IF($F392="","날짜 없음",IF($F392&lt;'설정 Settings'!$C$15,"지남 OVERDUE",IF($F392='설정 Settings'!$C$15,"오늘 TODAY","예정 OPEN")))))</f>
      </c>
      <c r="M392" s="42">
        <f>IF($A392="","",IF($I392="Y","수신거부: 문자·이메일 보내지 않기",IF(OR($E392="SMS",$E392="EMAIL"),IF(OR($H392="",$H392="NONE"),"동의 근거 없음: 전화·방문만",IF($H392="INQUIRY",IF(N($N392)=0,"견적 요청일을 못 찾음: 관련 ID에 견적 ID(Q-…)를 넣었는지 확인",IF('설정 Settings'!$C$15&gt;N($N392),"문의 후 6개월 지남: 다른 동의 근거 필요","OK: 이름·주소·연락처·수신거부 문구 넣기")),IF($H392="REFERRAL","소개 후 첫 메시지만 OK: 소개자 이름 + 이름·주소·연락처·수신거부 문구. 두 번째부터는 다른 동의 근거 필요",IF(AND($H392="REPLY",$D392&lt;&gt;"QUOTE",$D392&lt;&gt;"CALLBACK"),"문의에 대한 답장이 아님: EXPRESS 또는 INQUIRY 동의 필요","OK: 이름·주소·연락처·수신거부 문구 넣기")))),"")))</f>
      </c>
      <c r="N392" s="40">
        <f>IF($H392="INQUIRY",IFERROR(EDATE(INDEX('견적 Quotes'!$B$3:$B$1002,MATCH($C392,'견적 Quotes'!$A$3:$A$1002,0)),'설정 Settings'!$C$20),""),"")</f>
      </c>
    </row>
    <row r="393" spans="12:14" x14ac:dyDescent="0.25">
      <c r="L393" s="42">
        <f>IF($A393="","",IF($G393="Y","완료 DONE",IF($F393="","날짜 없음",IF($F393&lt;'설정 Settings'!$C$15,"지남 OVERDUE",IF($F393='설정 Settings'!$C$15,"오늘 TODAY","예정 OPEN")))))</f>
      </c>
      <c r="M393" s="42">
        <f>IF($A393="","",IF($I393="Y","수신거부: 문자·이메일 보내지 않기",IF(OR($E393="SMS",$E393="EMAIL"),IF(OR($H393="",$H393="NONE"),"동의 근거 없음: 전화·방문만",IF($H393="INQUIRY",IF(N($N393)=0,"견적 요청일을 못 찾음: 관련 ID에 견적 ID(Q-…)를 넣었는지 확인",IF('설정 Settings'!$C$15&gt;N($N393),"문의 후 6개월 지남: 다른 동의 근거 필요","OK: 이름·주소·연락처·수신거부 문구 넣기")),IF($H393="REFERRAL","소개 후 첫 메시지만 OK: 소개자 이름 + 이름·주소·연락처·수신거부 문구. 두 번째부터는 다른 동의 근거 필요",IF(AND($H393="REPLY",$D393&lt;&gt;"QUOTE",$D393&lt;&gt;"CALLBACK"),"문의에 대한 답장이 아님: EXPRESS 또는 INQUIRY 동의 필요","OK: 이름·주소·연락처·수신거부 문구 넣기")))),"")))</f>
      </c>
      <c r="N393" s="40">
        <f>IF($H393="INQUIRY",IFERROR(EDATE(INDEX('견적 Quotes'!$B$3:$B$1002,MATCH($C393,'견적 Quotes'!$A$3:$A$1002,0)),'설정 Settings'!$C$20),""),"")</f>
      </c>
    </row>
    <row r="394" spans="12:14" x14ac:dyDescent="0.25">
      <c r="L394" s="42">
        <f>IF($A394="","",IF($G394="Y","완료 DONE",IF($F394="","날짜 없음",IF($F394&lt;'설정 Settings'!$C$15,"지남 OVERDUE",IF($F394='설정 Settings'!$C$15,"오늘 TODAY","예정 OPEN")))))</f>
      </c>
      <c r="M394" s="42">
        <f>IF($A394="","",IF($I394="Y","수신거부: 문자·이메일 보내지 않기",IF(OR($E394="SMS",$E394="EMAIL"),IF(OR($H394="",$H394="NONE"),"동의 근거 없음: 전화·방문만",IF($H394="INQUIRY",IF(N($N394)=0,"견적 요청일을 못 찾음: 관련 ID에 견적 ID(Q-…)를 넣었는지 확인",IF('설정 Settings'!$C$15&gt;N($N394),"문의 후 6개월 지남: 다른 동의 근거 필요","OK: 이름·주소·연락처·수신거부 문구 넣기")),IF($H394="REFERRAL","소개 후 첫 메시지만 OK: 소개자 이름 + 이름·주소·연락처·수신거부 문구. 두 번째부터는 다른 동의 근거 필요",IF(AND($H394="REPLY",$D394&lt;&gt;"QUOTE",$D394&lt;&gt;"CALLBACK"),"문의에 대한 답장이 아님: EXPRESS 또는 INQUIRY 동의 필요","OK: 이름·주소·연락처·수신거부 문구 넣기")))),"")))</f>
      </c>
      <c r="N394" s="40">
        <f>IF($H394="INQUIRY",IFERROR(EDATE(INDEX('견적 Quotes'!$B$3:$B$1002,MATCH($C394,'견적 Quotes'!$A$3:$A$1002,0)),'설정 Settings'!$C$20),""),"")</f>
      </c>
    </row>
    <row r="395" spans="12:14" x14ac:dyDescent="0.25">
      <c r="L395" s="42">
        <f>IF($A395="","",IF($G395="Y","완료 DONE",IF($F395="","날짜 없음",IF($F395&lt;'설정 Settings'!$C$15,"지남 OVERDUE",IF($F395='설정 Settings'!$C$15,"오늘 TODAY","예정 OPEN")))))</f>
      </c>
      <c r="M395" s="42">
        <f>IF($A395="","",IF($I395="Y","수신거부: 문자·이메일 보내지 않기",IF(OR($E395="SMS",$E395="EMAIL"),IF(OR($H395="",$H395="NONE"),"동의 근거 없음: 전화·방문만",IF($H395="INQUIRY",IF(N($N395)=0,"견적 요청일을 못 찾음: 관련 ID에 견적 ID(Q-…)를 넣었는지 확인",IF('설정 Settings'!$C$15&gt;N($N395),"문의 후 6개월 지남: 다른 동의 근거 필요","OK: 이름·주소·연락처·수신거부 문구 넣기")),IF($H395="REFERRAL","소개 후 첫 메시지만 OK: 소개자 이름 + 이름·주소·연락처·수신거부 문구. 두 번째부터는 다른 동의 근거 필요",IF(AND($H395="REPLY",$D395&lt;&gt;"QUOTE",$D395&lt;&gt;"CALLBACK"),"문의에 대한 답장이 아님: EXPRESS 또는 INQUIRY 동의 필요","OK: 이름·주소·연락처·수신거부 문구 넣기")))),"")))</f>
      </c>
      <c r="N395" s="40">
        <f>IF($H395="INQUIRY",IFERROR(EDATE(INDEX('견적 Quotes'!$B$3:$B$1002,MATCH($C395,'견적 Quotes'!$A$3:$A$1002,0)),'설정 Settings'!$C$20),""),"")</f>
      </c>
    </row>
    <row r="396" spans="12:14" x14ac:dyDescent="0.25">
      <c r="L396" s="42">
        <f>IF($A396="","",IF($G396="Y","완료 DONE",IF($F396="","날짜 없음",IF($F396&lt;'설정 Settings'!$C$15,"지남 OVERDUE",IF($F396='설정 Settings'!$C$15,"오늘 TODAY","예정 OPEN")))))</f>
      </c>
      <c r="M396" s="42">
        <f>IF($A396="","",IF($I396="Y","수신거부: 문자·이메일 보내지 않기",IF(OR($E396="SMS",$E396="EMAIL"),IF(OR($H396="",$H396="NONE"),"동의 근거 없음: 전화·방문만",IF($H396="INQUIRY",IF(N($N396)=0,"견적 요청일을 못 찾음: 관련 ID에 견적 ID(Q-…)를 넣었는지 확인",IF('설정 Settings'!$C$15&gt;N($N396),"문의 후 6개월 지남: 다른 동의 근거 필요","OK: 이름·주소·연락처·수신거부 문구 넣기")),IF($H396="REFERRAL","소개 후 첫 메시지만 OK: 소개자 이름 + 이름·주소·연락처·수신거부 문구. 두 번째부터는 다른 동의 근거 필요",IF(AND($H396="REPLY",$D396&lt;&gt;"QUOTE",$D396&lt;&gt;"CALLBACK"),"문의에 대한 답장이 아님: EXPRESS 또는 INQUIRY 동의 필요","OK: 이름·주소·연락처·수신거부 문구 넣기")))),"")))</f>
      </c>
      <c r="N396" s="40">
        <f>IF($H396="INQUIRY",IFERROR(EDATE(INDEX('견적 Quotes'!$B$3:$B$1002,MATCH($C396,'견적 Quotes'!$A$3:$A$1002,0)),'설정 Settings'!$C$20),""),"")</f>
      </c>
    </row>
    <row r="397" spans="12:14" x14ac:dyDescent="0.25">
      <c r="L397" s="42">
        <f>IF($A397="","",IF($G397="Y","완료 DONE",IF($F397="","날짜 없음",IF($F397&lt;'설정 Settings'!$C$15,"지남 OVERDUE",IF($F397='설정 Settings'!$C$15,"오늘 TODAY","예정 OPEN")))))</f>
      </c>
      <c r="M397" s="42">
        <f>IF($A397="","",IF($I397="Y","수신거부: 문자·이메일 보내지 않기",IF(OR($E397="SMS",$E397="EMAIL"),IF(OR($H397="",$H397="NONE"),"동의 근거 없음: 전화·방문만",IF($H397="INQUIRY",IF(N($N397)=0,"견적 요청일을 못 찾음: 관련 ID에 견적 ID(Q-…)를 넣었는지 확인",IF('설정 Settings'!$C$15&gt;N($N397),"문의 후 6개월 지남: 다른 동의 근거 필요","OK: 이름·주소·연락처·수신거부 문구 넣기")),IF($H397="REFERRAL","소개 후 첫 메시지만 OK: 소개자 이름 + 이름·주소·연락처·수신거부 문구. 두 번째부터는 다른 동의 근거 필요",IF(AND($H397="REPLY",$D397&lt;&gt;"QUOTE",$D397&lt;&gt;"CALLBACK"),"문의에 대한 답장이 아님: EXPRESS 또는 INQUIRY 동의 필요","OK: 이름·주소·연락처·수신거부 문구 넣기")))),"")))</f>
      </c>
      <c r="N397" s="40">
        <f>IF($H397="INQUIRY",IFERROR(EDATE(INDEX('견적 Quotes'!$B$3:$B$1002,MATCH($C397,'견적 Quotes'!$A$3:$A$1002,0)),'설정 Settings'!$C$20),""),"")</f>
      </c>
    </row>
    <row r="398" spans="12:14" x14ac:dyDescent="0.25">
      <c r="L398" s="42">
        <f>IF($A398="","",IF($G398="Y","완료 DONE",IF($F398="","날짜 없음",IF($F398&lt;'설정 Settings'!$C$15,"지남 OVERDUE",IF($F398='설정 Settings'!$C$15,"오늘 TODAY","예정 OPEN")))))</f>
      </c>
      <c r="M398" s="42">
        <f>IF($A398="","",IF($I398="Y","수신거부: 문자·이메일 보내지 않기",IF(OR($E398="SMS",$E398="EMAIL"),IF(OR($H398="",$H398="NONE"),"동의 근거 없음: 전화·방문만",IF($H398="INQUIRY",IF(N($N398)=0,"견적 요청일을 못 찾음: 관련 ID에 견적 ID(Q-…)를 넣었는지 확인",IF('설정 Settings'!$C$15&gt;N($N398),"문의 후 6개월 지남: 다른 동의 근거 필요","OK: 이름·주소·연락처·수신거부 문구 넣기")),IF($H398="REFERRAL","소개 후 첫 메시지만 OK: 소개자 이름 + 이름·주소·연락처·수신거부 문구. 두 번째부터는 다른 동의 근거 필요",IF(AND($H398="REPLY",$D398&lt;&gt;"QUOTE",$D398&lt;&gt;"CALLBACK"),"문의에 대한 답장이 아님: EXPRESS 또는 INQUIRY 동의 필요","OK: 이름·주소·연락처·수신거부 문구 넣기")))),"")))</f>
      </c>
      <c r="N398" s="40">
        <f>IF($H398="INQUIRY",IFERROR(EDATE(INDEX('견적 Quotes'!$B$3:$B$1002,MATCH($C398,'견적 Quotes'!$A$3:$A$1002,0)),'설정 Settings'!$C$20),""),"")</f>
      </c>
    </row>
    <row r="399" spans="12:14" x14ac:dyDescent="0.25">
      <c r="L399" s="42">
        <f>IF($A399="","",IF($G399="Y","완료 DONE",IF($F399="","날짜 없음",IF($F399&lt;'설정 Settings'!$C$15,"지남 OVERDUE",IF($F399='설정 Settings'!$C$15,"오늘 TODAY","예정 OPEN")))))</f>
      </c>
      <c r="M399" s="42">
        <f>IF($A399="","",IF($I399="Y","수신거부: 문자·이메일 보내지 않기",IF(OR($E399="SMS",$E399="EMAIL"),IF(OR($H399="",$H399="NONE"),"동의 근거 없음: 전화·방문만",IF($H399="INQUIRY",IF(N($N399)=0,"견적 요청일을 못 찾음: 관련 ID에 견적 ID(Q-…)를 넣었는지 확인",IF('설정 Settings'!$C$15&gt;N($N399),"문의 후 6개월 지남: 다른 동의 근거 필요","OK: 이름·주소·연락처·수신거부 문구 넣기")),IF($H399="REFERRAL","소개 후 첫 메시지만 OK: 소개자 이름 + 이름·주소·연락처·수신거부 문구. 두 번째부터는 다른 동의 근거 필요",IF(AND($H399="REPLY",$D399&lt;&gt;"QUOTE",$D399&lt;&gt;"CALLBACK"),"문의에 대한 답장이 아님: EXPRESS 또는 INQUIRY 동의 필요","OK: 이름·주소·연락처·수신거부 문구 넣기")))),"")))</f>
      </c>
      <c r="N399" s="40">
        <f>IF($H399="INQUIRY",IFERROR(EDATE(INDEX('견적 Quotes'!$B$3:$B$1002,MATCH($C399,'견적 Quotes'!$A$3:$A$1002,0)),'설정 Settings'!$C$20),""),"")</f>
      </c>
    </row>
    <row r="400" spans="12:14" x14ac:dyDescent="0.25">
      <c r="L400" s="42">
        <f>IF($A400="","",IF($G400="Y","완료 DONE",IF($F400="","날짜 없음",IF($F400&lt;'설정 Settings'!$C$15,"지남 OVERDUE",IF($F400='설정 Settings'!$C$15,"오늘 TODAY","예정 OPEN")))))</f>
      </c>
      <c r="M400" s="42">
        <f>IF($A400="","",IF($I400="Y","수신거부: 문자·이메일 보내지 않기",IF(OR($E400="SMS",$E400="EMAIL"),IF(OR($H400="",$H400="NONE"),"동의 근거 없음: 전화·방문만",IF($H400="INQUIRY",IF(N($N400)=0,"견적 요청일을 못 찾음: 관련 ID에 견적 ID(Q-…)를 넣었는지 확인",IF('설정 Settings'!$C$15&gt;N($N400),"문의 후 6개월 지남: 다른 동의 근거 필요","OK: 이름·주소·연락처·수신거부 문구 넣기")),IF($H400="REFERRAL","소개 후 첫 메시지만 OK: 소개자 이름 + 이름·주소·연락처·수신거부 문구. 두 번째부터는 다른 동의 근거 필요",IF(AND($H400="REPLY",$D400&lt;&gt;"QUOTE",$D400&lt;&gt;"CALLBACK"),"문의에 대한 답장이 아님: EXPRESS 또는 INQUIRY 동의 필요","OK: 이름·주소·연락처·수신거부 문구 넣기")))),"")))</f>
      </c>
      <c r="N400" s="40">
        <f>IF($H400="INQUIRY",IFERROR(EDATE(INDEX('견적 Quotes'!$B$3:$B$1002,MATCH($C400,'견적 Quotes'!$A$3:$A$1002,0)),'설정 Settings'!$C$20),""),"")</f>
      </c>
    </row>
    <row r="401" spans="12:14" x14ac:dyDescent="0.25">
      <c r="L401" s="42">
        <f>IF($A401="","",IF($G401="Y","완료 DONE",IF($F401="","날짜 없음",IF($F401&lt;'설정 Settings'!$C$15,"지남 OVERDUE",IF($F401='설정 Settings'!$C$15,"오늘 TODAY","예정 OPEN")))))</f>
      </c>
      <c r="M401" s="42">
        <f>IF($A401="","",IF($I401="Y","수신거부: 문자·이메일 보내지 않기",IF(OR($E401="SMS",$E401="EMAIL"),IF(OR($H401="",$H401="NONE"),"동의 근거 없음: 전화·방문만",IF($H401="INQUIRY",IF(N($N401)=0,"견적 요청일을 못 찾음: 관련 ID에 견적 ID(Q-…)를 넣었는지 확인",IF('설정 Settings'!$C$15&gt;N($N401),"문의 후 6개월 지남: 다른 동의 근거 필요","OK: 이름·주소·연락처·수신거부 문구 넣기")),IF($H401="REFERRAL","소개 후 첫 메시지만 OK: 소개자 이름 + 이름·주소·연락처·수신거부 문구. 두 번째부터는 다른 동의 근거 필요",IF(AND($H401="REPLY",$D401&lt;&gt;"QUOTE",$D401&lt;&gt;"CALLBACK"),"문의에 대한 답장이 아님: EXPRESS 또는 INQUIRY 동의 필요","OK: 이름·주소·연락처·수신거부 문구 넣기")))),"")))</f>
      </c>
      <c r="N401" s="40">
        <f>IF($H401="INQUIRY",IFERROR(EDATE(INDEX('견적 Quotes'!$B$3:$B$1002,MATCH($C401,'견적 Quotes'!$A$3:$A$1002,0)),'설정 Settings'!$C$20),""),"")</f>
      </c>
    </row>
    <row r="402" spans="12:14" x14ac:dyDescent="0.25">
      <c r="L402" s="42">
        <f>IF($A402="","",IF($G402="Y","완료 DONE",IF($F402="","날짜 없음",IF($F402&lt;'설정 Settings'!$C$15,"지남 OVERDUE",IF($F402='설정 Settings'!$C$15,"오늘 TODAY","예정 OPEN")))))</f>
      </c>
      <c r="M402" s="42">
        <f>IF($A402="","",IF($I402="Y","수신거부: 문자·이메일 보내지 않기",IF(OR($E402="SMS",$E402="EMAIL"),IF(OR($H402="",$H402="NONE"),"동의 근거 없음: 전화·방문만",IF($H402="INQUIRY",IF(N($N402)=0,"견적 요청일을 못 찾음: 관련 ID에 견적 ID(Q-…)를 넣었는지 확인",IF('설정 Settings'!$C$15&gt;N($N402),"문의 후 6개월 지남: 다른 동의 근거 필요","OK: 이름·주소·연락처·수신거부 문구 넣기")),IF($H402="REFERRAL","소개 후 첫 메시지만 OK: 소개자 이름 + 이름·주소·연락처·수신거부 문구. 두 번째부터는 다른 동의 근거 필요",IF(AND($H402="REPLY",$D402&lt;&gt;"QUOTE",$D402&lt;&gt;"CALLBACK"),"문의에 대한 답장이 아님: EXPRESS 또는 INQUIRY 동의 필요","OK: 이름·주소·연락처·수신거부 문구 넣기")))),"")))</f>
      </c>
      <c r="N402" s="40">
        <f>IF($H402="INQUIRY",IFERROR(EDATE(INDEX('견적 Quotes'!$B$3:$B$1002,MATCH($C402,'견적 Quotes'!$A$3:$A$1002,0)),'설정 Settings'!$C$20),""),"")</f>
      </c>
    </row>
    <row r="403" spans="12:14" x14ac:dyDescent="0.25">
      <c r="L403" s="42">
        <f>IF($A403="","",IF($G403="Y","완료 DONE",IF($F403="","날짜 없음",IF($F403&lt;'설정 Settings'!$C$15,"지남 OVERDUE",IF($F403='설정 Settings'!$C$15,"오늘 TODAY","예정 OPEN")))))</f>
      </c>
      <c r="M403" s="42">
        <f>IF($A403="","",IF($I403="Y","수신거부: 문자·이메일 보내지 않기",IF(OR($E403="SMS",$E403="EMAIL"),IF(OR($H403="",$H403="NONE"),"동의 근거 없음: 전화·방문만",IF($H403="INQUIRY",IF(N($N403)=0,"견적 요청일을 못 찾음: 관련 ID에 견적 ID(Q-…)를 넣었는지 확인",IF('설정 Settings'!$C$15&gt;N($N403),"문의 후 6개월 지남: 다른 동의 근거 필요","OK: 이름·주소·연락처·수신거부 문구 넣기")),IF($H403="REFERRAL","소개 후 첫 메시지만 OK: 소개자 이름 + 이름·주소·연락처·수신거부 문구. 두 번째부터는 다른 동의 근거 필요",IF(AND($H403="REPLY",$D403&lt;&gt;"QUOTE",$D403&lt;&gt;"CALLBACK"),"문의에 대한 답장이 아님: EXPRESS 또는 INQUIRY 동의 필요","OK: 이름·주소·연락처·수신거부 문구 넣기")))),"")))</f>
      </c>
      <c r="N403" s="40">
        <f>IF($H403="INQUIRY",IFERROR(EDATE(INDEX('견적 Quotes'!$B$3:$B$1002,MATCH($C403,'견적 Quotes'!$A$3:$A$1002,0)),'설정 Settings'!$C$20),""),"")</f>
      </c>
    </row>
    <row r="404" spans="12:14" x14ac:dyDescent="0.25">
      <c r="L404" s="42">
        <f>IF($A404="","",IF($G404="Y","완료 DONE",IF($F404="","날짜 없음",IF($F404&lt;'설정 Settings'!$C$15,"지남 OVERDUE",IF($F404='설정 Settings'!$C$15,"오늘 TODAY","예정 OPEN")))))</f>
      </c>
      <c r="M404" s="42">
        <f>IF($A404="","",IF($I404="Y","수신거부: 문자·이메일 보내지 않기",IF(OR($E404="SMS",$E404="EMAIL"),IF(OR($H404="",$H404="NONE"),"동의 근거 없음: 전화·방문만",IF($H404="INQUIRY",IF(N($N404)=0,"견적 요청일을 못 찾음: 관련 ID에 견적 ID(Q-…)를 넣었는지 확인",IF('설정 Settings'!$C$15&gt;N($N404),"문의 후 6개월 지남: 다른 동의 근거 필요","OK: 이름·주소·연락처·수신거부 문구 넣기")),IF($H404="REFERRAL","소개 후 첫 메시지만 OK: 소개자 이름 + 이름·주소·연락처·수신거부 문구. 두 번째부터는 다른 동의 근거 필요",IF(AND($H404="REPLY",$D404&lt;&gt;"QUOTE",$D404&lt;&gt;"CALLBACK"),"문의에 대한 답장이 아님: EXPRESS 또는 INQUIRY 동의 필요","OK: 이름·주소·연락처·수신거부 문구 넣기")))),"")))</f>
      </c>
      <c r="N404" s="40">
        <f>IF($H404="INQUIRY",IFERROR(EDATE(INDEX('견적 Quotes'!$B$3:$B$1002,MATCH($C404,'견적 Quotes'!$A$3:$A$1002,0)),'설정 Settings'!$C$20),""),"")</f>
      </c>
    </row>
    <row r="405" spans="12:14" x14ac:dyDescent="0.25">
      <c r="L405" s="42">
        <f>IF($A405="","",IF($G405="Y","완료 DONE",IF($F405="","날짜 없음",IF($F405&lt;'설정 Settings'!$C$15,"지남 OVERDUE",IF($F405='설정 Settings'!$C$15,"오늘 TODAY","예정 OPEN")))))</f>
      </c>
      <c r="M405" s="42">
        <f>IF($A405="","",IF($I405="Y","수신거부: 문자·이메일 보내지 않기",IF(OR($E405="SMS",$E405="EMAIL"),IF(OR($H405="",$H405="NONE"),"동의 근거 없음: 전화·방문만",IF($H405="INQUIRY",IF(N($N405)=0,"견적 요청일을 못 찾음: 관련 ID에 견적 ID(Q-…)를 넣었는지 확인",IF('설정 Settings'!$C$15&gt;N($N405),"문의 후 6개월 지남: 다른 동의 근거 필요","OK: 이름·주소·연락처·수신거부 문구 넣기")),IF($H405="REFERRAL","소개 후 첫 메시지만 OK: 소개자 이름 + 이름·주소·연락처·수신거부 문구. 두 번째부터는 다른 동의 근거 필요",IF(AND($H405="REPLY",$D405&lt;&gt;"QUOTE",$D405&lt;&gt;"CALLBACK"),"문의에 대한 답장이 아님: EXPRESS 또는 INQUIRY 동의 필요","OK: 이름·주소·연락처·수신거부 문구 넣기")))),"")))</f>
      </c>
      <c r="N405" s="40">
        <f>IF($H405="INQUIRY",IFERROR(EDATE(INDEX('견적 Quotes'!$B$3:$B$1002,MATCH($C405,'견적 Quotes'!$A$3:$A$1002,0)),'설정 Settings'!$C$20),""),"")</f>
      </c>
    </row>
    <row r="406" spans="12:14" x14ac:dyDescent="0.25">
      <c r="L406" s="42">
        <f>IF($A406="","",IF($G406="Y","완료 DONE",IF($F406="","날짜 없음",IF($F406&lt;'설정 Settings'!$C$15,"지남 OVERDUE",IF($F406='설정 Settings'!$C$15,"오늘 TODAY","예정 OPEN")))))</f>
      </c>
      <c r="M406" s="42">
        <f>IF($A406="","",IF($I406="Y","수신거부: 문자·이메일 보내지 않기",IF(OR($E406="SMS",$E406="EMAIL"),IF(OR($H406="",$H406="NONE"),"동의 근거 없음: 전화·방문만",IF($H406="INQUIRY",IF(N($N406)=0,"견적 요청일을 못 찾음: 관련 ID에 견적 ID(Q-…)를 넣었는지 확인",IF('설정 Settings'!$C$15&gt;N($N406),"문의 후 6개월 지남: 다른 동의 근거 필요","OK: 이름·주소·연락처·수신거부 문구 넣기")),IF($H406="REFERRAL","소개 후 첫 메시지만 OK: 소개자 이름 + 이름·주소·연락처·수신거부 문구. 두 번째부터는 다른 동의 근거 필요",IF(AND($H406="REPLY",$D406&lt;&gt;"QUOTE",$D406&lt;&gt;"CALLBACK"),"문의에 대한 답장이 아님: EXPRESS 또는 INQUIRY 동의 필요","OK: 이름·주소·연락처·수신거부 문구 넣기")))),"")))</f>
      </c>
      <c r="N406" s="40">
        <f>IF($H406="INQUIRY",IFERROR(EDATE(INDEX('견적 Quotes'!$B$3:$B$1002,MATCH($C406,'견적 Quotes'!$A$3:$A$1002,0)),'설정 Settings'!$C$20),""),"")</f>
      </c>
    </row>
    <row r="407" spans="12:14" x14ac:dyDescent="0.25">
      <c r="L407" s="42">
        <f>IF($A407="","",IF($G407="Y","완료 DONE",IF($F407="","날짜 없음",IF($F407&lt;'설정 Settings'!$C$15,"지남 OVERDUE",IF($F407='설정 Settings'!$C$15,"오늘 TODAY","예정 OPEN")))))</f>
      </c>
      <c r="M407" s="42">
        <f>IF($A407="","",IF($I407="Y","수신거부: 문자·이메일 보내지 않기",IF(OR($E407="SMS",$E407="EMAIL"),IF(OR($H407="",$H407="NONE"),"동의 근거 없음: 전화·방문만",IF($H407="INQUIRY",IF(N($N407)=0,"견적 요청일을 못 찾음: 관련 ID에 견적 ID(Q-…)를 넣었는지 확인",IF('설정 Settings'!$C$15&gt;N($N407),"문의 후 6개월 지남: 다른 동의 근거 필요","OK: 이름·주소·연락처·수신거부 문구 넣기")),IF($H407="REFERRAL","소개 후 첫 메시지만 OK: 소개자 이름 + 이름·주소·연락처·수신거부 문구. 두 번째부터는 다른 동의 근거 필요",IF(AND($H407="REPLY",$D407&lt;&gt;"QUOTE",$D407&lt;&gt;"CALLBACK"),"문의에 대한 답장이 아님: EXPRESS 또는 INQUIRY 동의 필요","OK: 이름·주소·연락처·수신거부 문구 넣기")))),"")))</f>
      </c>
      <c r="N407" s="40">
        <f>IF($H407="INQUIRY",IFERROR(EDATE(INDEX('견적 Quotes'!$B$3:$B$1002,MATCH($C407,'견적 Quotes'!$A$3:$A$1002,0)),'설정 Settings'!$C$20),""),"")</f>
      </c>
    </row>
    <row r="408" spans="12:14" x14ac:dyDescent="0.25">
      <c r="L408" s="42">
        <f>IF($A408="","",IF($G408="Y","완료 DONE",IF($F408="","날짜 없음",IF($F408&lt;'설정 Settings'!$C$15,"지남 OVERDUE",IF($F408='설정 Settings'!$C$15,"오늘 TODAY","예정 OPEN")))))</f>
      </c>
      <c r="M408" s="42">
        <f>IF($A408="","",IF($I408="Y","수신거부: 문자·이메일 보내지 않기",IF(OR($E408="SMS",$E408="EMAIL"),IF(OR($H408="",$H408="NONE"),"동의 근거 없음: 전화·방문만",IF($H408="INQUIRY",IF(N($N408)=0,"견적 요청일을 못 찾음: 관련 ID에 견적 ID(Q-…)를 넣었는지 확인",IF('설정 Settings'!$C$15&gt;N($N408),"문의 후 6개월 지남: 다른 동의 근거 필요","OK: 이름·주소·연락처·수신거부 문구 넣기")),IF($H408="REFERRAL","소개 후 첫 메시지만 OK: 소개자 이름 + 이름·주소·연락처·수신거부 문구. 두 번째부터는 다른 동의 근거 필요",IF(AND($H408="REPLY",$D408&lt;&gt;"QUOTE",$D408&lt;&gt;"CALLBACK"),"문의에 대한 답장이 아님: EXPRESS 또는 INQUIRY 동의 필요","OK: 이름·주소·연락처·수신거부 문구 넣기")))),"")))</f>
      </c>
      <c r="N408" s="40">
        <f>IF($H408="INQUIRY",IFERROR(EDATE(INDEX('견적 Quotes'!$B$3:$B$1002,MATCH($C408,'견적 Quotes'!$A$3:$A$1002,0)),'설정 Settings'!$C$20),""),"")</f>
      </c>
    </row>
    <row r="409" spans="12:14" x14ac:dyDescent="0.25">
      <c r="L409" s="42">
        <f>IF($A409="","",IF($G409="Y","완료 DONE",IF($F409="","날짜 없음",IF($F409&lt;'설정 Settings'!$C$15,"지남 OVERDUE",IF($F409='설정 Settings'!$C$15,"오늘 TODAY","예정 OPEN")))))</f>
      </c>
      <c r="M409" s="42">
        <f>IF($A409="","",IF($I409="Y","수신거부: 문자·이메일 보내지 않기",IF(OR($E409="SMS",$E409="EMAIL"),IF(OR($H409="",$H409="NONE"),"동의 근거 없음: 전화·방문만",IF($H409="INQUIRY",IF(N($N409)=0,"견적 요청일을 못 찾음: 관련 ID에 견적 ID(Q-…)를 넣었는지 확인",IF('설정 Settings'!$C$15&gt;N($N409),"문의 후 6개월 지남: 다른 동의 근거 필요","OK: 이름·주소·연락처·수신거부 문구 넣기")),IF($H409="REFERRAL","소개 후 첫 메시지만 OK: 소개자 이름 + 이름·주소·연락처·수신거부 문구. 두 번째부터는 다른 동의 근거 필요",IF(AND($H409="REPLY",$D409&lt;&gt;"QUOTE",$D409&lt;&gt;"CALLBACK"),"문의에 대한 답장이 아님: EXPRESS 또는 INQUIRY 동의 필요","OK: 이름·주소·연락처·수신거부 문구 넣기")))),"")))</f>
      </c>
      <c r="N409" s="40">
        <f>IF($H409="INQUIRY",IFERROR(EDATE(INDEX('견적 Quotes'!$B$3:$B$1002,MATCH($C409,'견적 Quotes'!$A$3:$A$1002,0)),'설정 Settings'!$C$20),""),"")</f>
      </c>
    </row>
    <row r="410" spans="12:14" x14ac:dyDescent="0.25">
      <c r="L410" s="42">
        <f>IF($A410="","",IF($G410="Y","완료 DONE",IF($F410="","날짜 없음",IF($F410&lt;'설정 Settings'!$C$15,"지남 OVERDUE",IF($F410='설정 Settings'!$C$15,"오늘 TODAY","예정 OPEN")))))</f>
      </c>
      <c r="M410" s="42">
        <f>IF($A410="","",IF($I410="Y","수신거부: 문자·이메일 보내지 않기",IF(OR($E410="SMS",$E410="EMAIL"),IF(OR($H410="",$H410="NONE"),"동의 근거 없음: 전화·방문만",IF($H410="INQUIRY",IF(N($N410)=0,"견적 요청일을 못 찾음: 관련 ID에 견적 ID(Q-…)를 넣었는지 확인",IF('설정 Settings'!$C$15&gt;N($N410),"문의 후 6개월 지남: 다른 동의 근거 필요","OK: 이름·주소·연락처·수신거부 문구 넣기")),IF($H410="REFERRAL","소개 후 첫 메시지만 OK: 소개자 이름 + 이름·주소·연락처·수신거부 문구. 두 번째부터는 다른 동의 근거 필요",IF(AND($H410="REPLY",$D410&lt;&gt;"QUOTE",$D410&lt;&gt;"CALLBACK"),"문의에 대한 답장이 아님: EXPRESS 또는 INQUIRY 동의 필요","OK: 이름·주소·연락처·수신거부 문구 넣기")))),"")))</f>
      </c>
      <c r="N410" s="40">
        <f>IF($H410="INQUIRY",IFERROR(EDATE(INDEX('견적 Quotes'!$B$3:$B$1002,MATCH($C410,'견적 Quotes'!$A$3:$A$1002,0)),'설정 Settings'!$C$20),""),"")</f>
      </c>
    </row>
    <row r="411" spans="12:14" x14ac:dyDescent="0.25">
      <c r="L411" s="42">
        <f>IF($A411="","",IF($G411="Y","완료 DONE",IF($F411="","날짜 없음",IF($F411&lt;'설정 Settings'!$C$15,"지남 OVERDUE",IF($F411='설정 Settings'!$C$15,"오늘 TODAY","예정 OPEN")))))</f>
      </c>
      <c r="M411" s="42">
        <f>IF($A411="","",IF($I411="Y","수신거부: 문자·이메일 보내지 않기",IF(OR($E411="SMS",$E411="EMAIL"),IF(OR($H411="",$H411="NONE"),"동의 근거 없음: 전화·방문만",IF($H411="INQUIRY",IF(N($N411)=0,"견적 요청일을 못 찾음: 관련 ID에 견적 ID(Q-…)를 넣었는지 확인",IF('설정 Settings'!$C$15&gt;N($N411),"문의 후 6개월 지남: 다른 동의 근거 필요","OK: 이름·주소·연락처·수신거부 문구 넣기")),IF($H411="REFERRAL","소개 후 첫 메시지만 OK: 소개자 이름 + 이름·주소·연락처·수신거부 문구. 두 번째부터는 다른 동의 근거 필요",IF(AND($H411="REPLY",$D411&lt;&gt;"QUOTE",$D411&lt;&gt;"CALLBACK"),"문의에 대한 답장이 아님: EXPRESS 또는 INQUIRY 동의 필요","OK: 이름·주소·연락처·수신거부 문구 넣기")))),"")))</f>
      </c>
      <c r="N411" s="40">
        <f>IF($H411="INQUIRY",IFERROR(EDATE(INDEX('견적 Quotes'!$B$3:$B$1002,MATCH($C411,'견적 Quotes'!$A$3:$A$1002,0)),'설정 Settings'!$C$20),""),"")</f>
      </c>
    </row>
    <row r="412" spans="12:14" x14ac:dyDescent="0.25">
      <c r="L412" s="42">
        <f>IF($A412="","",IF($G412="Y","완료 DONE",IF($F412="","날짜 없음",IF($F412&lt;'설정 Settings'!$C$15,"지남 OVERDUE",IF($F412='설정 Settings'!$C$15,"오늘 TODAY","예정 OPEN")))))</f>
      </c>
      <c r="M412" s="42">
        <f>IF($A412="","",IF($I412="Y","수신거부: 문자·이메일 보내지 않기",IF(OR($E412="SMS",$E412="EMAIL"),IF(OR($H412="",$H412="NONE"),"동의 근거 없음: 전화·방문만",IF($H412="INQUIRY",IF(N($N412)=0,"견적 요청일을 못 찾음: 관련 ID에 견적 ID(Q-…)를 넣었는지 확인",IF('설정 Settings'!$C$15&gt;N($N412),"문의 후 6개월 지남: 다른 동의 근거 필요","OK: 이름·주소·연락처·수신거부 문구 넣기")),IF($H412="REFERRAL","소개 후 첫 메시지만 OK: 소개자 이름 + 이름·주소·연락처·수신거부 문구. 두 번째부터는 다른 동의 근거 필요",IF(AND($H412="REPLY",$D412&lt;&gt;"QUOTE",$D412&lt;&gt;"CALLBACK"),"문의에 대한 답장이 아님: EXPRESS 또는 INQUIRY 동의 필요","OK: 이름·주소·연락처·수신거부 문구 넣기")))),"")))</f>
      </c>
      <c r="N412" s="40">
        <f>IF($H412="INQUIRY",IFERROR(EDATE(INDEX('견적 Quotes'!$B$3:$B$1002,MATCH($C412,'견적 Quotes'!$A$3:$A$1002,0)),'설정 Settings'!$C$20),""),"")</f>
      </c>
    </row>
    <row r="413" spans="12:14" x14ac:dyDescent="0.25">
      <c r="L413" s="42">
        <f>IF($A413="","",IF($G413="Y","완료 DONE",IF($F413="","날짜 없음",IF($F413&lt;'설정 Settings'!$C$15,"지남 OVERDUE",IF($F413='설정 Settings'!$C$15,"오늘 TODAY","예정 OPEN")))))</f>
      </c>
      <c r="M413" s="42">
        <f>IF($A413="","",IF($I413="Y","수신거부: 문자·이메일 보내지 않기",IF(OR($E413="SMS",$E413="EMAIL"),IF(OR($H413="",$H413="NONE"),"동의 근거 없음: 전화·방문만",IF($H413="INQUIRY",IF(N($N413)=0,"견적 요청일을 못 찾음: 관련 ID에 견적 ID(Q-…)를 넣었는지 확인",IF('설정 Settings'!$C$15&gt;N($N413),"문의 후 6개월 지남: 다른 동의 근거 필요","OK: 이름·주소·연락처·수신거부 문구 넣기")),IF($H413="REFERRAL","소개 후 첫 메시지만 OK: 소개자 이름 + 이름·주소·연락처·수신거부 문구. 두 번째부터는 다른 동의 근거 필요",IF(AND($H413="REPLY",$D413&lt;&gt;"QUOTE",$D413&lt;&gt;"CALLBACK"),"문의에 대한 답장이 아님: EXPRESS 또는 INQUIRY 동의 필요","OK: 이름·주소·연락처·수신거부 문구 넣기")))),"")))</f>
      </c>
      <c r="N413" s="40">
        <f>IF($H413="INQUIRY",IFERROR(EDATE(INDEX('견적 Quotes'!$B$3:$B$1002,MATCH($C413,'견적 Quotes'!$A$3:$A$1002,0)),'설정 Settings'!$C$20),""),"")</f>
      </c>
    </row>
    <row r="414" spans="12:14" x14ac:dyDescent="0.25">
      <c r="L414" s="42">
        <f>IF($A414="","",IF($G414="Y","완료 DONE",IF($F414="","날짜 없음",IF($F414&lt;'설정 Settings'!$C$15,"지남 OVERDUE",IF($F414='설정 Settings'!$C$15,"오늘 TODAY","예정 OPEN")))))</f>
      </c>
      <c r="M414" s="42">
        <f>IF($A414="","",IF($I414="Y","수신거부: 문자·이메일 보내지 않기",IF(OR($E414="SMS",$E414="EMAIL"),IF(OR($H414="",$H414="NONE"),"동의 근거 없음: 전화·방문만",IF($H414="INQUIRY",IF(N($N414)=0,"견적 요청일을 못 찾음: 관련 ID에 견적 ID(Q-…)를 넣었는지 확인",IF('설정 Settings'!$C$15&gt;N($N414),"문의 후 6개월 지남: 다른 동의 근거 필요","OK: 이름·주소·연락처·수신거부 문구 넣기")),IF($H414="REFERRAL","소개 후 첫 메시지만 OK: 소개자 이름 + 이름·주소·연락처·수신거부 문구. 두 번째부터는 다른 동의 근거 필요",IF(AND($H414="REPLY",$D414&lt;&gt;"QUOTE",$D414&lt;&gt;"CALLBACK"),"문의에 대한 답장이 아님: EXPRESS 또는 INQUIRY 동의 필요","OK: 이름·주소·연락처·수신거부 문구 넣기")))),"")))</f>
      </c>
      <c r="N414" s="40">
        <f>IF($H414="INQUIRY",IFERROR(EDATE(INDEX('견적 Quotes'!$B$3:$B$1002,MATCH($C414,'견적 Quotes'!$A$3:$A$1002,0)),'설정 Settings'!$C$20),""),"")</f>
      </c>
    </row>
    <row r="415" spans="12:14" x14ac:dyDescent="0.25">
      <c r="L415" s="42">
        <f>IF($A415="","",IF($G415="Y","완료 DONE",IF($F415="","날짜 없음",IF($F415&lt;'설정 Settings'!$C$15,"지남 OVERDUE",IF($F415='설정 Settings'!$C$15,"오늘 TODAY","예정 OPEN")))))</f>
      </c>
      <c r="M415" s="42">
        <f>IF($A415="","",IF($I415="Y","수신거부: 문자·이메일 보내지 않기",IF(OR($E415="SMS",$E415="EMAIL"),IF(OR($H415="",$H415="NONE"),"동의 근거 없음: 전화·방문만",IF($H415="INQUIRY",IF(N($N415)=0,"견적 요청일을 못 찾음: 관련 ID에 견적 ID(Q-…)를 넣었는지 확인",IF('설정 Settings'!$C$15&gt;N($N415),"문의 후 6개월 지남: 다른 동의 근거 필요","OK: 이름·주소·연락처·수신거부 문구 넣기")),IF($H415="REFERRAL","소개 후 첫 메시지만 OK: 소개자 이름 + 이름·주소·연락처·수신거부 문구. 두 번째부터는 다른 동의 근거 필요",IF(AND($H415="REPLY",$D415&lt;&gt;"QUOTE",$D415&lt;&gt;"CALLBACK"),"문의에 대한 답장이 아님: EXPRESS 또는 INQUIRY 동의 필요","OK: 이름·주소·연락처·수신거부 문구 넣기")))),"")))</f>
      </c>
      <c r="N415" s="40">
        <f>IF($H415="INQUIRY",IFERROR(EDATE(INDEX('견적 Quotes'!$B$3:$B$1002,MATCH($C415,'견적 Quotes'!$A$3:$A$1002,0)),'설정 Settings'!$C$20),""),"")</f>
      </c>
    </row>
    <row r="416" spans="12:14" x14ac:dyDescent="0.25">
      <c r="L416" s="42">
        <f>IF($A416="","",IF($G416="Y","완료 DONE",IF($F416="","날짜 없음",IF($F416&lt;'설정 Settings'!$C$15,"지남 OVERDUE",IF($F416='설정 Settings'!$C$15,"오늘 TODAY","예정 OPEN")))))</f>
      </c>
      <c r="M416" s="42">
        <f>IF($A416="","",IF($I416="Y","수신거부: 문자·이메일 보내지 않기",IF(OR($E416="SMS",$E416="EMAIL"),IF(OR($H416="",$H416="NONE"),"동의 근거 없음: 전화·방문만",IF($H416="INQUIRY",IF(N($N416)=0,"견적 요청일을 못 찾음: 관련 ID에 견적 ID(Q-…)를 넣었는지 확인",IF('설정 Settings'!$C$15&gt;N($N416),"문의 후 6개월 지남: 다른 동의 근거 필요","OK: 이름·주소·연락처·수신거부 문구 넣기")),IF($H416="REFERRAL","소개 후 첫 메시지만 OK: 소개자 이름 + 이름·주소·연락처·수신거부 문구. 두 번째부터는 다른 동의 근거 필요",IF(AND($H416="REPLY",$D416&lt;&gt;"QUOTE",$D416&lt;&gt;"CALLBACK"),"문의에 대한 답장이 아님: EXPRESS 또는 INQUIRY 동의 필요","OK: 이름·주소·연락처·수신거부 문구 넣기")))),"")))</f>
      </c>
      <c r="N416" s="40">
        <f>IF($H416="INQUIRY",IFERROR(EDATE(INDEX('견적 Quotes'!$B$3:$B$1002,MATCH($C416,'견적 Quotes'!$A$3:$A$1002,0)),'설정 Settings'!$C$20),""),"")</f>
      </c>
    </row>
    <row r="417" spans="12:14" x14ac:dyDescent="0.25">
      <c r="L417" s="42">
        <f>IF($A417="","",IF($G417="Y","완료 DONE",IF($F417="","날짜 없음",IF($F417&lt;'설정 Settings'!$C$15,"지남 OVERDUE",IF($F417='설정 Settings'!$C$15,"오늘 TODAY","예정 OPEN")))))</f>
      </c>
      <c r="M417" s="42">
        <f>IF($A417="","",IF($I417="Y","수신거부: 문자·이메일 보내지 않기",IF(OR($E417="SMS",$E417="EMAIL"),IF(OR($H417="",$H417="NONE"),"동의 근거 없음: 전화·방문만",IF($H417="INQUIRY",IF(N($N417)=0,"견적 요청일을 못 찾음: 관련 ID에 견적 ID(Q-…)를 넣었는지 확인",IF('설정 Settings'!$C$15&gt;N($N417),"문의 후 6개월 지남: 다른 동의 근거 필요","OK: 이름·주소·연락처·수신거부 문구 넣기")),IF($H417="REFERRAL","소개 후 첫 메시지만 OK: 소개자 이름 + 이름·주소·연락처·수신거부 문구. 두 번째부터는 다른 동의 근거 필요",IF(AND($H417="REPLY",$D417&lt;&gt;"QUOTE",$D417&lt;&gt;"CALLBACK"),"문의에 대한 답장이 아님: EXPRESS 또는 INQUIRY 동의 필요","OK: 이름·주소·연락처·수신거부 문구 넣기")))),"")))</f>
      </c>
      <c r="N417" s="40">
        <f>IF($H417="INQUIRY",IFERROR(EDATE(INDEX('견적 Quotes'!$B$3:$B$1002,MATCH($C417,'견적 Quotes'!$A$3:$A$1002,0)),'설정 Settings'!$C$20),""),"")</f>
      </c>
    </row>
    <row r="418" spans="12:14" x14ac:dyDescent="0.25">
      <c r="L418" s="42">
        <f>IF($A418="","",IF($G418="Y","완료 DONE",IF($F418="","날짜 없음",IF($F418&lt;'설정 Settings'!$C$15,"지남 OVERDUE",IF($F418='설정 Settings'!$C$15,"오늘 TODAY","예정 OPEN")))))</f>
      </c>
      <c r="M418" s="42">
        <f>IF($A418="","",IF($I418="Y","수신거부: 문자·이메일 보내지 않기",IF(OR($E418="SMS",$E418="EMAIL"),IF(OR($H418="",$H418="NONE"),"동의 근거 없음: 전화·방문만",IF($H418="INQUIRY",IF(N($N418)=0,"견적 요청일을 못 찾음: 관련 ID에 견적 ID(Q-…)를 넣었는지 확인",IF('설정 Settings'!$C$15&gt;N($N418),"문의 후 6개월 지남: 다른 동의 근거 필요","OK: 이름·주소·연락처·수신거부 문구 넣기")),IF($H418="REFERRAL","소개 후 첫 메시지만 OK: 소개자 이름 + 이름·주소·연락처·수신거부 문구. 두 번째부터는 다른 동의 근거 필요",IF(AND($H418="REPLY",$D418&lt;&gt;"QUOTE",$D418&lt;&gt;"CALLBACK"),"문의에 대한 답장이 아님: EXPRESS 또는 INQUIRY 동의 필요","OK: 이름·주소·연락처·수신거부 문구 넣기")))),"")))</f>
      </c>
      <c r="N418" s="40">
        <f>IF($H418="INQUIRY",IFERROR(EDATE(INDEX('견적 Quotes'!$B$3:$B$1002,MATCH($C418,'견적 Quotes'!$A$3:$A$1002,0)),'설정 Settings'!$C$20),""),"")</f>
      </c>
    </row>
    <row r="419" spans="12:14" x14ac:dyDescent="0.25">
      <c r="L419" s="42">
        <f>IF($A419="","",IF($G419="Y","완료 DONE",IF($F419="","날짜 없음",IF($F419&lt;'설정 Settings'!$C$15,"지남 OVERDUE",IF($F419='설정 Settings'!$C$15,"오늘 TODAY","예정 OPEN")))))</f>
      </c>
      <c r="M419" s="42">
        <f>IF($A419="","",IF($I419="Y","수신거부: 문자·이메일 보내지 않기",IF(OR($E419="SMS",$E419="EMAIL"),IF(OR($H419="",$H419="NONE"),"동의 근거 없음: 전화·방문만",IF($H419="INQUIRY",IF(N($N419)=0,"견적 요청일을 못 찾음: 관련 ID에 견적 ID(Q-…)를 넣었는지 확인",IF('설정 Settings'!$C$15&gt;N($N419),"문의 후 6개월 지남: 다른 동의 근거 필요","OK: 이름·주소·연락처·수신거부 문구 넣기")),IF($H419="REFERRAL","소개 후 첫 메시지만 OK: 소개자 이름 + 이름·주소·연락처·수신거부 문구. 두 번째부터는 다른 동의 근거 필요",IF(AND($H419="REPLY",$D419&lt;&gt;"QUOTE",$D419&lt;&gt;"CALLBACK"),"문의에 대한 답장이 아님: EXPRESS 또는 INQUIRY 동의 필요","OK: 이름·주소·연락처·수신거부 문구 넣기")))),"")))</f>
      </c>
      <c r="N419" s="40">
        <f>IF($H419="INQUIRY",IFERROR(EDATE(INDEX('견적 Quotes'!$B$3:$B$1002,MATCH($C419,'견적 Quotes'!$A$3:$A$1002,0)),'설정 Settings'!$C$20),""),"")</f>
      </c>
    </row>
    <row r="420" spans="12:14" x14ac:dyDescent="0.25">
      <c r="L420" s="42">
        <f>IF($A420="","",IF($G420="Y","완료 DONE",IF($F420="","날짜 없음",IF($F420&lt;'설정 Settings'!$C$15,"지남 OVERDUE",IF($F420='설정 Settings'!$C$15,"오늘 TODAY","예정 OPEN")))))</f>
      </c>
      <c r="M420" s="42">
        <f>IF($A420="","",IF($I420="Y","수신거부: 문자·이메일 보내지 않기",IF(OR($E420="SMS",$E420="EMAIL"),IF(OR($H420="",$H420="NONE"),"동의 근거 없음: 전화·방문만",IF($H420="INQUIRY",IF(N($N420)=0,"견적 요청일을 못 찾음: 관련 ID에 견적 ID(Q-…)를 넣었는지 확인",IF('설정 Settings'!$C$15&gt;N($N420),"문의 후 6개월 지남: 다른 동의 근거 필요","OK: 이름·주소·연락처·수신거부 문구 넣기")),IF($H420="REFERRAL","소개 후 첫 메시지만 OK: 소개자 이름 + 이름·주소·연락처·수신거부 문구. 두 번째부터는 다른 동의 근거 필요",IF(AND($H420="REPLY",$D420&lt;&gt;"QUOTE",$D420&lt;&gt;"CALLBACK"),"문의에 대한 답장이 아님: EXPRESS 또는 INQUIRY 동의 필요","OK: 이름·주소·연락처·수신거부 문구 넣기")))),"")))</f>
      </c>
      <c r="N420" s="40">
        <f>IF($H420="INQUIRY",IFERROR(EDATE(INDEX('견적 Quotes'!$B$3:$B$1002,MATCH($C420,'견적 Quotes'!$A$3:$A$1002,0)),'설정 Settings'!$C$20),""),"")</f>
      </c>
    </row>
    <row r="421" spans="12:14" x14ac:dyDescent="0.25">
      <c r="L421" s="42">
        <f>IF($A421="","",IF($G421="Y","완료 DONE",IF($F421="","날짜 없음",IF($F421&lt;'설정 Settings'!$C$15,"지남 OVERDUE",IF($F421='설정 Settings'!$C$15,"오늘 TODAY","예정 OPEN")))))</f>
      </c>
      <c r="M421" s="42">
        <f>IF($A421="","",IF($I421="Y","수신거부: 문자·이메일 보내지 않기",IF(OR($E421="SMS",$E421="EMAIL"),IF(OR($H421="",$H421="NONE"),"동의 근거 없음: 전화·방문만",IF($H421="INQUIRY",IF(N($N421)=0,"견적 요청일을 못 찾음: 관련 ID에 견적 ID(Q-…)를 넣었는지 확인",IF('설정 Settings'!$C$15&gt;N($N421),"문의 후 6개월 지남: 다른 동의 근거 필요","OK: 이름·주소·연락처·수신거부 문구 넣기")),IF($H421="REFERRAL","소개 후 첫 메시지만 OK: 소개자 이름 + 이름·주소·연락처·수신거부 문구. 두 번째부터는 다른 동의 근거 필요",IF(AND($H421="REPLY",$D421&lt;&gt;"QUOTE",$D421&lt;&gt;"CALLBACK"),"문의에 대한 답장이 아님: EXPRESS 또는 INQUIRY 동의 필요","OK: 이름·주소·연락처·수신거부 문구 넣기")))),"")))</f>
      </c>
      <c r="N421" s="40">
        <f>IF($H421="INQUIRY",IFERROR(EDATE(INDEX('견적 Quotes'!$B$3:$B$1002,MATCH($C421,'견적 Quotes'!$A$3:$A$1002,0)),'설정 Settings'!$C$20),""),"")</f>
      </c>
    </row>
    <row r="422" spans="12:14" x14ac:dyDescent="0.25">
      <c r="L422" s="42">
        <f>IF($A422="","",IF($G422="Y","완료 DONE",IF($F422="","날짜 없음",IF($F422&lt;'설정 Settings'!$C$15,"지남 OVERDUE",IF($F422='설정 Settings'!$C$15,"오늘 TODAY","예정 OPEN")))))</f>
      </c>
      <c r="M422" s="42">
        <f>IF($A422="","",IF($I422="Y","수신거부: 문자·이메일 보내지 않기",IF(OR($E422="SMS",$E422="EMAIL"),IF(OR($H422="",$H422="NONE"),"동의 근거 없음: 전화·방문만",IF($H422="INQUIRY",IF(N($N422)=0,"견적 요청일을 못 찾음: 관련 ID에 견적 ID(Q-…)를 넣었는지 확인",IF('설정 Settings'!$C$15&gt;N($N422),"문의 후 6개월 지남: 다른 동의 근거 필요","OK: 이름·주소·연락처·수신거부 문구 넣기")),IF($H422="REFERRAL","소개 후 첫 메시지만 OK: 소개자 이름 + 이름·주소·연락처·수신거부 문구. 두 번째부터는 다른 동의 근거 필요",IF(AND($H422="REPLY",$D422&lt;&gt;"QUOTE",$D422&lt;&gt;"CALLBACK"),"문의에 대한 답장이 아님: EXPRESS 또는 INQUIRY 동의 필요","OK: 이름·주소·연락처·수신거부 문구 넣기")))),"")))</f>
      </c>
      <c r="N422" s="40">
        <f>IF($H422="INQUIRY",IFERROR(EDATE(INDEX('견적 Quotes'!$B$3:$B$1002,MATCH($C422,'견적 Quotes'!$A$3:$A$1002,0)),'설정 Settings'!$C$20),""),"")</f>
      </c>
    </row>
    <row r="423" spans="12:14" x14ac:dyDescent="0.25">
      <c r="L423" s="42">
        <f>IF($A423="","",IF($G423="Y","완료 DONE",IF($F423="","날짜 없음",IF($F423&lt;'설정 Settings'!$C$15,"지남 OVERDUE",IF($F423='설정 Settings'!$C$15,"오늘 TODAY","예정 OPEN")))))</f>
      </c>
      <c r="M423" s="42">
        <f>IF($A423="","",IF($I423="Y","수신거부: 문자·이메일 보내지 않기",IF(OR($E423="SMS",$E423="EMAIL"),IF(OR($H423="",$H423="NONE"),"동의 근거 없음: 전화·방문만",IF($H423="INQUIRY",IF(N($N423)=0,"견적 요청일을 못 찾음: 관련 ID에 견적 ID(Q-…)를 넣었는지 확인",IF('설정 Settings'!$C$15&gt;N($N423),"문의 후 6개월 지남: 다른 동의 근거 필요","OK: 이름·주소·연락처·수신거부 문구 넣기")),IF($H423="REFERRAL","소개 후 첫 메시지만 OK: 소개자 이름 + 이름·주소·연락처·수신거부 문구. 두 번째부터는 다른 동의 근거 필요",IF(AND($H423="REPLY",$D423&lt;&gt;"QUOTE",$D423&lt;&gt;"CALLBACK"),"문의에 대한 답장이 아님: EXPRESS 또는 INQUIRY 동의 필요","OK: 이름·주소·연락처·수신거부 문구 넣기")))),"")))</f>
      </c>
      <c r="N423" s="40">
        <f>IF($H423="INQUIRY",IFERROR(EDATE(INDEX('견적 Quotes'!$B$3:$B$1002,MATCH($C423,'견적 Quotes'!$A$3:$A$1002,0)),'설정 Settings'!$C$20),""),"")</f>
      </c>
    </row>
    <row r="424" spans="12:14" x14ac:dyDescent="0.25">
      <c r="L424" s="42">
        <f>IF($A424="","",IF($G424="Y","완료 DONE",IF($F424="","날짜 없음",IF($F424&lt;'설정 Settings'!$C$15,"지남 OVERDUE",IF($F424='설정 Settings'!$C$15,"오늘 TODAY","예정 OPEN")))))</f>
      </c>
      <c r="M424" s="42">
        <f>IF($A424="","",IF($I424="Y","수신거부: 문자·이메일 보내지 않기",IF(OR($E424="SMS",$E424="EMAIL"),IF(OR($H424="",$H424="NONE"),"동의 근거 없음: 전화·방문만",IF($H424="INQUIRY",IF(N($N424)=0,"견적 요청일을 못 찾음: 관련 ID에 견적 ID(Q-…)를 넣었는지 확인",IF('설정 Settings'!$C$15&gt;N($N424),"문의 후 6개월 지남: 다른 동의 근거 필요","OK: 이름·주소·연락처·수신거부 문구 넣기")),IF($H424="REFERRAL","소개 후 첫 메시지만 OK: 소개자 이름 + 이름·주소·연락처·수신거부 문구. 두 번째부터는 다른 동의 근거 필요",IF(AND($H424="REPLY",$D424&lt;&gt;"QUOTE",$D424&lt;&gt;"CALLBACK"),"문의에 대한 답장이 아님: EXPRESS 또는 INQUIRY 동의 필요","OK: 이름·주소·연락처·수신거부 문구 넣기")))),"")))</f>
      </c>
      <c r="N424" s="40">
        <f>IF($H424="INQUIRY",IFERROR(EDATE(INDEX('견적 Quotes'!$B$3:$B$1002,MATCH($C424,'견적 Quotes'!$A$3:$A$1002,0)),'설정 Settings'!$C$20),""),"")</f>
      </c>
    </row>
    <row r="425" spans="12:14" x14ac:dyDescent="0.25">
      <c r="L425" s="42">
        <f>IF($A425="","",IF($G425="Y","완료 DONE",IF($F425="","날짜 없음",IF($F425&lt;'설정 Settings'!$C$15,"지남 OVERDUE",IF($F425='설정 Settings'!$C$15,"오늘 TODAY","예정 OPEN")))))</f>
      </c>
      <c r="M425" s="42">
        <f>IF($A425="","",IF($I425="Y","수신거부: 문자·이메일 보내지 않기",IF(OR($E425="SMS",$E425="EMAIL"),IF(OR($H425="",$H425="NONE"),"동의 근거 없음: 전화·방문만",IF($H425="INQUIRY",IF(N($N425)=0,"견적 요청일을 못 찾음: 관련 ID에 견적 ID(Q-…)를 넣었는지 확인",IF('설정 Settings'!$C$15&gt;N($N425),"문의 후 6개월 지남: 다른 동의 근거 필요","OK: 이름·주소·연락처·수신거부 문구 넣기")),IF($H425="REFERRAL","소개 후 첫 메시지만 OK: 소개자 이름 + 이름·주소·연락처·수신거부 문구. 두 번째부터는 다른 동의 근거 필요",IF(AND($H425="REPLY",$D425&lt;&gt;"QUOTE",$D425&lt;&gt;"CALLBACK"),"문의에 대한 답장이 아님: EXPRESS 또는 INQUIRY 동의 필요","OK: 이름·주소·연락처·수신거부 문구 넣기")))),"")))</f>
      </c>
      <c r="N425" s="40">
        <f>IF($H425="INQUIRY",IFERROR(EDATE(INDEX('견적 Quotes'!$B$3:$B$1002,MATCH($C425,'견적 Quotes'!$A$3:$A$1002,0)),'설정 Settings'!$C$20),""),"")</f>
      </c>
    </row>
    <row r="426" spans="12:14" x14ac:dyDescent="0.25">
      <c r="L426" s="42">
        <f>IF($A426="","",IF($G426="Y","완료 DONE",IF($F426="","날짜 없음",IF($F426&lt;'설정 Settings'!$C$15,"지남 OVERDUE",IF($F426='설정 Settings'!$C$15,"오늘 TODAY","예정 OPEN")))))</f>
      </c>
      <c r="M426" s="42">
        <f>IF($A426="","",IF($I426="Y","수신거부: 문자·이메일 보내지 않기",IF(OR($E426="SMS",$E426="EMAIL"),IF(OR($H426="",$H426="NONE"),"동의 근거 없음: 전화·방문만",IF($H426="INQUIRY",IF(N($N426)=0,"견적 요청일을 못 찾음: 관련 ID에 견적 ID(Q-…)를 넣었는지 확인",IF('설정 Settings'!$C$15&gt;N($N426),"문의 후 6개월 지남: 다른 동의 근거 필요","OK: 이름·주소·연락처·수신거부 문구 넣기")),IF($H426="REFERRAL","소개 후 첫 메시지만 OK: 소개자 이름 + 이름·주소·연락처·수신거부 문구. 두 번째부터는 다른 동의 근거 필요",IF(AND($H426="REPLY",$D426&lt;&gt;"QUOTE",$D426&lt;&gt;"CALLBACK"),"문의에 대한 답장이 아님: EXPRESS 또는 INQUIRY 동의 필요","OK: 이름·주소·연락처·수신거부 문구 넣기")))),"")))</f>
      </c>
      <c r="N426" s="40">
        <f>IF($H426="INQUIRY",IFERROR(EDATE(INDEX('견적 Quotes'!$B$3:$B$1002,MATCH($C426,'견적 Quotes'!$A$3:$A$1002,0)),'설정 Settings'!$C$20),""),"")</f>
      </c>
    </row>
    <row r="427" spans="12:14" x14ac:dyDescent="0.25">
      <c r="L427" s="42">
        <f>IF($A427="","",IF($G427="Y","완료 DONE",IF($F427="","날짜 없음",IF($F427&lt;'설정 Settings'!$C$15,"지남 OVERDUE",IF($F427='설정 Settings'!$C$15,"오늘 TODAY","예정 OPEN")))))</f>
      </c>
      <c r="M427" s="42">
        <f>IF($A427="","",IF($I427="Y","수신거부: 문자·이메일 보내지 않기",IF(OR($E427="SMS",$E427="EMAIL"),IF(OR($H427="",$H427="NONE"),"동의 근거 없음: 전화·방문만",IF($H427="INQUIRY",IF(N($N427)=0,"견적 요청일을 못 찾음: 관련 ID에 견적 ID(Q-…)를 넣었는지 확인",IF('설정 Settings'!$C$15&gt;N($N427),"문의 후 6개월 지남: 다른 동의 근거 필요","OK: 이름·주소·연락처·수신거부 문구 넣기")),IF($H427="REFERRAL","소개 후 첫 메시지만 OK: 소개자 이름 + 이름·주소·연락처·수신거부 문구. 두 번째부터는 다른 동의 근거 필요",IF(AND($H427="REPLY",$D427&lt;&gt;"QUOTE",$D427&lt;&gt;"CALLBACK"),"문의에 대한 답장이 아님: EXPRESS 또는 INQUIRY 동의 필요","OK: 이름·주소·연락처·수신거부 문구 넣기")))),"")))</f>
      </c>
      <c r="N427" s="40">
        <f>IF($H427="INQUIRY",IFERROR(EDATE(INDEX('견적 Quotes'!$B$3:$B$1002,MATCH($C427,'견적 Quotes'!$A$3:$A$1002,0)),'설정 Settings'!$C$20),""),"")</f>
      </c>
    </row>
    <row r="428" spans="12:14" x14ac:dyDescent="0.25">
      <c r="L428" s="42">
        <f>IF($A428="","",IF($G428="Y","완료 DONE",IF($F428="","날짜 없음",IF($F428&lt;'설정 Settings'!$C$15,"지남 OVERDUE",IF($F428='설정 Settings'!$C$15,"오늘 TODAY","예정 OPEN")))))</f>
      </c>
      <c r="M428" s="42">
        <f>IF($A428="","",IF($I428="Y","수신거부: 문자·이메일 보내지 않기",IF(OR($E428="SMS",$E428="EMAIL"),IF(OR($H428="",$H428="NONE"),"동의 근거 없음: 전화·방문만",IF($H428="INQUIRY",IF(N($N428)=0,"견적 요청일을 못 찾음: 관련 ID에 견적 ID(Q-…)를 넣었는지 확인",IF('설정 Settings'!$C$15&gt;N($N428),"문의 후 6개월 지남: 다른 동의 근거 필요","OK: 이름·주소·연락처·수신거부 문구 넣기")),IF($H428="REFERRAL","소개 후 첫 메시지만 OK: 소개자 이름 + 이름·주소·연락처·수신거부 문구. 두 번째부터는 다른 동의 근거 필요",IF(AND($H428="REPLY",$D428&lt;&gt;"QUOTE",$D428&lt;&gt;"CALLBACK"),"문의에 대한 답장이 아님: EXPRESS 또는 INQUIRY 동의 필요","OK: 이름·주소·연락처·수신거부 문구 넣기")))),"")))</f>
      </c>
      <c r="N428" s="40">
        <f>IF($H428="INQUIRY",IFERROR(EDATE(INDEX('견적 Quotes'!$B$3:$B$1002,MATCH($C428,'견적 Quotes'!$A$3:$A$1002,0)),'설정 Settings'!$C$20),""),"")</f>
      </c>
    </row>
    <row r="429" spans="12:14" x14ac:dyDescent="0.25">
      <c r="L429" s="42">
        <f>IF($A429="","",IF($G429="Y","완료 DONE",IF($F429="","날짜 없음",IF($F429&lt;'설정 Settings'!$C$15,"지남 OVERDUE",IF($F429='설정 Settings'!$C$15,"오늘 TODAY","예정 OPEN")))))</f>
      </c>
      <c r="M429" s="42">
        <f>IF($A429="","",IF($I429="Y","수신거부: 문자·이메일 보내지 않기",IF(OR($E429="SMS",$E429="EMAIL"),IF(OR($H429="",$H429="NONE"),"동의 근거 없음: 전화·방문만",IF($H429="INQUIRY",IF(N($N429)=0,"견적 요청일을 못 찾음: 관련 ID에 견적 ID(Q-…)를 넣었는지 확인",IF('설정 Settings'!$C$15&gt;N($N429),"문의 후 6개월 지남: 다른 동의 근거 필요","OK: 이름·주소·연락처·수신거부 문구 넣기")),IF($H429="REFERRAL","소개 후 첫 메시지만 OK: 소개자 이름 + 이름·주소·연락처·수신거부 문구. 두 번째부터는 다른 동의 근거 필요",IF(AND($H429="REPLY",$D429&lt;&gt;"QUOTE",$D429&lt;&gt;"CALLBACK"),"문의에 대한 답장이 아님: EXPRESS 또는 INQUIRY 동의 필요","OK: 이름·주소·연락처·수신거부 문구 넣기")))),"")))</f>
      </c>
      <c r="N429" s="40">
        <f>IF($H429="INQUIRY",IFERROR(EDATE(INDEX('견적 Quotes'!$B$3:$B$1002,MATCH($C429,'견적 Quotes'!$A$3:$A$1002,0)),'설정 Settings'!$C$20),""),"")</f>
      </c>
    </row>
    <row r="430" spans="12:14" x14ac:dyDescent="0.25">
      <c r="L430" s="42">
        <f>IF($A430="","",IF($G430="Y","완료 DONE",IF($F430="","날짜 없음",IF($F430&lt;'설정 Settings'!$C$15,"지남 OVERDUE",IF($F430='설정 Settings'!$C$15,"오늘 TODAY","예정 OPEN")))))</f>
      </c>
      <c r="M430" s="42">
        <f>IF($A430="","",IF($I430="Y","수신거부: 문자·이메일 보내지 않기",IF(OR($E430="SMS",$E430="EMAIL"),IF(OR($H430="",$H430="NONE"),"동의 근거 없음: 전화·방문만",IF($H430="INQUIRY",IF(N($N430)=0,"견적 요청일을 못 찾음: 관련 ID에 견적 ID(Q-…)를 넣었는지 확인",IF('설정 Settings'!$C$15&gt;N($N430),"문의 후 6개월 지남: 다른 동의 근거 필요","OK: 이름·주소·연락처·수신거부 문구 넣기")),IF($H430="REFERRAL","소개 후 첫 메시지만 OK: 소개자 이름 + 이름·주소·연락처·수신거부 문구. 두 번째부터는 다른 동의 근거 필요",IF(AND($H430="REPLY",$D430&lt;&gt;"QUOTE",$D430&lt;&gt;"CALLBACK"),"문의에 대한 답장이 아님: EXPRESS 또는 INQUIRY 동의 필요","OK: 이름·주소·연락처·수신거부 문구 넣기")))),"")))</f>
      </c>
      <c r="N430" s="40">
        <f>IF($H430="INQUIRY",IFERROR(EDATE(INDEX('견적 Quotes'!$B$3:$B$1002,MATCH($C430,'견적 Quotes'!$A$3:$A$1002,0)),'설정 Settings'!$C$20),""),"")</f>
      </c>
    </row>
    <row r="431" spans="12:14" x14ac:dyDescent="0.25">
      <c r="L431" s="42">
        <f>IF($A431="","",IF($G431="Y","완료 DONE",IF($F431="","날짜 없음",IF($F431&lt;'설정 Settings'!$C$15,"지남 OVERDUE",IF($F431='설정 Settings'!$C$15,"오늘 TODAY","예정 OPEN")))))</f>
      </c>
      <c r="M431" s="42">
        <f>IF($A431="","",IF($I431="Y","수신거부: 문자·이메일 보내지 않기",IF(OR($E431="SMS",$E431="EMAIL"),IF(OR($H431="",$H431="NONE"),"동의 근거 없음: 전화·방문만",IF($H431="INQUIRY",IF(N($N431)=0,"견적 요청일을 못 찾음: 관련 ID에 견적 ID(Q-…)를 넣었는지 확인",IF('설정 Settings'!$C$15&gt;N($N431),"문의 후 6개월 지남: 다른 동의 근거 필요","OK: 이름·주소·연락처·수신거부 문구 넣기")),IF($H431="REFERRAL","소개 후 첫 메시지만 OK: 소개자 이름 + 이름·주소·연락처·수신거부 문구. 두 번째부터는 다른 동의 근거 필요",IF(AND($H431="REPLY",$D431&lt;&gt;"QUOTE",$D431&lt;&gt;"CALLBACK"),"문의에 대한 답장이 아님: EXPRESS 또는 INQUIRY 동의 필요","OK: 이름·주소·연락처·수신거부 문구 넣기")))),"")))</f>
      </c>
      <c r="N431" s="40">
        <f>IF($H431="INQUIRY",IFERROR(EDATE(INDEX('견적 Quotes'!$B$3:$B$1002,MATCH($C431,'견적 Quotes'!$A$3:$A$1002,0)),'설정 Settings'!$C$20),""),"")</f>
      </c>
    </row>
    <row r="432" spans="12:14" x14ac:dyDescent="0.25">
      <c r="L432" s="42">
        <f>IF($A432="","",IF($G432="Y","완료 DONE",IF($F432="","날짜 없음",IF($F432&lt;'설정 Settings'!$C$15,"지남 OVERDUE",IF($F432='설정 Settings'!$C$15,"오늘 TODAY","예정 OPEN")))))</f>
      </c>
      <c r="M432" s="42">
        <f>IF($A432="","",IF($I432="Y","수신거부: 문자·이메일 보내지 않기",IF(OR($E432="SMS",$E432="EMAIL"),IF(OR($H432="",$H432="NONE"),"동의 근거 없음: 전화·방문만",IF($H432="INQUIRY",IF(N($N432)=0,"견적 요청일을 못 찾음: 관련 ID에 견적 ID(Q-…)를 넣었는지 확인",IF('설정 Settings'!$C$15&gt;N($N432),"문의 후 6개월 지남: 다른 동의 근거 필요","OK: 이름·주소·연락처·수신거부 문구 넣기")),IF($H432="REFERRAL","소개 후 첫 메시지만 OK: 소개자 이름 + 이름·주소·연락처·수신거부 문구. 두 번째부터는 다른 동의 근거 필요",IF(AND($H432="REPLY",$D432&lt;&gt;"QUOTE",$D432&lt;&gt;"CALLBACK"),"문의에 대한 답장이 아님: EXPRESS 또는 INQUIRY 동의 필요","OK: 이름·주소·연락처·수신거부 문구 넣기")))),"")))</f>
      </c>
      <c r="N432" s="40">
        <f>IF($H432="INQUIRY",IFERROR(EDATE(INDEX('견적 Quotes'!$B$3:$B$1002,MATCH($C432,'견적 Quotes'!$A$3:$A$1002,0)),'설정 Settings'!$C$20),""),"")</f>
      </c>
    </row>
    <row r="433" spans="12:14" x14ac:dyDescent="0.25">
      <c r="L433" s="42">
        <f>IF($A433="","",IF($G433="Y","완료 DONE",IF($F433="","날짜 없음",IF($F433&lt;'설정 Settings'!$C$15,"지남 OVERDUE",IF($F433='설정 Settings'!$C$15,"오늘 TODAY","예정 OPEN")))))</f>
      </c>
      <c r="M433" s="42">
        <f>IF($A433="","",IF($I433="Y","수신거부: 문자·이메일 보내지 않기",IF(OR($E433="SMS",$E433="EMAIL"),IF(OR($H433="",$H433="NONE"),"동의 근거 없음: 전화·방문만",IF($H433="INQUIRY",IF(N($N433)=0,"견적 요청일을 못 찾음: 관련 ID에 견적 ID(Q-…)를 넣었는지 확인",IF('설정 Settings'!$C$15&gt;N($N433),"문의 후 6개월 지남: 다른 동의 근거 필요","OK: 이름·주소·연락처·수신거부 문구 넣기")),IF($H433="REFERRAL","소개 후 첫 메시지만 OK: 소개자 이름 + 이름·주소·연락처·수신거부 문구. 두 번째부터는 다른 동의 근거 필요",IF(AND($H433="REPLY",$D433&lt;&gt;"QUOTE",$D433&lt;&gt;"CALLBACK"),"문의에 대한 답장이 아님: EXPRESS 또는 INQUIRY 동의 필요","OK: 이름·주소·연락처·수신거부 문구 넣기")))),"")))</f>
      </c>
      <c r="N433" s="40">
        <f>IF($H433="INQUIRY",IFERROR(EDATE(INDEX('견적 Quotes'!$B$3:$B$1002,MATCH($C433,'견적 Quotes'!$A$3:$A$1002,0)),'설정 Settings'!$C$20),""),"")</f>
      </c>
    </row>
    <row r="434" spans="12:14" x14ac:dyDescent="0.25">
      <c r="L434" s="42">
        <f>IF($A434="","",IF($G434="Y","완료 DONE",IF($F434="","날짜 없음",IF($F434&lt;'설정 Settings'!$C$15,"지남 OVERDUE",IF($F434='설정 Settings'!$C$15,"오늘 TODAY","예정 OPEN")))))</f>
      </c>
      <c r="M434" s="42">
        <f>IF($A434="","",IF($I434="Y","수신거부: 문자·이메일 보내지 않기",IF(OR($E434="SMS",$E434="EMAIL"),IF(OR($H434="",$H434="NONE"),"동의 근거 없음: 전화·방문만",IF($H434="INQUIRY",IF(N($N434)=0,"견적 요청일을 못 찾음: 관련 ID에 견적 ID(Q-…)를 넣었는지 확인",IF('설정 Settings'!$C$15&gt;N($N434),"문의 후 6개월 지남: 다른 동의 근거 필요","OK: 이름·주소·연락처·수신거부 문구 넣기")),IF($H434="REFERRAL","소개 후 첫 메시지만 OK: 소개자 이름 + 이름·주소·연락처·수신거부 문구. 두 번째부터는 다른 동의 근거 필요",IF(AND($H434="REPLY",$D434&lt;&gt;"QUOTE",$D434&lt;&gt;"CALLBACK"),"문의에 대한 답장이 아님: EXPRESS 또는 INQUIRY 동의 필요","OK: 이름·주소·연락처·수신거부 문구 넣기")))),"")))</f>
      </c>
      <c r="N434" s="40">
        <f>IF($H434="INQUIRY",IFERROR(EDATE(INDEX('견적 Quotes'!$B$3:$B$1002,MATCH($C434,'견적 Quotes'!$A$3:$A$1002,0)),'설정 Settings'!$C$20),""),"")</f>
      </c>
    </row>
    <row r="435" spans="12:14" x14ac:dyDescent="0.25">
      <c r="L435" s="42">
        <f>IF($A435="","",IF($G435="Y","완료 DONE",IF($F435="","날짜 없음",IF($F435&lt;'설정 Settings'!$C$15,"지남 OVERDUE",IF($F435='설정 Settings'!$C$15,"오늘 TODAY","예정 OPEN")))))</f>
      </c>
      <c r="M435" s="42">
        <f>IF($A435="","",IF($I435="Y","수신거부: 문자·이메일 보내지 않기",IF(OR($E435="SMS",$E435="EMAIL"),IF(OR($H435="",$H435="NONE"),"동의 근거 없음: 전화·방문만",IF($H435="INQUIRY",IF(N($N435)=0,"견적 요청일을 못 찾음: 관련 ID에 견적 ID(Q-…)를 넣었는지 확인",IF('설정 Settings'!$C$15&gt;N($N435),"문의 후 6개월 지남: 다른 동의 근거 필요","OK: 이름·주소·연락처·수신거부 문구 넣기")),IF($H435="REFERRAL","소개 후 첫 메시지만 OK: 소개자 이름 + 이름·주소·연락처·수신거부 문구. 두 번째부터는 다른 동의 근거 필요",IF(AND($H435="REPLY",$D435&lt;&gt;"QUOTE",$D435&lt;&gt;"CALLBACK"),"문의에 대한 답장이 아님: EXPRESS 또는 INQUIRY 동의 필요","OK: 이름·주소·연락처·수신거부 문구 넣기")))),"")))</f>
      </c>
      <c r="N435" s="40">
        <f>IF($H435="INQUIRY",IFERROR(EDATE(INDEX('견적 Quotes'!$B$3:$B$1002,MATCH($C435,'견적 Quotes'!$A$3:$A$1002,0)),'설정 Settings'!$C$20),""),"")</f>
      </c>
    </row>
    <row r="436" spans="12:14" x14ac:dyDescent="0.25">
      <c r="L436" s="42">
        <f>IF($A436="","",IF($G436="Y","완료 DONE",IF($F436="","날짜 없음",IF($F436&lt;'설정 Settings'!$C$15,"지남 OVERDUE",IF($F436='설정 Settings'!$C$15,"오늘 TODAY","예정 OPEN")))))</f>
      </c>
      <c r="M436" s="42">
        <f>IF($A436="","",IF($I436="Y","수신거부: 문자·이메일 보내지 않기",IF(OR($E436="SMS",$E436="EMAIL"),IF(OR($H436="",$H436="NONE"),"동의 근거 없음: 전화·방문만",IF($H436="INQUIRY",IF(N($N436)=0,"견적 요청일을 못 찾음: 관련 ID에 견적 ID(Q-…)를 넣었는지 확인",IF('설정 Settings'!$C$15&gt;N($N436),"문의 후 6개월 지남: 다른 동의 근거 필요","OK: 이름·주소·연락처·수신거부 문구 넣기")),IF($H436="REFERRAL","소개 후 첫 메시지만 OK: 소개자 이름 + 이름·주소·연락처·수신거부 문구. 두 번째부터는 다른 동의 근거 필요",IF(AND($H436="REPLY",$D436&lt;&gt;"QUOTE",$D436&lt;&gt;"CALLBACK"),"문의에 대한 답장이 아님: EXPRESS 또는 INQUIRY 동의 필요","OK: 이름·주소·연락처·수신거부 문구 넣기")))),"")))</f>
      </c>
      <c r="N436" s="40">
        <f>IF($H436="INQUIRY",IFERROR(EDATE(INDEX('견적 Quotes'!$B$3:$B$1002,MATCH($C436,'견적 Quotes'!$A$3:$A$1002,0)),'설정 Settings'!$C$20),""),"")</f>
      </c>
    </row>
    <row r="437" spans="12:14" x14ac:dyDescent="0.25">
      <c r="L437" s="42">
        <f>IF($A437="","",IF($G437="Y","완료 DONE",IF($F437="","날짜 없음",IF($F437&lt;'설정 Settings'!$C$15,"지남 OVERDUE",IF($F437='설정 Settings'!$C$15,"오늘 TODAY","예정 OPEN")))))</f>
      </c>
      <c r="M437" s="42">
        <f>IF($A437="","",IF($I437="Y","수신거부: 문자·이메일 보내지 않기",IF(OR($E437="SMS",$E437="EMAIL"),IF(OR($H437="",$H437="NONE"),"동의 근거 없음: 전화·방문만",IF($H437="INQUIRY",IF(N($N437)=0,"견적 요청일을 못 찾음: 관련 ID에 견적 ID(Q-…)를 넣었는지 확인",IF('설정 Settings'!$C$15&gt;N($N437),"문의 후 6개월 지남: 다른 동의 근거 필요","OK: 이름·주소·연락처·수신거부 문구 넣기")),IF($H437="REFERRAL","소개 후 첫 메시지만 OK: 소개자 이름 + 이름·주소·연락처·수신거부 문구. 두 번째부터는 다른 동의 근거 필요",IF(AND($H437="REPLY",$D437&lt;&gt;"QUOTE",$D437&lt;&gt;"CALLBACK"),"문의에 대한 답장이 아님: EXPRESS 또는 INQUIRY 동의 필요","OK: 이름·주소·연락처·수신거부 문구 넣기")))),"")))</f>
      </c>
      <c r="N437" s="40">
        <f>IF($H437="INQUIRY",IFERROR(EDATE(INDEX('견적 Quotes'!$B$3:$B$1002,MATCH($C437,'견적 Quotes'!$A$3:$A$1002,0)),'설정 Settings'!$C$20),""),"")</f>
      </c>
    </row>
    <row r="438" spans="12:14" x14ac:dyDescent="0.25">
      <c r="L438" s="42">
        <f>IF($A438="","",IF($G438="Y","완료 DONE",IF($F438="","날짜 없음",IF($F438&lt;'설정 Settings'!$C$15,"지남 OVERDUE",IF($F438='설정 Settings'!$C$15,"오늘 TODAY","예정 OPEN")))))</f>
      </c>
      <c r="M438" s="42">
        <f>IF($A438="","",IF($I438="Y","수신거부: 문자·이메일 보내지 않기",IF(OR($E438="SMS",$E438="EMAIL"),IF(OR($H438="",$H438="NONE"),"동의 근거 없음: 전화·방문만",IF($H438="INQUIRY",IF(N($N438)=0,"견적 요청일을 못 찾음: 관련 ID에 견적 ID(Q-…)를 넣었는지 확인",IF('설정 Settings'!$C$15&gt;N($N438),"문의 후 6개월 지남: 다른 동의 근거 필요","OK: 이름·주소·연락처·수신거부 문구 넣기")),IF($H438="REFERRAL","소개 후 첫 메시지만 OK: 소개자 이름 + 이름·주소·연락처·수신거부 문구. 두 번째부터는 다른 동의 근거 필요",IF(AND($H438="REPLY",$D438&lt;&gt;"QUOTE",$D438&lt;&gt;"CALLBACK"),"문의에 대한 답장이 아님: EXPRESS 또는 INQUIRY 동의 필요","OK: 이름·주소·연락처·수신거부 문구 넣기")))),"")))</f>
      </c>
      <c r="N438" s="40">
        <f>IF($H438="INQUIRY",IFERROR(EDATE(INDEX('견적 Quotes'!$B$3:$B$1002,MATCH($C438,'견적 Quotes'!$A$3:$A$1002,0)),'설정 Settings'!$C$20),""),"")</f>
      </c>
    </row>
    <row r="439" spans="12:14" x14ac:dyDescent="0.25">
      <c r="L439" s="42">
        <f>IF($A439="","",IF($G439="Y","완료 DONE",IF($F439="","날짜 없음",IF($F439&lt;'설정 Settings'!$C$15,"지남 OVERDUE",IF($F439='설정 Settings'!$C$15,"오늘 TODAY","예정 OPEN")))))</f>
      </c>
      <c r="M439" s="42">
        <f>IF($A439="","",IF($I439="Y","수신거부: 문자·이메일 보내지 않기",IF(OR($E439="SMS",$E439="EMAIL"),IF(OR($H439="",$H439="NONE"),"동의 근거 없음: 전화·방문만",IF($H439="INQUIRY",IF(N($N439)=0,"견적 요청일을 못 찾음: 관련 ID에 견적 ID(Q-…)를 넣었는지 확인",IF('설정 Settings'!$C$15&gt;N($N439),"문의 후 6개월 지남: 다른 동의 근거 필요","OK: 이름·주소·연락처·수신거부 문구 넣기")),IF($H439="REFERRAL","소개 후 첫 메시지만 OK: 소개자 이름 + 이름·주소·연락처·수신거부 문구. 두 번째부터는 다른 동의 근거 필요",IF(AND($H439="REPLY",$D439&lt;&gt;"QUOTE",$D439&lt;&gt;"CALLBACK"),"문의에 대한 답장이 아님: EXPRESS 또는 INQUIRY 동의 필요","OK: 이름·주소·연락처·수신거부 문구 넣기")))),"")))</f>
      </c>
      <c r="N439" s="40">
        <f>IF($H439="INQUIRY",IFERROR(EDATE(INDEX('견적 Quotes'!$B$3:$B$1002,MATCH($C439,'견적 Quotes'!$A$3:$A$1002,0)),'설정 Settings'!$C$20),""),"")</f>
      </c>
    </row>
    <row r="440" spans="12:14" x14ac:dyDescent="0.25">
      <c r="L440" s="42">
        <f>IF($A440="","",IF($G440="Y","완료 DONE",IF($F440="","날짜 없음",IF($F440&lt;'설정 Settings'!$C$15,"지남 OVERDUE",IF($F440='설정 Settings'!$C$15,"오늘 TODAY","예정 OPEN")))))</f>
      </c>
      <c r="M440" s="42">
        <f>IF($A440="","",IF($I440="Y","수신거부: 문자·이메일 보내지 않기",IF(OR($E440="SMS",$E440="EMAIL"),IF(OR($H440="",$H440="NONE"),"동의 근거 없음: 전화·방문만",IF($H440="INQUIRY",IF(N($N440)=0,"견적 요청일을 못 찾음: 관련 ID에 견적 ID(Q-…)를 넣었는지 확인",IF('설정 Settings'!$C$15&gt;N($N440),"문의 후 6개월 지남: 다른 동의 근거 필요","OK: 이름·주소·연락처·수신거부 문구 넣기")),IF($H440="REFERRAL","소개 후 첫 메시지만 OK: 소개자 이름 + 이름·주소·연락처·수신거부 문구. 두 번째부터는 다른 동의 근거 필요",IF(AND($H440="REPLY",$D440&lt;&gt;"QUOTE",$D440&lt;&gt;"CALLBACK"),"문의에 대한 답장이 아님: EXPRESS 또는 INQUIRY 동의 필요","OK: 이름·주소·연락처·수신거부 문구 넣기")))),"")))</f>
      </c>
      <c r="N440" s="40">
        <f>IF($H440="INQUIRY",IFERROR(EDATE(INDEX('견적 Quotes'!$B$3:$B$1002,MATCH($C440,'견적 Quotes'!$A$3:$A$1002,0)),'설정 Settings'!$C$20),""),"")</f>
      </c>
    </row>
    <row r="441" spans="12:14" x14ac:dyDescent="0.25">
      <c r="L441" s="42">
        <f>IF($A441="","",IF($G441="Y","완료 DONE",IF($F441="","날짜 없음",IF($F441&lt;'설정 Settings'!$C$15,"지남 OVERDUE",IF($F441='설정 Settings'!$C$15,"오늘 TODAY","예정 OPEN")))))</f>
      </c>
      <c r="M441" s="42">
        <f>IF($A441="","",IF($I441="Y","수신거부: 문자·이메일 보내지 않기",IF(OR($E441="SMS",$E441="EMAIL"),IF(OR($H441="",$H441="NONE"),"동의 근거 없음: 전화·방문만",IF($H441="INQUIRY",IF(N($N441)=0,"견적 요청일을 못 찾음: 관련 ID에 견적 ID(Q-…)를 넣었는지 확인",IF('설정 Settings'!$C$15&gt;N($N441),"문의 후 6개월 지남: 다른 동의 근거 필요","OK: 이름·주소·연락처·수신거부 문구 넣기")),IF($H441="REFERRAL","소개 후 첫 메시지만 OK: 소개자 이름 + 이름·주소·연락처·수신거부 문구. 두 번째부터는 다른 동의 근거 필요",IF(AND($H441="REPLY",$D441&lt;&gt;"QUOTE",$D441&lt;&gt;"CALLBACK"),"문의에 대한 답장이 아님: EXPRESS 또는 INQUIRY 동의 필요","OK: 이름·주소·연락처·수신거부 문구 넣기")))),"")))</f>
      </c>
      <c r="N441" s="40">
        <f>IF($H441="INQUIRY",IFERROR(EDATE(INDEX('견적 Quotes'!$B$3:$B$1002,MATCH($C441,'견적 Quotes'!$A$3:$A$1002,0)),'설정 Settings'!$C$20),""),"")</f>
      </c>
    </row>
    <row r="442" spans="12:14" x14ac:dyDescent="0.25">
      <c r="L442" s="42">
        <f>IF($A442="","",IF($G442="Y","완료 DONE",IF($F442="","날짜 없음",IF($F442&lt;'설정 Settings'!$C$15,"지남 OVERDUE",IF($F442='설정 Settings'!$C$15,"오늘 TODAY","예정 OPEN")))))</f>
      </c>
      <c r="M442" s="42">
        <f>IF($A442="","",IF($I442="Y","수신거부: 문자·이메일 보내지 않기",IF(OR($E442="SMS",$E442="EMAIL"),IF(OR($H442="",$H442="NONE"),"동의 근거 없음: 전화·방문만",IF($H442="INQUIRY",IF(N($N442)=0,"견적 요청일을 못 찾음: 관련 ID에 견적 ID(Q-…)를 넣었는지 확인",IF('설정 Settings'!$C$15&gt;N($N442),"문의 후 6개월 지남: 다른 동의 근거 필요","OK: 이름·주소·연락처·수신거부 문구 넣기")),IF($H442="REFERRAL","소개 후 첫 메시지만 OK: 소개자 이름 + 이름·주소·연락처·수신거부 문구. 두 번째부터는 다른 동의 근거 필요",IF(AND($H442="REPLY",$D442&lt;&gt;"QUOTE",$D442&lt;&gt;"CALLBACK"),"문의에 대한 답장이 아님: EXPRESS 또는 INQUIRY 동의 필요","OK: 이름·주소·연락처·수신거부 문구 넣기")))),"")))</f>
      </c>
      <c r="N442" s="40">
        <f>IF($H442="INQUIRY",IFERROR(EDATE(INDEX('견적 Quotes'!$B$3:$B$1002,MATCH($C442,'견적 Quotes'!$A$3:$A$1002,0)),'설정 Settings'!$C$20),""),"")</f>
      </c>
    </row>
    <row r="443" spans="12:14" x14ac:dyDescent="0.25">
      <c r="L443" s="42">
        <f>IF($A443="","",IF($G443="Y","완료 DONE",IF($F443="","날짜 없음",IF($F443&lt;'설정 Settings'!$C$15,"지남 OVERDUE",IF($F443='설정 Settings'!$C$15,"오늘 TODAY","예정 OPEN")))))</f>
      </c>
      <c r="M443" s="42">
        <f>IF($A443="","",IF($I443="Y","수신거부: 문자·이메일 보내지 않기",IF(OR($E443="SMS",$E443="EMAIL"),IF(OR($H443="",$H443="NONE"),"동의 근거 없음: 전화·방문만",IF($H443="INQUIRY",IF(N($N443)=0,"견적 요청일을 못 찾음: 관련 ID에 견적 ID(Q-…)를 넣었는지 확인",IF('설정 Settings'!$C$15&gt;N($N443),"문의 후 6개월 지남: 다른 동의 근거 필요","OK: 이름·주소·연락처·수신거부 문구 넣기")),IF($H443="REFERRAL","소개 후 첫 메시지만 OK: 소개자 이름 + 이름·주소·연락처·수신거부 문구. 두 번째부터는 다른 동의 근거 필요",IF(AND($H443="REPLY",$D443&lt;&gt;"QUOTE",$D443&lt;&gt;"CALLBACK"),"문의에 대한 답장이 아님: EXPRESS 또는 INQUIRY 동의 필요","OK: 이름·주소·연락처·수신거부 문구 넣기")))),"")))</f>
      </c>
      <c r="N443" s="40">
        <f>IF($H443="INQUIRY",IFERROR(EDATE(INDEX('견적 Quotes'!$B$3:$B$1002,MATCH($C443,'견적 Quotes'!$A$3:$A$1002,0)),'설정 Settings'!$C$20),""),"")</f>
      </c>
    </row>
    <row r="444" spans="12:14" x14ac:dyDescent="0.25">
      <c r="L444" s="42">
        <f>IF($A444="","",IF($G444="Y","완료 DONE",IF($F444="","날짜 없음",IF($F444&lt;'설정 Settings'!$C$15,"지남 OVERDUE",IF($F444='설정 Settings'!$C$15,"오늘 TODAY","예정 OPEN")))))</f>
      </c>
      <c r="M444" s="42">
        <f>IF($A444="","",IF($I444="Y","수신거부: 문자·이메일 보내지 않기",IF(OR($E444="SMS",$E444="EMAIL"),IF(OR($H444="",$H444="NONE"),"동의 근거 없음: 전화·방문만",IF($H444="INQUIRY",IF(N($N444)=0,"견적 요청일을 못 찾음: 관련 ID에 견적 ID(Q-…)를 넣었는지 확인",IF('설정 Settings'!$C$15&gt;N($N444),"문의 후 6개월 지남: 다른 동의 근거 필요","OK: 이름·주소·연락처·수신거부 문구 넣기")),IF($H444="REFERRAL","소개 후 첫 메시지만 OK: 소개자 이름 + 이름·주소·연락처·수신거부 문구. 두 번째부터는 다른 동의 근거 필요",IF(AND($H444="REPLY",$D444&lt;&gt;"QUOTE",$D444&lt;&gt;"CALLBACK"),"문의에 대한 답장이 아님: EXPRESS 또는 INQUIRY 동의 필요","OK: 이름·주소·연락처·수신거부 문구 넣기")))),"")))</f>
      </c>
      <c r="N444" s="40">
        <f>IF($H444="INQUIRY",IFERROR(EDATE(INDEX('견적 Quotes'!$B$3:$B$1002,MATCH($C444,'견적 Quotes'!$A$3:$A$1002,0)),'설정 Settings'!$C$20),""),"")</f>
      </c>
    </row>
    <row r="445" spans="12:14" x14ac:dyDescent="0.25">
      <c r="L445" s="42">
        <f>IF($A445="","",IF($G445="Y","완료 DONE",IF($F445="","날짜 없음",IF($F445&lt;'설정 Settings'!$C$15,"지남 OVERDUE",IF($F445='설정 Settings'!$C$15,"오늘 TODAY","예정 OPEN")))))</f>
      </c>
      <c r="M445" s="42">
        <f>IF($A445="","",IF($I445="Y","수신거부: 문자·이메일 보내지 않기",IF(OR($E445="SMS",$E445="EMAIL"),IF(OR($H445="",$H445="NONE"),"동의 근거 없음: 전화·방문만",IF($H445="INQUIRY",IF(N($N445)=0,"견적 요청일을 못 찾음: 관련 ID에 견적 ID(Q-…)를 넣었는지 확인",IF('설정 Settings'!$C$15&gt;N($N445),"문의 후 6개월 지남: 다른 동의 근거 필요","OK: 이름·주소·연락처·수신거부 문구 넣기")),IF($H445="REFERRAL","소개 후 첫 메시지만 OK: 소개자 이름 + 이름·주소·연락처·수신거부 문구. 두 번째부터는 다른 동의 근거 필요",IF(AND($H445="REPLY",$D445&lt;&gt;"QUOTE",$D445&lt;&gt;"CALLBACK"),"문의에 대한 답장이 아님: EXPRESS 또는 INQUIRY 동의 필요","OK: 이름·주소·연락처·수신거부 문구 넣기")))),"")))</f>
      </c>
      <c r="N445" s="40">
        <f>IF($H445="INQUIRY",IFERROR(EDATE(INDEX('견적 Quotes'!$B$3:$B$1002,MATCH($C445,'견적 Quotes'!$A$3:$A$1002,0)),'설정 Settings'!$C$20),""),"")</f>
      </c>
    </row>
    <row r="446" spans="12:14" x14ac:dyDescent="0.25">
      <c r="L446" s="42">
        <f>IF($A446="","",IF($G446="Y","완료 DONE",IF($F446="","날짜 없음",IF($F446&lt;'설정 Settings'!$C$15,"지남 OVERDUE",IF($F446='설정 Settings'!$C$15,"오늘 TODAY","예정 OPEN")))))</f>
      </c>
      <c r="M446" s="42">
        <f>IF($A446="","",IF($I446="Y","수신거부: 문자·이메일 보내지 않기",IF(OR($E446="SMS",$E446="EMAIL"),IF(OR($H446="",$H446="NONE"),"동의 근거 없음: 전화·방문만",IF($H446="INQUIRY",IF(N($N446)=0,"견적 요청일을 못 찾음: 관련 ID에 견적 ID(Q-…)를 넣었는지 확인",IF('설정 Settings'!$C$15&gt;N($N446),"문의 후 6개월 지남: 다른 동의 근거 필요","OK: 이름·주소·연락처·수신거부 문구 넣기")),IF($H446="REFERRAL","소개 후 첫 메시지만 OK: 소개자 이름 + 이름·주소·연락처·수신거부 문구. 두 번째부터는 다른 동의 근거 필요",IF(AND($H446="REPLY",$D446&lt;&gt;"QUOTE",$D446&lt;&gt;"CALLBACK"),"문의에 대한 답장이 아님: EXPRESS 또는 INQUIRY 동의 필요","OK: 이름·주소·연락처·수신거부 문구 넣기")))),"")))</f>
      </c>
      <c r="N446" s="40">
        <f>IF($H446="INQUIRY",IFERROR(EDATE(INDEX('견적 Quotes'!$B$3:$B$1002,MATCH($C446,'견적 Quotes'!$A$3:$A$1002,0)),'설정 Settings'!$C$20),""),"")</f>
      </c>
    </row>
    <row r="447" spans="12:14" x14ac:dyDescent="0.25">
      <c r="L447" s="42">
        <f>IF($A447="","",IF($G447="Y","완료 DONE",IF($F447="","날짜 없음",IF($F447&lt;'설정 Settings'!$C$15,"지남 OVERDUE",IF($F447='설정 Settings'!$C$15,"오늘 TODAY","예정 OPEN")))))</f>
      </c>
      <c r="M447" s="42">
        <f>IF($A447="","",IF($I447="Y","수신거부: 문자·이메일 보내지 않기",IF(OR($E447="SMS",$E447="EMAIL"),IF(OR($H447="",$H447="NONE"),"동의 근거 없음: 전화·방문만",IF($H447="INQUIRY",IF(N($N447)=0,"견적 요청일을 못 찾음: 관련 ID에 견적 ID(Q-…)를 넣었는지 확인",IF('설정 Settings'!$C$15&gt;N($N447),"문의 후 6개월 지남: 다른 동의 근거 필요","OK: 이름·주소·연락처·수신거부 문구 넣기")),IF($H447="REFERRAL","소개 후 첫 메시지만 OK: 소개자 이름 + 이름·주소·연락처·수신거부 문구. 두 번째부터는 다른 동의 근거 필요",IF(AND($H447="REPLY",$D447&lt;&gt;"QUOTE",$D447&lt;&gt;"CALLBACK"),"문의에 대한 답장이 아님: EXPRESS 또는 INQUIRY 동의 필요","OK: 이름·주소·연락처·수신거부 문구 넣기")))),"")))</f>
      </c>
      <c r="N447" s="40">
        <f>IF($H447="INQUIRY",IFERROR(EDATE(INDEX('견적 Quotes'!$B$3:$B$1002,MATCH($C447,'견적 Quotes'!$A$3:$A$1002,0)),'설정 Settings'!$C$20),""),"")</f>
      </c>
    </row>
    <row r="448" spans="12:14" x14ac:dyDescent="0.25">
      <c r="L448" s="42">
        <f>IF($A448="","",IF($G448="Y","완료 DONE",IF($F448="","날짜 없음",IF($F448&lt;'설정 Settings'!$C$15,"지남 OVERDUE",IF($F448='설정 Settings'!$C$15,"오늘 TODAY","예정 OPEN")))))</f>
      </c>
      <c r="M448" s="42">
        <f>IF($A448="","",IF($I448="Y","수신거부: 문자·이메일 보내지 않기",IF(OR($E448="SMS",$E448="EMAIL"),IF(OR($H448="",$H448="NONE"),"동의 근거 없음: 전화·방문만",IF($H448="INQUIRY",IF(N($N448)=0,"견적 요청일을 못 찾음: 관련 ID에 견적 ID(Q-…)를 넣었는지 확인",IF('설정 Settings'!$C$15&gt;N($N448),"문의 후 6개월 지남: 다른 동의 근거 필요","OK: 이름·주소·연락처·수신거부 문구 넣기")),IF($H448="REFERRAL","소개 후 첫 메시지만 OK: 소개자 이름 + 이름·주소·연락처·수신거부 문구. 두 번째부터는 다른 동의 근거 필요",IF(AND($H448="REPLY",$D448&lt;&gt;"QUOTE",$D448&lt;&gt;"CALLBACK"),"문의에 대한 답장이 아님: EXPRESS 또는 INQUIRY 동의 필요","OK: 이름·주소·연락처·수신거부 문구 넣기")))),"")))</f>
      </c>
      <c r="N448" s="40">
        <f>IF($H448="INQUIRY",IFERROR(EDATE(INDEX('견적 Quotes'!$B$3:$B$1002,MATCH($C448,'견적 Quotes'!$A$3:$A$1002,0)),'설정 Settings'!$C$20),""),"")</f>
      </c>
    </row>
    <row r="449" spans="12:14" x14ac:dyDescent="0.25">
      <c r="L449" s="42">
        <f>IF($A449="","",IF($G449="Y","완료 DONE",IF($F449="","날짜 없음",IF($F449&lt;'설정 Settings'!$C$15,"지남 OVERDUE",IF($F449='설정 Settings'!$C$15,"오늘 TODAY","예정 OPEN")))))</f>
      </c>
      <c r="M449" s="42">
        <f>IF($A449="","",IF($I449="Y","수신거부: 문자·이메일 보내지 않기",IF(OR($E449="SMS",$E449="EMAIL"),IF(OR($H449="",$H449="NONE"),"동의 근거 없음: 전화·방문만",IF($H449="INQUIRY",IF(N($N449)=0,"견적 요청일을 못 찾음: 관련 ID에 견적 ID(Q-…)를 넣었는지 확인",IF('설정 Settings'!$C$15&gt;N($N449),"문의 후 6개월 지남: 다른 동의 근거 필요","OK: 이름·주소·연락처·수신거부 문구 넣기")),IF($H449="REFERRAL","소개 후 첫 메시지만 OK: 소개자 이름 + 이름·주소·연락처·수신거부 문구. 두 번째부터는 다른 동의 근거 필요",IF(AND($H449="REPLY",$D449&lt;&gt;"QUOTE",$D449&lt;&gt;"CALLBACK"),"문의에 대한 답장이 아님: EXPRESS 또는 INQUIRY 동의 필요","OK: 이름·주소·연락처·수신거부 문구 넣기")))),"")))</f>
      </c>
      <c r="N449" s="40">
        <f>IF($H449="INQUIRY",IFERROR(EDATE(INDEX('견적 Quotes'!$B$3:$B$1002,MATCH($C449,'견적 Quotes'!$A$3:$A$1002,0)),'설정 Settings'!$C$20),""),"")</f>
      </c>
    </row>
    <row r="450" spans="12:14" x14ac:dyDescent="0.25">
      <c r="L450" s="42">
        <f>IF($A450="","",IF($G450="Y","완료 DONE",IF($F450="","날짜 없음",IF($F450&lt;'설정 Settings'!$C$15,"지남 OVERDUE",IF($F450='설정 Settings'!$C$15,"오늘 TODAY","예정 OPEN")))))</f>
      </c>
      <c r="M450" s="42">
        <f>IF($A450="","",IF($I450="Y","수신거부: 문자·이메일 보내지 않기",IF(OR($E450="SMS",$E450="EMAIL"),IF(OR($H450="",$H450="NONE"),"동의 근거 없음: 전화·방문만",IF($H450="INQUIRY",IF(N($N450)=0,"견적 요청일을 못 찾음: 관련 ID에 견적 ID(Q-…)를 넣었는지 확인",IF('설정 Settings'!$C$15&gt;N($N450),"문의 후 6개월 지남: 다른 동의 근거 필요","OK: 이름·주소·연락처·수신거부 문구 넣기")),IF($H450="REFERRAL","소개 후 첫 메시지만 OK: 소개자 이름 + 이름·주소·연락처·수신거부 문구. 두 번째부터는 다른 동의 근거 필요",IF(AND($H450="REPLY",$D450&lt;&gt;"QUOTE",$D450&lt;&gt;"CALLBACK"),"문의에 대한 답장이 아님: EXPRESS 또는 INQUIRY 동의 필요","OK: 이름·주소·연락처·수신거부 문구 넣기")))),"")))</f>
      </c>
      <c r="N450" s="40">
        <f>IF($H450="INQUIRY",IFERROR(EDATE(INDEX('견적 Quotes'!$B$3:$B$1002,MATCH($C450,'견적 Quotes'!$A$3:$A$1002,0)),'설정 Settings'!$C$20),""),"")</f>
      </c>
    </row>
    <row r="451" spans="12:14" x14ac:dyDescent="0.25">
      <c r="L451" s="42">
        <f>IF($A451="","",IF($G451="Y","완료 DONE",IF($F451="","날짜 없음",IF($F451&lt;'설정 Settings'!$C$15,"지남 OVERDUE",IF($F451='설정 Settings'!$C$15,"오늘 TODAY","예정 OPEN")))))</f>
      </c>
      <c r="M451" s="42">
        <f>IF($A451="","",IF($I451="Y","수신거부: 문자·이메일 보내지 않기",IF(OR($E451="SMS",$E451="EMAIL"),IF(OR($H451="",$H451="NONE"),"동의 근거 없음: 전화·방문만",IF($H451="INQUIRY",IF(N($N451)=0,"견적 요청일을 못 찾음: 관련 ID에 견적 ID(Q-…)를 넣었는지 확인",IF('설정 Settings'!$C$15&gt;N($N451),"문의 후 6개월 지남: 다른 동의 근거 필요","OK: 이름·주소·연락처·수신거부 문구 넣기")),IF($H451="REFERRAL","소개 후 첫 메시지만 OK: 소개자 이름 + 이름·주소·연락처·수신거부 문구. 두 번째부터는 다른 동의 근거 필요",IF(AND($H451="REPLY",$D451&lt;&gt;"QUOTE",$D451&lt;&gt;"CALLBACK"),"문의에 대한 답장이 아님: EXPRESS 또는 INQUIRY 동의 필요","OK: 이름·주소·연락처·수신거부 문구 넣기")))),"")))</f>
      </c>
      <c r="N451" s="40">
        <f>IF($H451="INQUIRY",IFERROR(EDATE(INDEX('견적 Quotes'!$B$3:$B$1002,MATCH($C451,'견적 Quotes'!$A$3:$A$1002,0)),'설정 Settings'!$C$20),""),"")</f>
      </c>
    </row>
    <row r="452" spans="12:14" x14ac:dyDescent="0.25">
      <c r="L452" s="42">
        <f>IF($A452="","",IF($G452="Y","완료 DONE",IF($F452="","날짜 없음",IF($F452&lt;'설정 Settings'!$C$15,"지남 OVERDUE",IF($F452='설정 Settings'!$C$15,"오늘 TODAY","예정 OPEN")))))</f>
      </c>
      <c r="M452" s="42">
        <f>IF($A452="","",IF($I452="Y","수신거부: 문자·이메일 보내지 않기",IF(OR($E452="SMS",$E452="EMAIL"),IF(OR($H452="",$H452="NONE"),"동의 근거 없음: 전화·방문만",IF($H452="INQUIRY",IF(N($N452)=0,"견적 요청일을 못 찾음: 관련 ID에 견적 ID(Q-…)를 넣었는지 확인",IF('설정 Settings'!$C$15&gt;N($N452),"문의 후 6개월 지남: 다른 동의 근거 필요","OK: 이름·주소·연락처·수신거부 문구 넣기")),IF($H452="REFERRAL","소개 후 첫 메시지만 OK: 소개자 이름 + 이름·주소·연락처·수신거부 문구. 두 번째부터는 다른 동의 근거 필요",IF(AND($H452="REPLY",$D452&lt;&gt;"QUOTE",$D452&lt;&gt;"CALLBACK"),"문의에 대한 답장이 아님: EXPRESS 또는 INQUIRY 동의 필요","OK: 이름·주소·연락처·수신거부 문구 넣기")))),"")))</f>
      </c>
      <c r="N452" s="40">
        <f>IF($H452="INQUIRY",IFERROR(EDATE(INDEX('견적 Quotes'!$B$3:$B$1002,MATCH($C452,'견적 Quotes'!$A$3:$A$1002,0)),'설정 Settings'!$C$20),""),"")</f>
      </c>
    </row>
    <row r="453" spans="12:14" x14ac:dyDescent="0.25">
      <c r="L453" s="42">
        <f>IF($A453="","",IF($G453="Y","완료 DONE",IF($F453="","날짜 없음",IF($F453&lt;'설정 Settings'!$C$15,"지남 OVERDUE",IF($F453='설정 Settings'!$C$15,"오늘 TODAY","예정 OPEN")))))</f>
      </c>
      <c r="M453" s="42">
        <f>IF($A453="","",IF($I453="Y","수신거부: 문자·이메일 보내지 않기",IF(OR($E453="SMS",$E453="EMAIL"),IF(OR($H453="",$H453="NONE"),"동의 근거 없음: 전화·방문만",IF($H453="INQUIRY",IF(N($N453)=0,"견적 요청일을 못 찾음: 관련 ID에 견적 ID(Q-…)를 넣었는지 확인",IF('설정 Settings'!$C$15&gt;N($N453),"문의 후 6개월 지남: 다른 동의 근거 필요","OK: 이름·주소·연락처·수신거부 문구 넣기")),IF($H453="REFERRAL","소개 후 첫 메시지만 OK: 소개자 이름 + 이름·주소·연락처·수신거부 문구. 두 번째부터는 다른 동의 근거 필요",IF(AND($H453="REPLY",$D453&lt;&gt;"QUOTE",$D453&lt;&gt;"CALLBACK"),"문의에 대한 답장이 아님: EXPRESS 또는 INQUIRY 동의 필요","OK: 이름·주소·연락처·수신거부 문구 넣기")))),"")))</f>
      </c>
      <c r="N453" s="40">
        <f>IF($H453="INQUIRY",IFERROR(EDATE(INDEX('견적 Quotes'!$B$3:$B$1002,MATCH($C453,'견적 Quotes'!$A$3:$A$1002,0)),'설정 Settings'!$C$20),""),"")</f>
      </c>
    </row>
    <row r="454" spans="12:14" x14ac:dyDescent="0.25">
      <c r="L454" s="42">
        <f>IF($A454="","",IF($G454="Y","완료 DONE",IF($F454="","날짜 없음",IF($F454&lt;'설정 Settings'!$C$15,"지남 OVERDUE",IF($F454='설정 Settings'!$C$15,"오늘 TODAY","예정 OPEN")))))</f>
      </c>
      <c r="M454" s="42">
        <f>IF($A454="","",IF($I454="Y","수신거부: 문자·이메일 보내지 않기",IF(OR($E454="SMS",$E454="EMAIL"),IF(OR($H454="",$H454="NONE"),"동의 근거 없음: 전화·방문만",IF($H454="INQUIRY",IF(N($N454)=0,"견적 요청일을 못 찾음: 관련 ID에 견적 ID(Q-…)를 넣었는지 확인",IF('설정 Settings'!$C$15&gt;N($N454),"문의 후 6개월 지남: 다른 동의 근거 필요","OK: 이름·주소·연락처·수신거부 문구 넣기")),IF($H454="REFERRAL","소개 후 첫 메시지만 OK: 소개자 이름 + 이름·주소·연락처·수신거부 문구. 두 번째부터는 다른 동의 근거 필요",IF(AND($H454="REPLY",$D454&lt;&gt;"QUOTE",$D454&lt;&gt;"CALLBACK"),"문의에 대한 답장이 아님: EXPRESS 또는 INQUIRY 동의 필요","OK: 이름·주소·연락처·수신거부 문구 넣기")))),"")))</f>
      </c>
      <c r="N454" s="40">
        <f>IF($H454="INQUIRY",IFERROR(EDATE(INDEX('견적 Quotes'!$B$3:$B$1002,MATCH($C454,'견적 Quotes'!$A$3:$A$1002,0)),'설정 Settings'!$C$20),""),"")</f>
      </c>
    </row>
    <row r="455" spans="12:14" x14ac:dyDescent="0.25">
      <c r="L455" s="42">
        <f>IF($A455="","",IF($G455="Y","완료 DONE",IF($F455="","날짜 없음",IF($F455&lt;'설정 Settings'!$C$15,"지남 OVERDUE",IF($F455='설정 Settings'!$C$15,"오늘 TODAY","예정 OPEN")))))</f>
      </c>
      <c r="M455" s="42">
        <f>IF($A455="","",IF($I455="Y","수신거부: 문자·이메일 보내지 않기",IF(OR($E455="SMS",$E455="EMAIL"),IF(OR($H455="",$H455="NONE"),"동의 근거 없음: 전화·방문만",IF($H455="INQUIRY",IF(N($N455)=0,"견적 요청일을 못 찾음: 관련 ID에 견적 ID(Q-…)를 넣었는지 확인",IF('설정 Settings'!$C$15&gt;N($N455),"문의 후 6개월 지남: 다른 동의 근거 필요","OK: 이름·주소·연락처·수신거부 문구 넣기")),IF($H455="REFERRAL","소개 후 첫 메시지만 OK: 소개자 이름 + 이름·주소·연락처·수신거부 문구. 두 번째부터는 다른 동의 근거 필요",IF(AND($H455="REPLY",$D455&lt;&gt;"QUOTE",$D455&lt;&gt;"CALLBACK"),"문의에 대한 답장이 아님: EXPRESS 또는 INQUIRY 동의 필요","OK: 이름·주소·연락처·수신거부 문구 넣기")))),"")))</f>
      </c>
      <c r="N455" s="40">
        <f>IF($H455="INQUIRY",IFERROR(EDATE(INDEX('견적 Quotes'!$B$3:$B$1002,MATCH($C455,'견적 Quotes'!$A$3:$A$1002,0)),'설정 Settings'!$C$20),""),"")</f>
      </c>
    </row>
    <row r="456" spans="12:14" x14ac:dyDescent="0.25">
      <c r="L456" s="42">
        <f>IF($A456="","",IF($G456="Y","완료 DONE",IF($F456="","날짜 없음",IF($F456&lt;'설정 Settings'!$C$15,"지남 OVERDUE",IF($F456='설정 Settings'!$C$15,"오늘 TODAY","예정 OPEN")))))</f>
      </c>
      <c r="M456" s="42">
        <f>IF($A456="","",IF($I456="Y","수신거부: 문자·이메일 보내지 않기",IF(OR($E456="SMS",$E456="EMAIL"),IF(OR($H456="",$H456="NONE"),"동의 근거 없음: 전화·방문만",IF($H456="INQUIRY",IF(N($N456)=0,"견적 요청일을 못 찾음: 관련 ID에 견적 ID(Q-…)를 넣었는지 확인",IF('설정 Settings'!$C$15&gt;N($N456),"문의 후 6개월 지남: 다른 동의 근거 필요","OK: 이름·주소·연락처·수신거부 문구 넣기")),IF($H456="REFERRAL","소개 후 첫 메시지만 OK: 소개자 이름 + 이름·주소·연락처·수신거부 문구. 두 번째부터는 다른 동의 근거 필요",IF(AND($H456="REPLY",$D456&lt;&gt;"QUOTE",$D456&lt;&gt;"CALLBACK"),"문의에 대한 답장이 아님: EXPRESS 또는 INQUIRY 동의 필요","OK: 이름·주소·연락처·수신거부 문구 넣기")))),"")))</f>
      </c>
      <c r="N456" s="40">
        <f>IF($H456="INQUIRY",IFERROR(EDATE(INDEX('견적 Quotes'!$B$3:$B$1002,MATCH($C456,'견적 Quotes'!$A$3:$A$1002,0)),'설정 Settings'!$C$20),""),"")</f>
      </c>
    </row>
    <row r="457" spans="12:14" x14ac:dyDescent="0.25">
      <c r="L457" s="42">
        <f>IF($A457="","",IF($G457="Y","완료 DONE",IF($F457="","날짜 없음",IF($F457&lt;'설정 Settings'!$C$15,"지남 OVERDUE",IF($F457='설정 Settings'!$C$15,"오늘 TODAY","예정 OPEN")))))</f>
      </c>
      <c r="M457" s="42">
        <f>IF($A457="","",IF($I457="Y","수신거부: 문자·이메일 보내지 않기",IF(OR($E457="SMS",$E457="EMAIL"),IF(OR($H457="",$H457="NONE"),"동의 근거 없음: 전화·방문만",IF($H457="INQUIRY",IF(N($N457)=0,"견적 요청일을 못 찾음: 관련 ID에 견적 ID(Q-…)를 넣었는지 확인",IF('설정 Settings'!$C$15&gt;N($N457),"문의 후 6개월 지남: 다른 동의 근거 필요","OK: 이름·주소·연락처·수신거부 문구 넣기")),IF($H457="REFERRAL","소개 후 첫 메시지만 OK: 소개자 이름 + 이름·주소·연락처·수신거부 문구. 두 번째부터는 다른 동의 근거 필요",IF(AND($H457="REPLY",$D457&lt;&gt;"QUOTE",$D457&lt;&gt;"CALLBACK"),"문의에 대한 답장이 아님: EXPRESS 또는 INQUIRY 동의 필요","OK: 이름·주소·연락처·수신거부 문구 넣기")))),"")))</f>
      </c>
      <c r="N457" s="40">
        <f>IF($H457="INQUIRY",IFERROR(EDATE(INDEX('견적 Quotes'!$B$3:$B$1002,MATCH($C457,'견적 Quotes'!$A$3:$A$1002,0)),'설정 Settings'!$C$20),""),"")</f>
      </c>
    </row>
    <row r="458" spans="12:14" x14ac:dyDescent="0.25">
      <c r="L458" s="42">
        <f>IF($A458="","",IF($G458="Y","완료 DONE",IF($F458="","날짜 없음",IF($F458&lt;'설정 Settings'!$C$15,"지남 OVERDUE",IF($F458='설정 Settings'!$C$15,"오늘 TODAY","예정 OPEN")))))</f>
      </c>
      <c r="M458" s="42">
        <f>IF($A458="","",IF($I458="Y","수신거부: 문자·이메일 보내지 않기",IF(OR($E458="SMS",$E458="EMAIL"),IF(OR($H458="",$H458="NONE"),"동의 근거 없음: 전화·방문만",IF($H458="INQUIRY",IF(N($N458)=0,"견적 요청일을 못 찾음: 관련 ID에 견적 ID(Q-…)를 넣었는지 확인",IF('설정 Settings'!$C$15&gt;N($N458),"문의 후 6개월 지남: 다른 동의 근거 필요","OK: 이름·주소·연락처·수신거부 문구 넣기")),IF($H458="REFERRAL","소개 후 첫 메시지만 OK: 소개자 이름 + 이름·주소·연락처·수신거부 문구. 두 번째부터는 다른 동의 근거 필요",IF(AND($H458="REPLY",$D458&lt;&gt;"QUOTE",$D458&lt;&gt;"CALLBACK"),"문의에 대한 답장이 아님: EXPRESS 또는 INQUIRY 동의 필요","OK: 이름·주소·연락처·수신거부 문구 넣기")))),"")))</f>
      </c>
      <c r="N458" s="40">
        <f>IF($H458="INQUIRY",IFERROR(EDATE(INDEX('견적 Quotes'!$B$3:$B$1002,MATCH($C458,'견적 Quotes'!$A$3:$A$1002,0)),'설정 Settings'!$C$20),""),"")</f>
      </c>
    </row>
    <row r="459" spans="12:14" x14ac:dyDescent="0.25">
      <c r="L459" s="42">
        <f>IF($A459="","",IF($G459="Y","완료 DONE",IF($F459="","날짜 없음",IF($F459&lt;'설정 Settings'!$C$15,"지남 OVERDUE",IF($F459='설정 Settings'!$C$15,"오늘 TODAY","예정 OPEN")))))</f>
      </c>
      <c r="M459" s="42">
        <f>IF($A459="","",IF($I459="Y","수신거부: 문자·이메일 보내지 않기",IF(OR($E459="SMS",$E459="EMAIL"),IF(OR($H459="",$H459="NONE"),"동의 근거 없음: 전화·방문만",IF($H459="INQUIRY",IF(N($N459)=0,"견적 요청일을 못 찾음: 관련 ID에 견적 ID(Q-…)를 넣었는지 확인",IF('설정 Settings'!$C$15&gt;N($N459),"문의 후 6개월 지남: 다른 동의 근거 필요","OK: 이름·주소·연락처·수신거부 문구 넣기")),IF($H459="REFERRAL","소개 후 첫 메시지만 OK: 소개자 이름 + 이름·주소·연락처·수신거부 문구. 두 번째부터는 다른 동의 근거 필요",IF(AND($H459="REPLY",$D459&lt;&gt;"QUOTE",$D459&lt;&gt;"CALLBACK"),"문의에 대한 답장이 아님: EXPRESS 또는 INQUIRY 동의 필요","OK: 이름·주소·연락처·수신거부 문구 넣기")))),"")))</f>
      </c>
      <c r="N459" s="40">
        <f>IF($H459="INQUIRY",IFERROR(EDATE(INDEX('견적 Quotes'!$B$3:$B$1002,MATCH($C459,'견적 Quotes'!$A$3:$A$1002,0)),'설정 Settings'!$C$20),""),"")</f>
      </c>
    </row>
    <row r="460" spans="12:14" x14ac:dyDescent="0.25">
      <c r="L460" s="42">
        <f>IF($A460="","",IF($G460="Y","완료 DONE",IF($F460="","날짜 없음",IF($F460&lt;'설정 Settings'!$C$15,"지남 OVERDUE",IF($F460='설정 Settings'!$C$15,"오늘 TODAY","예정 OPEN")))))</f>
      </c>
      <c r="M460" s="42">
        <f>IF($A460="","",IF($I460="Y","수신거부: 문자·이메일 보내지 않기",IF(OR($E460="SMS",$E460="EMAIL"),IF(OR($H460="",$H460="NONE"),"동의 근거 없음: 전화·방문만",IF($H460="INQUIRY",IF(N($N460)=0,"견적 요청일을 못 찾음: 관련 ID에 견적 ID(Q-…)를 넣었는지 확인",IF('설정 Settings'!$C$15&gt;N($N460),"문의 후 6개월 지남: 다른 동의 근거 필요","OK: 이름·주소·연락처·수신거부 문구 넣기")),IF($H460="REFERRAL","소개 후 첫 메시지만 OK: 소개자 이름 + 이름·주소·연락처·수신거부 문구. 두 번째부터는 다른 동의 근거 필요",IF(AND($H460="REPLY",$D460&lt;&gt;"QUOTE",$D460&lt;&gt;"CALLBACK"),"문의에 대한 답장이 아님: EXPRESS 또는 INQUIRY 동의 필요","OK: 이름·주소·연락처·수신거부 문구 넣기")))),"")))</f>
      </c>
      <c r="N460" s="40">
        <f>IF($H460="INQUIRY",IFERROR(EDATE(INDEX('견적 Quotes'!$B$3:$B$1002,MATCH($C460,'견적 Quotes'!$A$3:$A$1002,0)),'설정 Settings'!$C$20),""),"")</f>
      </c>
    </row>
    <row r="461" spans="12:14" x14ac:dyDescent="0.25">
      <c r="L461" s="42">
        <f>IF($A461="","",IF($G461="Y","완료 DONE",IF($F461="","날짜 없음",IF($F461&lt;'설정 Settings'!$C$15,"지남 OVERDUE",IF($F461='설정 Settings'!$C$15,"오늘 TODAY","예정 OPEN")))))</f>
      </c>
      <c r="M461" s="42">
        <f>IF($A461="","",IF($I461="Y","수신거부: 문자·이메일 보내지 않기",IF(OR($E461="SMS",$E461="EMAIL"),IF(OR($H461="",$H461="NONE"),"동의 근거 없음: 전화·방문만",IF($H461="INQUIRY",IF(N($N461)=0,"견적 요청일을 못 찾음: 관련 ID에 견적 ID(Q-…)를 넣었는지 확인",IF('설정 Settings'!$C$15&gt;N($N461),"문의 후 6개월 지남: 다른 동의 근거 필요","OK: 이름·주소·연락처·수신거부 문구 넣기")),IF($H461="REFERRAL","소개 후 첫 메시지만 OK: 소개자 이름 + 이름·주소·연락처·수신거부 문구. 두 번째부터는 다른 동의 근거 필요",IF(AND($H461="REPLY",$D461&lt;&gt;"QUOTE",$D461&lt;&gt;"CALLBACK"),"문의에 대한 답장이 아님: EXPRESS 또는 INQUIRY 동의 필요","OK: 이름·주소·연락처·수신거부 문구 넣기")))),"")))</f>
      </c>
      <c r="N461" s="40">
        <f>IF($H461="INQUIRY",IFERROR(EDATE(INDEX('견적 Quotes'!$B$3:$B$1002,MATCH($C461,'견적 Quotes'!$A$3:$A$1002,0)),'설정 Settings'!$C$20),""),"")</f>
      </c>
    </row>
    <row r="462" spans="12:14" x14ac:dyDescent="0.25">
      <c r="L462" s="42">
        <f>IF($A462="","",IF($G462="Y","완료 DONE",IF($F462="","날짜 없음",IF($F462&lt;'설정 Settings'!$C$15,"지남 OVERDUE",IF($F462='설정 Settings'!$C$15,"오늘 TODAY","예정 OPEN")))))</f>
      </c>
      <c r="M462" s="42">
        <f>IF($A462="","",IF($I462="Y","수신거부: 문자·이메일 보내지 않기",IF(OR($E462="SMS",$E462="EMAIL"),IF(OR($H462="",$H462="NONE"),"동의 근거 없음: 전화·방문만",IF($H462="INQUIRY",IF(N($N462)=0,"견적 요청일을 못 찾음: 관련 ID에 견적 ID(Q-…)를 넣었는지 확인",IF('설정 Settings'!$C$15&gt;N($N462),"문의 후 6개월 지남: 다른 동의 근거 필요","OK: 이름·주소·연락처·수신거부 문구 넣기")),IF($H462="REFERRAL","소개 후 첫 메시지만 OK: 소개자 이름 + 이름·주소·연락처·수신거부 문구. 두 번째부터는 다른 동의 근거 필요",IF(AND($H462="REPLY",$D462&lt;&gt;"QUOTE",$D462&lt;&gt;"CALLBACK"),"문의에 대한 답장이 아님: EXPRESS 또는 INQUIRY 동의 필요","OK: 이름·주소·연락처·수신거부 문구 넣기")))),"")))</f>
      </c>
      <c r="N462" s="40">
        <f>IF($H462="INQUIRY",IFERROR(EDATE(INDEX('견적 Quotes'!$B$3:$B$1002,MATCH($C462,'견적 Quotes'!$A$3:$A$1002,0)),'설정 Settings'!$C$20),""),"")</f>
      </c>
    </row>
    <row r="463" spans="12:14" x14ac:dyDescent="0.25">
      <c r="L463" s="42">
        <f>IF($A463="","",IF($G463="Y","완료 DONE",IF($F463="","날짜 없음",IF($F463&lt;'설정 Settings'!$C$15,"지남 OVERDUE",IF($F463='설정 Settings'!$C$15,"오늘 TODAY","예정 OPEN")))))</f>
      </c>
      <c r="M463" s="42">
        <f>IF($A463="","",IF($I463="Y","수신거부: 문자·이메일 보내지 않기",IF(OR($E463="SMS",$E463="EMAIL"),IF(OR($H463="",$H463="NONE"),"동의 근거 없음: 전화·방문만",IF($H463="INQUIRY",IF(N($N463)=0,"견적 요청일을 못 찾음: 관련 ID에 견적 ID(Q-…)를 넣었는지 확인",IF('설정 Settings'!$C$15&gt;N($N463),"문의 후 6개월 지남: 다른 동의 근거 필요","OK: 이름·주소·연락처·수신거부 문구 넣기")),IF($H463="REFERRAL","소개 후 첫 메시지만 OK: 소개자 이름 + 이름·주소·연락처·수신거부 문구. 두 번째부터는 다른 동의 근거 필요",IF(AND($H463="REPLY",$D463&lt;&gt;"QUOTE",$D463&lt;&gt;"CALLBACK"),"문의에 대한 답장이 아님: EXPRESS 또는 INQUIRY 동의 필요","OK: 이름·주소·연락처·수신거부 문구 넣기")))),"")))</f>
      </c>
      <c r="N463" s="40">
        <f>IF($H463="INQUIRY",IFERROR(EDATE(INDEX('견적 Quotes'!$B$3:$B$1002,MATCH($C463,'견적 Quotes'!$A$3:$A$1002,0)),'설정 Settings'!$C$20),""),"")</f>
      </c>
    </row>
    <row r="464" spans="12:14" x14ac:dyDescent="0.25">
      <c r="L464" s="42">
        <f>IF($A464="","",IF($G464="Y","완료 DONE",IF($F464="","날짜 없음",IF($F464&lt;'설정 Settings'!$C$15,"지남 OVERDUE",IF($F464='설정 Settings'!$C$15,"오늘 TODAY","예정 OPEN")))))</f>
      </c>
      <c r="M464" s="42">
        <f>IF($A464="","",IF($I464="Y","수신거부: 문자·이메일 보내지 않기",IF(OR($E464="SMS",$E464="EMAIL"),IF(OR($H464="",$H464="NONE"),"동의 근거 없음: 전화·방문만",IF($H464="INQUIRY",IF(N($N464)=0,"견적 요청일을 못 찾음: 관련 ID에 견적 ID(Q-…)를 넣었는지 확인",IF('설정 Settings'!$C$15&gt;N($N464),"문의 후 6개월 지남: 다른 동의 근거 필요","OK: 이름·주소·연락처·수신거부 문구 넣기")),IF($H464="REFERRAL","소개 후 첫 메시지만 OK: 소개자 이름 + 이름·주소·연락처·수신거부 문구. 두 번째부터는 다른 동의 근거 필요",IF(AND($H464="REPLY",$D464&lt;&gt;"QUOTE",$D464&lt;&gt;"CALLBACK"),"문의에 대한 답장이 아님: EXPRESS 또는 INQUIRY 동의 필요","OK: 이름·주소·연락처·수신거부 문구 넣기")))),"")))</f>
      </c>
      <c r="N464" s="40">
        <f>IF($H464="INQUIRY",IFERROR(EDATE(INDEX('견적 Quotes'!$B$3:$B$1002,MATCH($C464,'견적 Quotes'!$A$3:$A$1002,0)),'설정 Settings'!$C$20),""),"")</f>
      </c>
    </row>
    <row r="465" spans="12:14" x14ac:dyDescent="0.25">
      <c r="L465" s="42">
        <f>IF($A465="","",IF($G465="Y","완료 DONE",IF($F465="","날짜 없음",IF($F465&lt;'설정 Settings'!$C$15,"지남 OVERDUE",IF($F465='설정 Settings'!$C$15,"오늘 TODAY","예정 OPEN")))))</f>
      </c>
      <c r="M465" s="42">
        <f>IF($A465="","",IF($I465="Y","수신거부: 문자·이메일 보내지 않기",IF(OR($E465="SMS",$E465="EMAIL"),IF(OR($H465="",$H465="NONE"),"동의 근거 없음: 전화·방문만",IF($H465="INQUIRY",IF(N($N465)=0,"견적 요청일을 못 찾음: 관련 ID에 견적 ID(Q-…)를 넣었는지 확인",IF('설정 Settings'!$C$15&gt;N($N465),"문의 후 6개월 지남: 다른 동의 근거 필요","OK: 이름·주소·연락처·수신거부 문구 넣기")),IF($H465="REFERRAL","소개 후 첫 메시지만 OK: 소개자 이름 + 이름·주소·연락처·수신거부 문구. 두 번째부터는 다른 동의 근거 필요",IF(AND($H465="REPLY",$D465&lt;&gt;"QUOTE",$D465&lt;&gt;"CALLBACK"),"문의에 대한 답장이 아님: EXPRESS 또는 INQUIRY 동의 필요","OK: 이름·주소·연락처·수신거부 문구 넣기")))),"")))</f>
      </c>
      <c r="N465" s="40">
        <f>IF($H465="INQUIRY",IFERROR(EDATE(INDEX('견적 Quotes'!$B$3:$B$1002,MATCH($C465,'견적 Quotes'!$A$3:$A$1002,0)),'설정 Settings'!$C$20),""),"")</f>
      </c>
    </row>
    <row r="466" spans="12:14" x14ac:dyDescent="0.25">
      <c r="L466" s="42">
        <f>IF($A466="","",IF($G466="Y","완료 DONE",IF($F466="","날짜 없음",IF($F466&lt;'설정 Settings'!$C$15,"지남 OVERDUE",IF($F466='설정 Settings'!$C$15,"오늘 TODAY","예정 OPEN")))))</f>
      </c>
      <c r="M466" s="42">
        <f>IF($A466="","",IF($I466="Y","수신거부: 문자·이메일 보내지 않기",IF(OR($E466="SMS",$E466="EMAIL"),IF(OR($H466="",$H466="NONE"),"동의 근거 없음: 전화·방문만",IF($H466="INQUIRY",IF(N($N466)=0,"견적 요청일을 못 찾음: 관련 ID에 견적 ID(Q-…)를 넣었는지 확인",IF('설정 Settings'!$C$15&gt;N($N466),"문의 후 6개월 지남: 다른 동의 근거 필요","OK: 이름·주소·연락처·수신거부 문구 넣기")),IF($H466="REFERRAL","소개 후 첫 메시지만 OK: 소개자 이름 + 이름·주소·연락처·수신거부 문구. 두 번째부터는 다른 동의 근거 필요",IF(AND($H466="REPLY",$D466&lt;&gt;"QUOTE",$D466&lt;&gt;"CALLBACK"),"문의에 대한 답장이 아님: EXPRESS 또는 INQUIRY 동의 필요","OK: 이름·주소·연락처·수신거부 문구 넣기")))),"")))</f>
      </c>
      <c r="N466" s="40">
        <f>IF($H466="INQUIRY",IFERROR(EDATE(INDEX('견적 Quotes'!$B$3:$B$1002,MATCH($C466,'견적 Quotes'!$A$3:$A$1002,0)),'설정 Settings'!$C$20),""),"")</f>
      </c>
    </row>
    <row r="467" spans="12:14" x14ac:dyDescent="0.25">
      <c r="L467" s="42">
        <f>IF($A467="","",IF($G467="Y","완료 DONE",IF($F467="","날짜 없음",IF($F467&lt;'설정 Settings'!$C$15,"지남 OVERDUE",IF($F467='설정 Settings'!$C$15,"오늘 TODAY","예정 OPEN")))))</f>
      </c>
      <c r="M467" s="42">
        <f>IF($A467="","",IF($I467="Y","수신거부: 문자·이메일 보내지 않기",IF(OR($E467="SMS",$E467="EMAIL"),IF(OR($H467="",$H467="NONE"),"동의 근거 없음: 전화·방문만",IF($H467="INQUIRY",IF(N($N467)=0,"견적 요청일을 못 찾음: 관련 ID에 견적 ID(Q-…)를 넣었는지 확인",IF('설정 Settings'!$C$15&gt;N($N467),"문의 후 6개월 지남: 다른 동의 근거 필요","OK: 이름·주소·연락처·수신거부 문구 넣기")),IF($H467="REFERRAL","소개 후 첫 메시지만 OK: 소개자 이름 + 이름·주소·연락처·수신거부 문구. 두 번째부터는 다른 동의 근거 필요",IF(AND($H467="REPLY",$D467&lt;&gt;"QUOTE",$D467&lt;&gt;"CALLBACK"),"문의에 대한 답장이 아님: EXPRESS 또는 INQUIRY 동의 필요","OK: 이름·주소·연락처·수신거부 문구 넣기")))),"")))</f>
      </c>
      <c r="N467" s="40">
        <f>IF($H467="INQUIRY",IFERROR(EDATE(INDEX('견적 Quotes'!$B$3:$B$1002,MATCH($C467,'견적 Quotes'!$A$3:$A$1002,0)),'설정 Settings'!$C$20),""),"")</f>
      </c>
    </row>
    <row r="468" spans="12:14" x14ac:dyDescent="0.25">
      <c r="L468" s="42">
        <f>IF($A468="","",IF($G468="Y","완료 DONE",IF($F468="","날짜 없음",IF($F468&lt;'설정 Settings'!$C$15,"지남 OVERDUE",IF($F468='설정 Settings'!$C$15,"오늘 TODAY","예정 OPEN")))))</f>
      </c>
      <c r="M468" s="42">
        <f>IF($A468="","",IF($I468="Y","수신거부: 문자·이메일 보내지 않기",IF(OR($E468="SMS",$E468="EMAIL"),IF(OR($H468="",$H468="NONE"),"동의 근거 없음: 전화·방문만",IF($H468="INQUIRY",IF(N($N468)=0,"견적 요청일을 못 찾음: 관련 ID에 견적 ID(Q-…)를 넣었는지 확인",IF('설정 Settings'!$C$15&gt;N($N468),"문의 후 6개월 지남: 다른 동의 근거 필요","OK: 이름·주소·연락처·수신거부 문구 넣기")),IF($H468="REFERRAL","소개 후 첫 메시지만 OK: 소개자 이름 + 이름·주소·연락처·수신거부 문구. 두 번째부터는 다른 동의 근거 필요",IF(AND($H468="REPLY",$D468&lt;&gt;"QUOTE",$D468&lt;&gt;"CALLBACK"),"문의에 대한 답장이 아님: EXPRESS 또는 INQUIRY 동의 필요","OK: 이름·주소·연락처·수신거부 문구 넣기")))),"")))</f>
      </c>
      <c r="N468" s="40">
        <f>IF($H468="INQUIRY",IFERROR(EDATE(INDEX('견적 Quotes'!$B$3:$B$1002,MATCH($C468,'견적 Quotes'!$A$3:$A$1002,0)),'설정 Settings'!$C$20),""),"")</f>
      </c>
    </row>
    <row r="469" spans="12:14" x14ac:dyDescent="0.25">
      <c r="L469" s="42">
        <f>IF($A469="","",IF($G469="Y","완료 DONE",IF($F469="","날짜 없음",IF($F469&lt;'설정 Settings'!$C$15,"지남 OVERDUE",IF($F469='설정 Settings'!$C$15,"오늘 TODAY","예정 OPEN")))))</f>
      </c>
      <c r="M469" s="42">
        <f>IF($A469="","",IF($I469="Y","수신거부: 문자·이메일 보내지 않기",IF(OR($E469="SMS",$E469="EMAIL"),IF(OR($H469="",$H469="NONE"),"동의 근거 없음: 전화·방문만",IF($H469="INQUIRY",IF(N($N469)=0,"견적 요청일을 못 찾음: 관련 ID에 견적 ID(Q-…)를 넣었는지 확인",IF('설정 Settings'!$C$15&gt;N($N469),"문의 후 6개월 지남: 다른 동의 근거 필요","OK: 이름·주소·연락처·수신거부 문구 넣기")),IF($H469="REFERRAL","소개 후 첫 메시지만 OK: 소개자 이름 + 이름·주소·연락처·수신거부 문구. 두 번째부터는 다른 동의 근거 필요",IF(AND($H469="REPLY",$D469&lt;&gt;"QUOTE",$D469&lt;&gt;"CALLBACK"),"문의에 대한 답장이 아님: EXPRESS 또는 INQUIRY 동의 필요","OK: 이름·주소·연락처·수신거부 문구 넣기")))),"")))</f>
      </c>
      <c r="N469" s="40">
        <f>IF($H469="INQUIRY",IFERROR(EDATE(INDEX('견적 Quotes'!$B$3:$B$1002,MATCH($C469,'견적 Quotes'!$A$3:$A$1002,0)),'설정 Settings'!$C$20),""),"")</f>
      </c>
    </row>
    <row r="470" spans="12:14" x14ac:dyDescent="0.25">
      <c r="L470" s="42">
        <f>IF($A470="","",IF($G470="Y","완료 DONE",IF($F470="","날짜 없음",IF($F470&lt;'설정 Settings'!$C$15,"지남 OVERDUE",IF($F470='설정 Settings'!$C$15,"오늘 TODAY","예정 OPEN")))))</f>
      </c>
      <c r="M470" s="42">
        <f>IF($A470="","",IF($I470="Y","수신거부: 문자·이메일 보내지 않기",IF(OR($E470="SMS",$E470="EMAIL"),IF(OR($H470="",$H470="NONE"),"동의 근거 없음: 전화·방문만",IF($H470="INQUIRY",IF(N($N470)=0,"견적 요청일을 못 찾음: 관련 ID에 견적 ID(Q-…)를 넣었는지 확인",IF('설정 Settings'!$C$15&gt;N($N470),"문의 후 6개월 지남: 다른 동의 근거 필요","OK: 이름·주소·연락처·수신거부 문구 넣기")),IF($H470="REFERRAL","소개 후 첫 메시지만 OK: 소개자 이름 + 이름·주소·연락처·수신거부 문구. 두 번째부터는 다른 동의 근거 필요",IF(AND($H470="REPLY",$D470&lt;&gt;"QUOTE",$D470&lt;&gt;"CALLBACK"),"문의에 대한 답장이 아님: EXPRESS 또는 INQUIRY 동의 필요","OK: 이름·주소·연락처·수신거부 문구 넣기")))),"")))</f>
      </c>
      <c r="N470" s="40">
        <f>IF($H470="INQUIRY",IFERROR(EDATE(INDEX('견적 Quotes'!$B$3:$B$1002,MATCH($C470,'견적 Quotes'!$A$3:$A$1002,0)),'설정 Settings'!$C$20),""),"")</f>
      </c>
    </row>
    <row r="471" spans="12:14" x14ac:dyDescent="0.25">
      <c r="L471" s="42">
        <f>IF($A471="","",IF($G471="Y","완료 DONE",IF($F471="","날짜 없음",IF($F471&lt;'설정 Settings'!$C$15,"지남 OVERDUE",IF($F471='설정 Settings'!$C$15,"오늘 TODAY","예정 OPEN")))))</f>
      </c>
      <c r="M471" s="42">
        <f>IF($A471="","",IF($I471="Y","수신거부: 문자·이메일 보내지 않기",IF(OR($E471="SMS",$E471="EMAIL"),IF(OR($H471="",$H471="NONE"),"동의 근거 없음: 전화·방문만",IF($H471="INQUIRY",IF(N($N471)=0,"견적 요청일을 못 찾음: 관련 ID에 견적 ID(Q-…)를 넣었는지 확인",IF('설정 Settings'!$C$15&gt;N($N471),"문의 후 6개월 지남: 다른 동의 근거 필요","OK: 이름·주소·연락처·수신거부 문구 넣기")),IF($H471="REFERRAL","소개 후 첫 메시지만 OK: 소개자 이름 + 이름·주소·연락처·수신거부 문구. 두 번째부터는 다른 동의 근거 필요",IF(AND($H471="REPLY",$D471&lt;&gt;"QUOTE",$D471&lt;&gt;"CALLBACK"),"문의에 대한 답장이 아님: EXPRESS 또는 INQUIRY 동의 필요","OK: 이름·주소·연락처·수신거부 문구 넣기")))),"")))</f>
      </c>
      <c r="N471" s="40">
        <f>IF($H471="INQUIRY",IFERROR(EDATE(INDEX('견적 Quotes'!$B$3:$B$1002,MATCH($C471,'견적 Quotes'!$A$3:$A$1002,0)),'설정 Settings'!$C$20),""),"")</f>
      </c>
    </row>
    <row r="472" spans="12:14" x14ac:dyDescent="0.25">
      <c r="L472" s="42">
        <f>IF($A472="","",IF($G472="Y","완료 DONE",IF($F472="","날짜 없음",IF($F472&lt;'설정 Settings'!$C$15,"지남 OVERDUE",IF($F472='설정 Settings'!$C$15,"오늘 TODAY","예정 OPEN")))))</f>
      </c>
      <c r="M472" s="42">
        <f>IF($A472="","",IF($I472="Y","수신거부: 문자·이메일 보내지 않기",IF(OR($E472="SMS",$E472="EMAIL"),IF(OR($H472="",$H472="NONE"),"동의 근거 없음: 전화·방문만",IF($H472="INQUIRY",IF(N($N472)=0,"견적 요청일을 못 찾음: 관련 ID에 견적 ID(Q-…)를 넣었는지 확인",IF('설정 Settings'!$C$15&gt;N($N472),"문의 후 6개월 지남: 다른 동의 근거 필요","OK: 이름·주소·연락처·수신거부 문구 넣기")),IF($H472="REFERRAL","소개 후 첫 메시지만 OK: 소개자 이름 + 이름·주소·연락처·수신거부 문구. 두 번째부터는 다른 동의 근거 필요",IF(AND($H472="REPLY",$D472&lt;&gt;"QUOTE",$D472&lt;&gt;"CALLBACK"),"문의에 대한 답장이 아님: EXPRESS 또는 INQUIRY 동의 필요","OK: 이름·주소·연락처·수신거부 문구 넣기")))),"")))</f>
      </c>
      <c r="N472" s="40">
        <f>IF($H472="INQUIRY",IFERROR(EDATE(INDEX('견적 Quotes'!$B$3:$B$1002,MATCH($C472,'견적 Quotes'!$A$3:$A$1002,0)),'설정 Settings'!$C$20),""),"")</f>
      </c>
    </row>
    <row r="473" spans="12:14" x14ac:dyDescent="0.25">
      <c r="L473" s="42">
        <f>IF($A473="","",IF($G473="Y","완료 DONE",IF($F473="","날짜 없음",IF($F473&lt;'설정 Settings'!$C$15,"지남 OVERDUE",IF($F473='설정 Settings'!$C$15,"오늘 TODAY","예정 OPEN")))))</f>
      </c>
      <c r="M473" s="42">
        <f>IF($A473="","",IF($I473="Y","수신거부: 문자·이메일 보내지 않기",IF(OR($E473="SMS",$E473="EMAIL"),IF(OR($H473="",$H473="NONE"),"동의 근거 없음: 전화·방문만",IF($H473="INQUIRY",IF(N($N473)=0,"견적 요청일을 못 찾음: 관련 ID에 견적 ID(Q-…)를 넣었는지 확인",IF('설정 Settings'!$C$15&gt;N($N473),"문의 후 6개월 지남: 다른 동의 근거 필요","OK: 이름·주소·연락처·수신거부 문구 넣기")),IF($H473="REFERRAL","소개 후 첫 메시지만 OK: 소개자 이름 + 이름·주소·연락처·수신거부 문구. 두 번째부터는 다른 동의 근거 필요",IF(AND($H473="REPLY",$D473&lt;&gt;"QUOTE",$D473&lt;&gt;"CALLBACK"),"문의에 대한 답장이 아님: EXPRESS 또는 INQUIRY 동의 필요","OK: 이름·주소·연락처·수신거부 문구 넣기")))),"")))</f>
      </c>
      <c r="N473" s="40">
        <f>IF($H473="INQUIRY",IFERROR(EDATE(INDEX('견적 Quotes'!$B$3:$B$1002,MATCH($C473,'견적 Quotes'!$A$3:$A$1002,0)),'설정 Settings'!$C$20),""),"")</f>
      </c>
    </row>
    <row r="474" spans="12:14" x14ac:dyDescent="0.25">
      <c r="L474" s="42">
        <f>IF($A474="","",IF($G474="Y","완료 DONE",IF($F474="","날짜 없음",IF($F474&lt;'설정 Settings'!$C$15,"지남 OVERDUE",IF($F474='설정 Settings'!$C$15,"오늘 TODAY","예정 OPEN")))))</f>
      </c>
      <c r="M474" s="42">
        <f>IF($A474="","",IF($I474="Y","수신거부: 문자·이메일 보내지 않기",IF(OR($E474="SMS",$E474="EMAIL"),IF(OR($H474="",$H474="NONE"),"동의 근거 없음: 전화·방문만",IF($H474="INQUIRY",IF(N($N474)=0,"견적 요청일을 못 찾음: 관련 ID에 견적 ID(Q-…)를 넣었는지 확인",IF('설정 Settings'!$C$15&gt;N($N474),"문의 후 6개월 지남: 다른 동의 근거 필요","OK: 이름·주소·연락처·수신거부 문구 넣기")),IF($H474="REFERRAL","소개 후 첫 메시지만 OK: 소개자 이름 + 이름·주소·연락처·수신거부 문구. 두 번째부터는 다른 동의 근거 필요",IF(AND($H474="REPLY",$D474&lt;&gt;"QUOTE",$D474&lt;&gt;"CALLBACK"),"문의에 대한 답장이 아님: EXPRESS 또는 INQUIRY 동의 필요","OK: 이름·주소·연락처·수신거부 문구 넣기")))),"")))</f>
      </c>
      <c r="N474" s="40">
        <f>IF($H474="INQUIRY",IFERROR(EDATE(INDEX('견적 Quotes'!$B$3:$B$1002,MATCH($C474,'견적 Quotes'!$A$3:$A$1002,0)),'설정 Settings'!$C$20),""),"")</f>
      </c>
    </row>
    <row r="475" spans="12:14" x14ac:dyDescent="0.25">
      <c r="L475" s="42">
        <f>IF($A475="","",IF($G475="Y","완료 DONE",IF($F475="","날짜 없음",IF($F475&lt;'설정 Settings'!$C$15,"지남 OVERDUE",IF($F475='설정 Settings'!$C$15,"오늘 TODAY","예정 OPEN")))))</f>
      </c>
      <c r="M475" s="42">
        <f>IF($A475="","",IF($I475="Y","수신거부: 문자·이메일 보내지 않기",IF(OR($E475="SMS",$E475="EMAIL"),IF(OR($H475="",$H475="NONE"),"동의 근거 없음: 전화·방문만",IF($H475="INQUIRY",IF(N($N475)=0,"견적 요청일을 못 찾음: 관련 ID에 견적 ID(Q-…)를 넣었는지 확인",IF('설정 Settings'!$C$15&gt;N($N475),"문의 후 6개월 지남: 다른 동의 근거 필요","OK: 이름·주소·연락처·수신거부 문구 넣기")),IF($H475="REFERRAL","소개 후 첫 메시지만 OK: 소개자 이름 + 이름·주소·연락처·수신거부 문구. 두 번째부터는 다른 동의 근거 필요",IF(AND($H475="REPLY",$D475&lt;&gt;"QUOTE",$D475&lt;&gt;"CALLBACK"),"문의에 대한 답장이 아님: EXPRESS 또는 INQUIRY 동의 필요","OK: 이름·주소·연락처·수신거부 문구 넣기")))),"")))</f>
      </c>
      <c r="N475" s="40">
        <f>IF($H475="INQUIRY",IFERROR(EDATE(INDEX('견적 Quotes'!$B$3:$B$1002,MATCH($C475,'견적 Quotes'!$A$3:$A$1002,0)),'설정 Settings'!$C$20),""),"")</f>
      </c>
    </row>
    <row r="476" spans="12:14" x14ac:dyDescent="0.25">
      <c r="L476" s="42">
        <f>IF($A476="","",IF($G476="Y","완료 DONE",IF($F476="","날짜 없음",IF($F476&lt;'설정 Settings'!$C$15,"지남 OVERDUE",IF($F476='설정 Settings'!$C$15,"오늘 TODAY","예정 OPEN")))))</f>
      </c>
      <c r="M476" s="42">
        <f>IF($A476="","",IF($I476="Y","수신거부: 문자·이메일 보내지 않기",IF(OR($E476="SMS",$E476="EMAIL"),IF(OR($H476="",$H476="NONE"),"동의 근거 없음: 전화·방문만",IF($H476="INQUIRY",IF(N($N476)=0,"견적 요청일을 못 찾음: 관련 ID에 견적 ID(Q-…)를 넣었는지 확인",IF('설정 Settings'!$C$15&gt;N($N476),"문의 후 6개월 지남: 다른 동의 근거 필요","OK: 이름·주소·연락처·수신거부 문구 넣기")),IF($H476="REFERRAL","소개 후 첫 메시지만 OK: 소개자 이름 + 이름·주소·연락처·수신거부 문구. 두 번째부터는 다른 동의 근거 필요",IF(AND($H476="REPLY",$D476&lt;&gt;"QUOTE",$D476&lt;&gt;"CALLBACK"),"문의에 대한 답장이 아님: EXPRESS 또는 INQUIRY 동의 필요","OK: 이름·주소·연락처·수신거부 문구 넣기")))),"")))</f>
      </c>
      <c r="N476" s="40">
        <f>IF($H476="INQUIRY",IFERROR(EDATE(INDEX('견적 Quotes'!$B$3:$B$1002,MATCH($C476,'견적 Quotes'!$A$3:$A$1002,0)),'설정 Settings'!$C$20),""),"")</f>
      </c>
    </row>
    <row r="477" spans="12:14" x14ac:dyDescent="0.25">
      <c r="L477" s="42">
        <f>IF($A477="","",IF($G477="Y","완료 DONE",IF($F477="","날짜 없음",IF($F477&lt;'설정 Settings'!$C$15,"지남 OVERDUE",IF($F477='설정 Settings'!$C$15,"오늘 TODAY","예정 OPEN")))))</f>
      </c>
      <c r="M477" s="42">
        <f>IF($A477="","",IF($I477="Y","수신거부: 문자·이메일 보내지 않기",IF(OR($E477="SMS",$E477="EMAIL"),IF(OR($H477="",$H477="NONE"),"동의 근거 없음: 전화·방문만",IF($H477="INQUIRY",IF(N($N477)=0,"견적 요청일을 못 찾음: 관련 ID에 견적 ID(Q-…)를 넣었는지 확인",IF('설정 Settings'!$C$15&gt;N($N477),"문의 후 6개월 지남: 다른 동의 근거 필요","OK: 이름·주소·연락처·수신거부 문구 넣기")),IF($H477="REFERRAL","소개 후 첫 메시지만 OK: 소개자 이름 + 이름·주소·연락처·수신거부 문구. 두 번째부터는 다른 동의 근거 필요",IF(AND($H477="REPLY",$D477&lt;&gt;"QUOTE",$D477&lt;&gt;"CALLBACK"),"문의에 대한 답장이 아님: EXPRESS 또는 INQUIRY 동의 필요","OK: 이름·주소·연락처·수신거부 문구 넣기")))),"")))</f>
      </c>
      <c r="N477" s="40">
        <f>IF($H477="INQUIRY",IFERROR(EDATE(INDEX('견적 Quotes'!$B$3:$B$1002,MATCH($C477,'견적 Quotes'!$A$3:$A$1002,0)),'설정 Settings'!$C$20),""),"")</f>
      </c>
    </row>
    <row r="478" spans="12:14" x14ac:dyDescent="0.25">
      <c r="L478" s="42">
        <f>IF($A478="","",IF($G478="Y","완료 DONE",IF($F478="","날짜 없음",IF($F478&lt;'설정 Settings'!$C$15,"지남 OVERDUE",IF($F478='설정 Settings'!$C$15,"오늘 TODAY","예정 OPEN")))))</f>
      </c>
      <c r="M478" s="42">
        <f>IF($A478="","",IF($I478="Y","수신거부: 문자·이메일 보내지 않기",IF(OR($E478="SMS",$E478="EMAIL"),IF(OR($H478="",$H478="NONE"),"동의 근거 없음: 전화·방문만",IF($H478="INQUIRY",IF(N($N478)=0,"견적 요청일을 못 찾음: 관련 ID에 견적 ID(Q-…)를 넣었는지 확인",IF('설정 Settings'!$C$15&gt;N($N478),"문의 후 6개월 지남: 다른 동의 근거 필요","OK: 이름·주소·연락처·수신거부 문구 넣기")),IF($H478="REFERRAL","소개 후 첫 메시지만 OK: 소개자 이름 + 이름·주소·연락처·수신거부 문구. 두 번째부터는 다른 동의 근거 필요",IF(AND($H478="REPLY",$D478&lt;&gt;"QUOTE",$D478&lt;&gt;"CALLBACK"),"문의에 대한 답장이 아님: EXPRESS 또는 INQUIRY 동의 필요","OK: 이름·주소·연락처·수신거부 문구 넣기")))),"")))</f>
      </c>
      <c r="N478" s="40">
        <f>IF($H478="INQUIRY",IFERROR(EDATE(INDEX('견적 Quotes'!$B$3:$B$1002,MATCH($C478,'견적 Quotes'!$A$3:$A$1002,0)),'설정 Settings'!$C$20),""),"")</f>
      </c>
    </row>
    <row r="479" spans="12:14" x14ac:dyDescent="0.25">
      <c r="L479" s="42">
        <f>IF($A479="","",IF($G479="Y","완료 DONE",IF($F479="","날짜 없음",IF($F479&lt;'설정 Settings'!$C$15,"지남 OVERDUE",IF($F479='설정 Settings'!$C$15,"오늘 TODAY","예정 OPEN")))))</f>
      </c>
      <c r="M479" s="42">
        <f>IF($A479="","",IF($I479="Y","수신거부: 문자·이메일 보내지 않기",IF(OR($E479="SMS",$E479="EMAIL"),IF(OR($H479="",$H479="NONE"),"동의 근거 없음: 전화·방문만",IF($H479="INQUIRY",IF(N($N479)=0,"견적 요청일을 못 찾음: 관련 ID에 견적 ID(Q-…)를 넣었는지 확인",IF('설정 Settings'!$C$15&gt;N($N479),"문의 후 6개월 지남: 다른 동의 근거 필요","OK: 이름·주소·연락처·수신거부 문구 넣기")),IF($H479="REFERRAL","소개 후 첫 메시지만 OK: 소개자 이름 + 이름·주소·연락처·수신거부 문구. 두 번째부터는 다른 동의 근거 필요",IF(AND($H479="REPLY",$D479&lt;&gt;"QUOTE",$D479&lt;&gt;"CALLBACK"),"문의에 대한 답장이 아님: EXPRESS 또는 INQUIRY 동의 필요","OK: 이름·주소·연락처·수신거부 문구 넣기")))),"")))</f>
      </c>
      <c r="N479" s="40">
        <f>IF($H479="INQUIRY",IFERROR(EDATE(INDEX('견적 Quotes'!$B$3:$B$1002,MATCH($C479,'견적 Quotes'!$A$3:$A$1002,0)),'설정 Settings'!$C$20),""),"")</f>
      </c>
    </row>
    <row r="480" spans="12:14" x14ac:dyDescent="0.25">
      <c r="L480" s="42">
        <f>IF($A480="","",IF($G480="Y","완료 DONE",IF($F480="","날짜 없음",IF($F480&lt;'설정 Settings'!$C$15,"지남 OVERDUE",IF($F480='설정 Settings'!$C$15,"오늘 TODAY","예정 OPEN")))))</f>
      </c>
      <c r="M480" s="42">
        <f>IF($A480="","",IF($I480="Y","수신거부: 문자·이메일 보내지 않기",IF(OR($E480="SMS",$E480="EMAIL"),IF(OR($H480="",$H480="NONE"),"동의 근거 없음: 전화·방문만",IF($H480="INQUIRY",IF(N($N480)=0,"견적 요청일을 못 찾음: 관련 ID에 견적 ID(Q-…)를 넣었는지 확인",IF('설정 Settings'!$C$15&gt;N($N480),"문의 후 6개월 지남: 다른 동의 근거 필요","OK: 이름·주소·연락처·수신거부 문구 넣기")),IF($H480="REFERRAL","소개 후 첫 메시지만 OK: 소개자 이름 + 이름·주소·연락처·수신거부 문구. 두 번째부터는 다른 동의 근거 필요",IF(AND($H480="REPLY",$D480&lt;&gt;"QUOTE",$D480&lt;&gt;"CALLBACK"),"문의에 대한 답장이 아님: EXPRESS 또는 INQUIRY 동의 필요","OK: 이름·주소·연락처·수신거부 문구 넣기")))),"")))</f>
      </c>
      <c r="N480" s="40">
        <f>IF($H480="INQUIRY",IFERROR(EDATE(INDEX('견적 Quotes'!$B$3:$B$1002,MATCH($C480,'견적 Quotes'!$A$3:$A$1002,0)),'설정 Settings'!$C$20),""),"")</f>
      </c>
    </row>
    <row r="481" spans="12:14" x14ac:dyDescent="0.25">
      <c r="L481" s="42">
        <f>IF($A481="","",IF($G481="Y","완료 DONE",IF($F481="","날짜 없음",IF($F481&lt;'설정 Settings'!$C$15,"지남 OVERDUE",IF($F481='설정 Settings'!$C$15,"오늘 TODAY","예정 OPEN")))))</f>
      </c>
      <c r="M481" s="42">
        <f>IF($A481="","",IF($I481="Y","수신거부: 문자·이메일 보내지 않기",IF(OR($E481="SMS",$E481="EMAIL"),IF(OR($H481="",$H481="NONE"),"동의 근거 없음: 전화·방문만",IF($H481="INQUIRY",IF(N($N481)=0,"견적 요청일을 못 찾음: 관련 ID에 견적 ID(Q-…)를 넣었는지 확인",IF('설정 Settings'!$C$15&gt;N($N481),"문의 후 6개월 지남: 다른 동의 근거 필요","OK: 이름·주소·연락처·수신거부 문구 넣기")),IF($H481="REFERRAL","소개 후 첫 메시지만 OK: 소개자 이름 + 이름·주소·연락처·수신거부 문구. 두 번째부터는 다른 동의 근거 필요",IF(AND($H481="REPLY",$D481&lt;&gt;"QUOTE",$D481&lt;&gt;"CALLBACK"),"문의에 대한 답장이 아님: EXPRESS 또는 INQUIRY 동의 필요","OK: 이름·주소·연락처·수신거부 문구 넣기")))),"")))</f>
      </c>
      <c r="N481" s="40">
        <f>IF($H481="INQUIRY",IFERROR(EDATE(INDEX('견적 Quotes'!$B$3:$B$1002,MATCH($C481,'견적 Quotes'!$A$3:$A$1002,0)),'설정 Settings'!$C$20),""),"")</f>
      </c>
    </row>
    <row r="482" spans="12:14" x14ac:dyDescent="0.25">
      <c r="L482" s="42">
        <f>IF($A482="","",IF($G482="Y","완료 DONE",IF($F482="","날짜 없음",IF($F482&lt;'설정 Settings'!$C$15,"지남 OVERDUE",IF($F482='설정 Settings'!$C$15,"오늘 TODAY","예정 OPEN")))))</f>
      </c>
      <c r="M482" s="42">
        <f>IF($A482="","",IF($I482="Y","수신거부: 문자·이메일 보내지 않기",IF(OR($E482="SMS",$E482="EMAIL"),IF(OR($H482="",$H482="NONE"),"동의 근거 없음: 전화·방문만",IF($H482="INQUIRY",IF(N($N482)=0,"견적 요청일을 못 찾음: 관련 ID에 견적 ID(Q-…)를 넣었는지 확인",IF('설정 Settings'!$C$15&gt;N($N482),"문의 후 6개월 지남: 다른 동의 근거 필요","OK: 이름·주소·연락처·수신거부 문구 넣기")),IF($H482="REFERRAL","소개 후 첫 메시지만 OK: 소개자 이름 + 이름·주소·연락처·수신거부 문구. 두 번째부터는 다른 동의 근거 필요",IF(AND($H482="REPLY",$D482&lt;&gt;"QUOTE",$D482&lt;&gt;"CALLBACK"),"문의에 대한 답장이 아님: EXPRESS 또는 INQUIRY 동의 필요","OK: 이름·주소·연락처·수신거부 문구 넣기")))),"")))</f>
      </c>
      <c r="N482" s="40">
        <f>IF($H482="INQUIRY",IFERROR(EDATE(INDEX('견적 Quotes'!$B$3:$B$1002,MATCH($C482,'견적 Quotes'!$A$3:$A$1002,0)),'설정 Settings'!$C$20),""),"")</f>
      </c>
    </row>
    <row r="483" spans="12:14" x14ac:dyDescent="0.25">
      <c r="L483" s="42">
        <f>IF($A483="","",IF($G483="Y","완료 DONE",IF($F483="","날짜 없음",IF($F483&lt;'설정 Settings'!$C$15,"지남 OVERDUE",IF($F483='설정 Settings'!$C$15,"오늘 TODAY","예정 OPEN")))))</f>
      </c>
      <c r="M483" s="42">
        <f>IF($A483="","",IF($I483="Y","수신거부: 문자·이메일 보내지 않기",IF(OR($E483="SMS",$E483="EMAIL"),IF(OR($H483="",$H483="NONE"),"동의 근거 없음: 전화·방문만",IF($H483="INQUIRY",IF(N($N483)=0,"견적 요청일을 못 찾음: 관련 ID에 견적 ID(Q-…)를 넣었는지 확인",IF('설정 Settings'!$C$15&gt;N($N483),"문의 후 6개월 지남: 다른 동의 근거 필요","OK: 이름·주소·연락처·수신거부 문구 넣기")),IF($H483="REFERRAL","소개 후 첫 메시지만 OK: 소개자 이름 + 이름·주소·연락처·수신거부 문구. 두 번째부터는 다른 동의 근거 필요",IF(AND($H483="REPLY",$D483&lt;&gt;"QUOTE",$D483&lt;&gt;"CALLBACK"),"문의에 대한 답장이 아님: EXPRESS 또는 INQUIRY 동의 필요","OK: 이름·주소·연락처·수신거부 문구 넣기")))),"")))</f>
      </c>
      <c r="N483" s="40">
        <f>IF($H483="INQUIRY",IFERROR(EDATE(INDEX('견적 Quotes'!$B$3:$B$1002,MATCH($C483,'견적 Quotes'!$A$3:$A$1002,0)),'설정 Settings'!$C$20),""),"")</f>
      </c>
    </row>
    <row r="484" spans="12:14" x14ac:dyDescent="0.25">
      <c r="L484" s="42">
        <f>IF($A484="","",IF($G484="Y","완료 DONE",IF($F484="","날짜 없음",IF($F484&lt;'설정 Settings'!$C$15,"지남 OVERDUE",IF($F484='설정 Settings'!$C$15,"오늘 TODAY","예정 OPEN")))))</f>
      </c>
      <c r="M484" s="42">
        <f>IF($A484="","",IF($I484="Y","수신거부: 문자·이메일 보내지 않기",IF(OR($E484="SMS",$E484="EMAIL"),IF(OR($H484="",$H484="NONE"),"동의 근거 없음: 전화·방문만",IF($H484="INQUIRY",IF(N($N484)=0,"견적 요청일을 못 찾음: 관련 ID에 견적 ID(Q-…)를 넣었는지 확인",IF('설정 Settings'!$C$15&gt;N($N484),"문의 후 6개월 지남: 다른 동의 근거 필요","OK: 이름·주소·연락처·수신거부 문구 넣기")),IF($H484="REFERRAL","소개 후 첫 메시지만 OK: 소개자 이름 + 이름·주소·연락처·수신거부 문구. 두 번째부터는 다른 동의 근거 필요",IF(AND($H484="REPLY",$D484&lt;&gt;"QUOTE",$D484&lt;&gt;"CALLBACK"),"문의에 대한 답장이 아님: EXPRESS 또는 INQUIRY 동의 필요","OK: 이름·주소·연락처·수신거부 문구 넣기")))),"")))</f>
      </c>
      <c r="N484" s="40">
        <f>IF($H484="INQUIRY",IFERROR(EDATE(INDEX('견적 Quotes'!$B$3:$B$1002,MATCH($C484,'견적 Quotes'!$A$3:$A$1002,0)),'설정 Settings'!$C$20),""),"")</f>
      </c>
    </row>
    <row r="485" spans="12:14" x14ac:dyDescent="0.25">
      <c r="L485" s="42">
        <f>IF($A485="","",IF($G485="Y","완료 DONE",IF($F485="","날짜 없음",IF($F485&lt;'설정 Settings'!$C$15,"지남 OVERDUE",IF($F485='설정 Settings'!$C$15,"오늘 TODAY","예정 OPEN")))))</f>
      </c>
      <c r="M485" s="42">
        <f>IF($A485="","",IF($I485="Y","수신거부: 문자·이메일 보내지 않기",IF(OR($E485="SMS",$E485="EMAIL"),IF(OR($H485="",$H485="NONE"),"동의 근거 없음: 전화·방문만",IF($H485="INQUIRY",IF(N($N485)=0,"견적 요청일을 못 찾음: 관련 ID에 견적 ID(Q-…)를 넣었는지 확인",IF('설정 Settings'!$C$15&gt;N($N485),"문의 후 6개월 지남: 다른 동의 근거 필요","OK: 이름·주소·연락처·수신거부 문구 넣기")),IF($H485="REFERRAL","소개 후 첫 메시지만 OK: 소개자 이름 + 이름·주소·연락처·수신거부 문구. 두 번째부터는 다른 동의 근거 필요",IF(AND($H485="REPLY",$D485&lt;&gt;"QUOTE",$D485&lt;&gt;"CALLBACK"),"문의에 대한 답장이 아님: EXPRESS 또는 INQUIRY 동의 필요","OK: 이름·주소·연락처·수신거부 문구 넣기")))),"")))</f>
      </c>
      <c r="N485" s="40">
        <f>IF($H485="INQUIRY",IFERROR(EDATE(INDEX('견적 Quotes'!$B$3:$B$1002,MATCH($C485,'견적 Quotes'!$A$3:$A$1002,0)),'설정 Settings'!$C$20),""),"")</f>
      </c>
    </row>
    <row r="486" spans="12:14" x14ac:dyDescent="0.25">
      <c r="L486" s="42">
        <f>IF($A486="","",IF($G486="Y","완료 DONE",IF($F486="","날짜 없음",IF($F486&lt;'설정 Settings'!$C$15,"지남 OVERDUE",IF($F486='설정 Settings'!$C$15,"오늘 TODAY","예정 OPEN")))))</f>
      </c>
      <c r="M486" s="42">
        <f>IF($A486="","",IF($I486="Y","수신거부: 문자·이메일 보내지 않기",IF(OR($E486="SMS",$E486="EMAIL"),IF(OR($H486="",$H486="NONE"),"동의 근거 없음: 전화·방문만",IF($H486="INQUIRY",IF(N($N486)=0,"견적 요청일을 못 찾음: 관련 ID에 견적 ID(Q-…)를 넣었는지 확인",IF('설정 Settings'!$C$15&gt;N($N486),"문의 후 6개월 지남: 다른 동의 근거 필요","OK: 이름·주소·연락처·수신거부 문구 넣기")),IF($H486="REFERRAL","소개 후 첫 메시지만 OK: 소개자 이름 + 이름·주소·연락처·수신거부 문구. 두 번째부터는 다른 동의 근거 필요",IF(AND($H486="REPLY",$D486&lt;&gt;"QUOTE",$D486&lt;&gt;"CALLBACK"),"문의에 대한 답장이 아님: EXPRESS 또는 INQUIRY 동의 필요","OK: 이름·주소·연락처·수신거부 문구 넣기")))),"")))</f>
      </c>
      <c r="N486" s="40">
        <f>IF($H486="INQUIRY",IFERROR(EDATE(INDEX('견적 Quotes'!$B$3:$B$1002,MATCH($C486,'견적 Quotes'!$A$3:$A$1002,0)),'설정 Settings'!$C$20),""),"")</f>
      </c>
    </row>
    <row r="487" spans="12:14" x14ac:dyDescent="0.25">
      <c r="L487" s="42">
        <f>IF($A487="","",IF($G487="Y","완료 DONE",IF($F487="","날짜 없음",IF($F487&lt;'설정 Settings'!$C$15,"지남 OVERDUE",IF($F487='설정 Settings'!$C$15,"오늘 TODAY","예정 OPEN")))))</f>
      </c>
      <c r="M487" s="42">
        <f>IF($A487="","",IF($I487="Y","수신거부: 문자·이메일 보내지 않기",IF(OR($E487="SMS",$E487="EMAIL"),IF(OR($H487="",$H487="NONE"),"동의 근거 없음: 전화·방문만",IF($H487="INQUIRY",IF(N($N487)=0,"견적 요청일을 못 찾음: 관련 ID에 견적 ID(Q-…)를 넣었는지 확인",IF('설정 Settings'!$C$15&gt;N($N487),"문의 후 6개월 지남: 다른 동의 근거 필요","OK: 이름·주소·연락처·수신거부 문구 넣기")),IF($H487="REFERRAL","소개 후 첫 메시지만 OK: 소개자 이름 + 이름·주소·연락처·수신거부 문구. 두 번째부터는 다른 동의 근거 필요",IF(AND($H487="REPLY",$D487&lt;&gt;"QUOTE",$D487&lt;&gt;"CALLBACK"),"문의에 대한 답장이 아님: EXPRESS 또는 INQUIRY 동의 필요","OK: 이름·주소·연락처·수신거부 문구 넣기")))),"")))</f>
      </c>
      <c r="N487" s="40">
        <f>IF($H487="INQUIRY",IFERROR(EDATE(INDEX('견적 Quotes'!$B$3:$B$1002,MATCH($C487,'견적 Quotes'!$A$3:$A$1002,0)),'설정 Settings'!$C$20),""),"")</f>
      </c>
    </row>
    <row r="488" spans="12:14" x14ac:dyDescent="0.25">
      <c r="L488" s="42">
        <f>IF($A488="","",IF($G488="Y","완료 DONE",IF($F488="","날짜 없음",IF($F488&lt;'설정 Settings'!$C$15,"지남 OVERDUE",IF($F488='설정 Settings'!$C$15,"오늘 TODAY","예정 OPEN")))))</f>
      </c>
      <c r="M488" s="42">
        <f>IF($A488="","",IF($I488="Y","수신거부: 문자·이메일 보내지 않기",IF(OR($E488="SMS",$E488="EMAIL"),IF(OR($H488="",$H488="NONE"),"동의 근거 없음: 전화·방문만",IF($H488="INQUIRY",IF(N($N488)=0,"견적 요청일을 못 찾음: 관련 ID에 견적 ID(Q-…)를 넣었는지 확인",IF('설정 Settings'!$C$15&gt;N($N488),"문의 후 6개월 지남: 다른 동의 근거 필요","OK: 이름·주소·연락처·수신거부 문구 넣기")),IF($H488="REFERRAL","소개 후 첫 메시지만 OK: 소개자 이름 + 이름·주소·연락처·수신거부 문구. 두 번째부터는 다른 동의 근거 필요",IF(AND($H488="REPLY",$D488&lt;&gt;"QUOTE",$D488&lt;&gt;"CALLBACK"),"문의에 대한 답장이 아님: EXPRESS 또는 INQUIRY 동의 필요","OK: 이름·주소·연락처·수신거부 문구 넣기")))),"")))</f>
      </c>
      <c r="N488" s="40">
        <f>IF($H488="INQUIRY",IFERROR(EDATE(INDEX('견적 Quotes'!$B$3:$B$1002,MATCH($C488,'견적 Quotes'!$A$3:$A$1002,0)),'설정 Settings'!$C$20),""),"")</f>
      </c>
    </row>
    <row r="489" spans="12:14" x14ac:dyDescent="0.25">
      <c r="L489" s="42">
        <f>IF($A489="","",IF($G489="Y","완료 DONE",IF($F489="","날짜 없음",IF($F489&lt;'설정 Settings'!$C$15,"지남 OVERDUE",IF($F489='설정 Settings'!$C$15,"오늘 TODAY","예정 OPEN")))))</f>
      </c>
      <c r="M489" s="42">
        <f>IF($A489="","",IF($I489="Y","수신거부: 문자·이메일 보내지 않기",IF(OR($E489="SMS",$E489="EMAIL"),IF(OR($H489="",$H489="NONE"),"동의 근거 없음: 전화·방문만",IF($H489="INQUIRY",IF(N($N489)=0,"견적 요청일을 못 찾음: 관련 ID에 견적 ID(Q-…)를 넣었는지 확인",IF('설정 Settings'!$C$15&gt;N($N489),"문의 후 6개월 지남: 다른 동의 근거 필요","OK: 이름·주소·연락처·수신거부 문구 넣기")),IF($H489="REFERRAL","소개 후 첫 메시지만 OK: 소개자 이름 + 이름·주소·연락처·수신거부 문구. 두 번째부터는 다른 동의 근거 필요",IF(AND($H489="REPLY",$D489&lt;&gt;"QUOTE",$D489&lt;&gt;"CALLBACK"),"문의에 대한 답장이 아님: EXPRESS 또는 INQUIRY 동의 필요","OK: 이름·주소·연락처·수신거부 문구 넣기")))),"")))</f>
      </c>
      <c r="N489" s="40">
        <f>IF($H489="INQUIRY",IFERROR(EDATE(INDEX('견적 Quotes'!$B$3:$B$1002,MATCH($C489,'견적 Quotes'!$A$3:$A$1002,0)),'설정 Settings'!$C$20),""),"")</f>
      </c>
    </row>
    <row r="490" spans="12:14" x14ac:dyDescent="0.25">
      <c r="L490" s="42">
        <f>IF($A490="","",IF($G490="Y","완료 DONE",IF($F490="","날짜 없음",IF($F490&lt;'설정 Settings'!$C$15,"지남 OVERDUE",IF($F490='설정 Settings'!$C$15,"오늘 TODAY","예정 OPEN")))))</f>
      </c>
      <c r="M490" s="42">
        <f>IF($A490="","",IF($I490="Y","수신거부: 문자·이메일 보내지 않기",IF(OR($E490="SMS",$E490="EMAIL"),IF(OR($H490="",$H490="NONE"),"동의 근거 없음: 전화·방문만",IF($H490="INQUIRY",IF(N($N490)=0,"견적 요청일을 못 찾음: 관련 ID에 견적 ID(Q-…)를 넣었는지 확인",IF('설정 Settings'!$C$15&gt;N($N490),"문의 후 6개월 지남: 다른 동의 근거 필요","OK: 이름·주소·연락처·수신거부 문구 넣기")),IF($H490="REFERRAL","소개 후 첫 메시지만 OK: 소개자 이름 + 이름·주소·연락처·수신거부 문구. 두 번째부터는 다른 동의 근거 필요",IF(AND($H490="REPLY",$D490&lt;&gt;"QUOTE",$D490&lt;&gt;"CALLBACK"),"문의에 대한 답장이 아님: EXPRESS 또는 INQUIRY 동의 필요","OK: 이름·주소·연락처·수신거부 문구 넣기")))),"")))</f>
      </c>
      <c r="N490" s="40">
        <f>IF($H490="INQUIRY",IFERROR(EDATE(INDEX('견적 Quotes'!$B$3:$B$1002,MATCH($C490,'견적 Quotes'!$A$3:$A$1002,0)),'설정 Settings'!$C$20),""),"")</f>
      </c>
    </row>
    <row r="491" spans="12:14" x14ac:dyDescent="0.25">
      <c r="L491" s="42">
        <f>IF($A491="","",IF($G491="Y","완료 DONE",IF($F491="","날짜 없음",IF($F491&lt;'설정 Settings'!$C$15,"지남 OVERDUE",IF($F491='설정 Settings'!$C$15,"오늘 TODAY","예정 OPEN")))))</f>
      </c>
      <c r="M491" s="42">
        <f>IF($A491="","",IF($I491="Y","수신거부: 문자·이메일 보내지 않기",IF(OR($E491="SMS",$E491="EMAIL"),IF(OR($H491="",$H491="NONE"),"동의 근거 없음: 전화·방문만",IF($H491="INQUIRY",IF(N($N491)=0,"견적 요청일을 못 찾음: 관련 ID에 견적 ID(Q-…)를 넣었는지 확인",IF('설정 Settings'!$C$15&gt;N($N491),"문의 후 6개월 지남: 다른 동의 근거 필요","OK: 이름·주소·연락처·수신거부 문구 넣기")),IF($H491="REFERRAL","소개 후 첫 메시지만 OK: 소개자 이름 + 이름·주소·연락처·수신거부 문구. 두 번째부터는 다른 동의 근거 필요",IF(AND($H491="REPLY",$D491&lt;&gt;"QUOTE",$D491&lt;&gt;"CALLBACK"),"문의에 대한 답장이 아님: EXPRESS 또는 INQUIRY 동의 필요","OK: 이름·주소·연락처·수신거부 문구 넣기")))),"")))</f>
      </c>
      <c r="N491" s="40">
        <f>IF($H491="INQUIRY",IFERROR(EDATE(INDEX('견적 Quotes'!$B$3:$B$1002,MATCH($C491,'견적 Quotes'!$A$3:$A$1002,0)),'설정 Settings'!$C$20),""),"")</f>
      </c>
    </row>
    <row r="492" spans="12:14" x14ac:dyDescent="0.25">
      <c r="L492" s="42">
        <f>IF($A492="","",IF($G492="Y","완료 DONE",IF($F492="","날짜 없음",IF($F492&lt;'설정 Settings'!$C$15,"지남 OVERDUE",IF($F492='설정 Settings'!$C$15,"오늘 TODAY","예정 OPEN")))))</f>
      </c>
      <c r="M492" s="42">
        <f>IF($A492="","",IF($I492="Y","수신거부: 문자·이메일 보내지 않기",IF(OR($E492="SMS",$E492="EMAIL"),IF(OR($H492="",$H492="NONE"),"동의 근거 없음: 전화·방문만",IF($H492="INQUIRY",IF(N($N492)=0,"견적 요청일을 못 찾음: 관련 ID에 견적 ID(Q-…)를 넣었는지 확인",IF('설정 Settings'!$C$15&gt;N($N492),"문의 후 6개월 지남: 다른 동의 근거 필요","OK: 이름·주소·연락처·수신거부 문구 넣기")),IF($H492="REFERRAL","소개 후 첫 메시지만 OK: 소개자 이름 + 이름·주소·연락처·수신거부 문구. 두 번째부터는 다른 동의 근거 필요",IF(AND($H492="REPLY",$D492&lt;&gt;"QUOTE",$D492&lt;&gt;"CALLBACK"),"문의에 대한 답장이 아님: EXPRESS 또는 INQUIRY 동의 필요","OK: 이름·주소·연락처·수신거부 문구 넣기")))),"")))</f>
      </c>
      <c r="N492" s="40">
        <f>IF($H492="INQUIRY",IFERROR(EDATE(INDEX('견적 Quotes'!$B$3:$B$1002,MATCH($C492,'견적 Quotes'!$A$3:$A$1002,0)),'설정 Settings'!$C$20),""),"")</f>
      </c>
    </row>
    <row r="493" spans="12:14" x14ac:dyDescent="0.25">
      <c r="L493" s="42">
        <f>IF($A493="","",IF($G493="Y","완료 DONE",IF($F493="","날짜 없음",IF($F493&lt;'설정 Settings'!$C$15,"지남 OVERDUE",IF($F493='설정 Settings'!$C$15,"오늘 TODAY","예정 OPEN")))))</f>
      </c>
      <c r="M493" s="42">
        <f>IF($A493="","",IF($I493="Y","수신거부: 문자·이메일 보내지 않기",IF(OR($E493="SMS",$E493="EMAIL"),IF(OR($H493="",$H493="NONE"),"동의 근거 없음: 전화·방문만",IF($H493="INQUIRY",IF(N($N493)=0,"견적 요청일을 못 찾음: 관련 ID에 견적 ID(Q-…)를 넣었는지 확인",IF('설정 Settings'!$C$15&gt;N($N493),"문의 후 6개월 지남: 다른 동의 근거 필요","OK: 이름·주소·연락처·수신거부 문구 넣기")),IF($H493="REFERRAL","소개 후 첫 메시지만 OK: 소개자 이름 + 이름·주소·연락처·수신거부 문구. 두 번째부터는 다른 동의 근거 필요",IF(AND($H493="REPLY",$D493&lt;&gt;"QUOTE",$D493&lt;&gt;"CALLBACK"),"문의에 대한 답장이 아님: EXPRESS 또는 INQUIRY 동의 필요","OK: 이름·주소·연락처·수신거부 문구 넣기")))),"")))</f>
      </c>
      <c r="N493" s="40">
        <f>IF($H493="INQUIRY",IFERROR(EDATE(INDEX('견적 Quotes'!$B$3:$B$1002,MATCH($C493,'견적 Quotes'!$A$3:$A$1002,0)),'설정 Settings'!$C$20),""),"")</f>
      </c>
    </row>
    <row r="494" spans="12:14" x14ac:dyDescent="0.25">
      <c r="L494" s="42">
        <f>IF($A494="","",IF($G494="Y","완료 DONE",IF($F494="","날짜 없음",IF($F494&lt;'설정 Settings'!$C$15,"지남 OVERDUE",IF($F494='설정 Settings'!$C$15,"오늘 TODAY","예정 OPEN")))))</f>
      </c>
      <c r="M494" s="42">
        <f>IF($A494="","",IF($I494="Y","수신거부: 문자·이메일 보내지 않기",IF(OR($E494="SMS",$E494="EMAIL"),IF(OR($H494="",$H494="NONE"),"동의 근거 없음: 전화·방문만",IF($H494="INQUIRY",IF(N($N494)=0,"견적 요청일을 못 찾음: 관련 ID에 견적 ID(Q-…)를 넣었는지 확인",IF('설정 Settings'!$C$15&gt;N($N494),"문의 후 6개월 지남: 다른 동의 근거 필요","OK: 이름·주소·연락처·수신거부 문구 넣기")),IF($H494="REFERRAL","소개 후 첫 메시지만 OK: 소개자 이름 + 이름·주소·연락처·수신거부 문구. 두 번째부터는 다른 동의 근거 필요",IF(AND($H494="REPLY",$D494&lt;&gt;"QUOTE",$D494&lt;&gt;"CALLBACK"),"문의에 대한 답장이 아님: EXPRESS 또는 INQUIRY 동의 필요","OK: 이름·주소·연락처·수신거부 문구 넣기")))),"")))</f>
      </c>
      <c r="N494" s="40">
        <f>IF($H494="INQUIRY",IFERROR(EDATE(INDEX('견적 Quotes'!$B$3:$B$1002,MATCH($C494,'견적 Quotes'!$A$3:$A$1002,0)),'설정 Settings'!$C$20),""),"")</f>
      </c>
    </row>
    <row r="495" spans="12:14" x14ac:dyDescent="0.25">
      <c r="L495" s="42">
        <f>IF($A495="","",IF($G495="Y","완료 DONE",IF($F495="","날짜 없음",IF($F495&lt;'설정 Settings'!$C$15,"지남 OVERDUE",IF($F495='설정 Settings'!$C$15,"오늘 TODAY","예정 OPEN")))))</f>
      </c>
      <c r="M495" s="42">
        <f>IF($A495="","",IF($I495="Y","수신거부: 문자·이메일 보내지 않기",IF(OR($E495="SMS",$E495="EMAIL"),IF(OR($H495="",$H495="NONE"),"동의 근거 없음: 전화·방문만",IF($H495="INQUIRY",IF(N($N495)=0,"견적 요청일을 못 찾음: 관련 ID에 견적 ID(Q-…)를 넣었는지 확인",IF('설정 Settings'!$C$15&gt;N($N495),"문의 후 6개월 지남: 다른 동의 근거 필요","OK: 이름·주소·연락처·수신거부 문구 넣기")),IF($H495="REFERRAL","소개 후 첫 메시지만 OK: 소개자 이름 + 이름·주소·연락처·수신거부 문구. 두 번째부터는 다른 동의 근거 필요",IF(AND($H495="REPLY",$D495&lt;&gt;"QUOTE",$D495&lt;&gt;"CALLBACK"),"문의에 대한 답장이 아님: EXPRESS 또는 INQUIRY 동의 필요","OK: 이름·주소·연락처·수신거부 문구 넣기")))),"")))</f>
      </c>
      <c r="N495" s="40">
        <f>IF($H495="INQUIRY",IFERROR(EDATE(INDEX('견적 Quotes'!$B$3:$B$1002,MATCH($C495,'견적 Quotes'!$A$3:$A$1002,0)),'설정 Settings'!$C$20),""),"")</f>
      </c>
    </row>
    <row r="496" spans="12:14" x14ac:dyDescent="0.25">
      <c r="L496" s="42">
        <f>IF($A496="","",IF($G496="Y","완료 DONE",IF($F496="","날짜 없음",IF($F496&lt;'설정 Settings'!$C$15,"지남 OVERDUE",IF($F496='설정 Settings'!$C$15,"오늘 TODAY","예정 OPEN")))))</f>
      </c>
      <c r="M496" s="42">
        <f>IF($A496="","",IF($I496="Y","수신거부: 문자·이메일 보내지 않기",IF(OR($E496="SMS",$E496="EMAIL"),IF(OR($H496="",$H496="NONE"),"동의 근거 없음: 전화·방문만",IF($H496="INQUIRY",IF(N($N496)=0,"견적 요청일을 못 찾음: 관련 ID에 견적 ID(Q-…)를 넣었는지 확인",IF('설정 Settings'!$C$15&gt;N($N496),"문의 후 6개월 지남: 다른 동의 근거 필요","OK: 이름·주소·연락처·수신거부 문구 넣기")),IF($H496="REFERRAL","소개 후 첫 메시지만 OK: 소개자 이름 + 이름·주소·연락처·수신거부 문구. 두 번째부터는 다른 동의 근거 필요",IF(AND($H496="REPLY",$D496&lt;&gt;"QUOTE",$D496&lt;&gt;"CALLBACK"),"문의에 대한 답장이 아님: EXPRESS 또는 INQUIRY 동의 필요","OK: 이름·주소·연락처·수신거부 문구 넣기")))),"")))</f>
      </c>
      <c r="N496" s="40">
        <f>IF($H496="INQUIRY",IFERROR(EDATE(INDEX('견적 Quotes'!$B$3:$B$1002,MATCH($C496,'견적 Quotes'!$A$3:$A$1002,0)),'설정 Settings'!$C$20),""),"")</f>
      </c>
    </row>
    <row r="497" spans="12:14" x14ac:dyDescent="0.25">
      <c r="L497" s="42">
        <f>IF($A497="","",IF($G497="Y","완료 DONE",IF($F497="","날짜 없음",IF($F497&lt;'설정 Settings'!$C$15,"지남 OVERDUE",IF($F497='설정 Settings'!$C$15,"오늘 TODAY","예정 OPEN")))))</f>
      </c>
      <c r="M497" s="42">
        <f>IF($A497="","",IF($I497="Y","수신거부: 문자·이메일 보내지 않기",IF(OR($E497="SMS",$E497="EMAIL"),IF(OR($H497="",$H497="NONE"),"동의 근거 없음: 전화·방문만",IF($H497="INQUIRY",IF(N($N497)=0,"견적 요청일을 못 찾음: 관련 ID에 견적 ID(Q-…)를 넣었는지 확인",IF('설정 Settings'!$C$15&gt;N($N497),"문의 후 6개월 지남: 다른 동의 근거 필요","OK: 이름·주소·연락처·수신거부 문구 넣기")),IF($H497="REFERRAL","소개 후 첫 메시지만 OK: 소개자 이름 + 이름·주소·연락처·수신거부 문구. 두 번째부터는 다른 동의 근거 필요",IF(AND($H497="REPLY",$D497&lt;&gt;"QUOTE",$D497&lt;&gt;"CALLBACK"),"문의에 대한 답장이 아님: EXPRESS 또는 INQUIRY 동의 필요","OK: 이름·주소·연락처·수신거부 문구 넣기")))),"")))</f>
      </c>
      <c r="N497" s="40">
        <f>IF($H497="INQUIRY",IFERROR(EDATE(INDEX('견적 Quotes'!$B$3:$B$1002,MATCH($C497,'견적 Quotes'!$A$3:$A$1002,0)),'설정 Settings'!$C$20),""),"")</f>
      </c>
    </row>
    <row r="498" spans="12:14" x14ac:dyDescent="0.25">
      <c r="L498" s="42">
        <f>IF($A498="","",IF($G498="Y","완료 DONE",IF($F498="","날짜 없음",IF($F498&lt;'설정 Settings'!$C$15,"지남 OVERDUE",IF($F498='설정 Settings'!$C$15,"오늘 TODAY","예정 OPEN")))))</f>
      </c>
      <c r="M498" s="42">
        <f>IF($A498="","",IF($I498="Y","수신거부: 문자·이메일 보내지 않기",IF(OR($E498="SMS",$E498="EMAIL"),IF(OR($H498="",$H498="NONE"),"동의 근거 없음: 전화·방문만",IF($H498="INQUIRY",IF(N($N498)=0,"견적 요청일을 못 찾음: 관련 ID에 견적 ID(Q-…)를 넣었는지 확인",IF('설정 Settings'!$C$15&gt;N($N498),"문의 후 6개월 지남: 다른 동의 근거 필요","OK: 이름·주소·연락처·수신거부 문구 넣기")),IF($H498="REFERRAL","소개 후 첫 메시지만 OK: 소개자 이름 + 이름·주소·연락처·수신거부 문구. 두 번째부터는 다른 동의 근거 필요",IF(AND($H498="REPLY",$D498&lt;&gt;"QUOTE",$D498&lt;&gt;"CALLBACK"),"문의에 대한 답장이 아님: EXPRESS 또는 INQUIRY 동의 필요","OK: 이름·주소·연락처·수신거부 문구 넣기")))),"")))</f>
      </c>
      <c r="N498" s="40">
        <f>IF($H498="INQUIRY",IFERROR(EDATE(INDEX('견적 Quotes'!$B$3:$B$1002,MATCH($C498,'견적 Quotes'!$A$3:$A$1002,0)),'설정 Settings'!$C$20),""),"")</f>
      </c>
    </row>
    <row r="499" spans="12:14" x14ac:dyDescent="0.25">
      <c r="L499" s="42">
        <f>IF($A499="","",IF($G499="Y","완료 DONE",IF($F499="","날짜 없음",IF($F499&lt;'설정 Settings'!$C$15,"지남 OVERDUE",IF($F499='설정 Settings'!$C$15,"오늘 TODAY","예정 OPEN")))))</f>
      </c>
      <c r="M499" s="42">
        <f>IF($A499="","",IF($I499="Y","수신거부: 문자·이메일 보내지 않기",IF(OR($E499="SMS",$E499="EMAIL"),IF(OR($H499="",$H499="NONE"),"동의 근거 없음: 전화·방문만",IF($H499="INQUIRY",IF(N($N499)=0,"견적 요청일을 못 찾음: 관련 ID에 견적 ID(Q-…)를 넣었는지 확인",IF('설정 Settings'!$C$15&gt;N($N499),"문의 후 6개월 지남: 다른 동의 근거 필요","OK: 이름·주소·연락처·수신거부 문구 넣기")),IF($H499="REFERRAL","소개 후 첫 메시지만 OK: 소개자 이름 + 이름·주소·연락처·수신거부 문구. 두 번째부터는 다른 동의 근거 필요",IF(AND($H499="REPLY",$D499&lt;&gt;"QUOTE",$D499&lt;&gt;"CALLBACK"),"문의에 대한 답장이 아님: EXPRESS 또는 INQUIRY 동의 필요","OK: 이름·주소·연락처·수신거부 문구 넣기")))),"")))</f>
      </c>
      <c r="N499" s="40">
        <f>IF($H499="INQUIRY",IFERROR(EDATE(INDEX('견적 Quotes'!$B$3:$B$1002,MATCH($C499,'견적 Quotes'!$A$3:$A$1002,0)),'설정 Settings'!$C$20),""),"")</f>
      </c>
    </row>
    <row r="500" spans="12:14" x14ac:dyDescent="0.25">
      <c r="L500" s="42">
        <f>IF($A500="","",IF($G500="Y","완료 DONE",IF($F500="","날짜 없음",IF($F500&lt;'설정 Settings'!$C$15,"지남 OVERDUE",IF($F500='설정 Settings'!$C$15,"오늘 TODAY","예정 OPEN")))))</f>
      </c>
      <c r="M500" s="42">
        <f>IF($A500="","",IF($I500="Y","수신거부: 문자·이메일 보내지 않기",IF(OR($E500="SMS",$E500="EMAIL"),IF(OR($H500="",$H500="NONE"),"동의 근거 없음: 전화·방문만",IF($H500="INQUIRY",IF(N($N500)=0,"견적 요청일을 못 찾음: 관련 ID에 견적 ID(Q-…)를 넣었는지 확인",IF('설정 Settings'!$C$15&gt;N($N500),"문의 후 6개월 지남: 다른 동의 근거 필요","OK: 이름·주소·연락처·수신거부 문구 넣기")),IF($H500="REFERRAL","소개 후 첫 메시지만 OK: 소개자 이름 + 이름·주소·연락처·수신거부 문구. 두 번째부터는 다른 동의 근거 필요",IF(AND($H500="REPLY",$D500&lt;&gt;"QUOTE",$D500&lt;&gt;"CALLBACK"),"문의에 대한 답장이 아님: EXPRESS 또는 INQUIRY 동의 필요","OK: 이름·주소·연락처·수신거부 문구 넣기")))),"")))</f>
      </c>
      <c r="N500" s="40">
        <f>IF($H500="INQUIRY",IFERROR(EDATE(INDEX('견적 Quotes'!$B$3:$B$1002,MATCH($C500,'견적 Quotes'!$A$3:$A$1002,0)),'설정 Settings'!$C$20),""),"")</f>
      </c>
    </row>
    <row r="501" spans="12:14" x14ac:dyDescent="0.25">
      <c r="L501" s="42">
        <f>IF($A501="","",IF($G501="Y","완료 DONE",IF($F501="","날짜 없음",IF($F501&lt;'설정 Settings'!$C$15,"지남 OVERDUE",IF($F501='설정 Settings'!$C$15,"오늘 TODAY","예정 OPEN")))))</f>
      </c>
      <c r="M501" s="42">
        <f>IF($A501="","",IF($I501="Y","수신거부: 문자·이메일 보내지 않기",IF(OR($E501="SMS",$E501="EMAIL"),IF(OR($H501="",$H501="NONE"),"동의 근거 없음: 전화·방문만",IF($H501="INQUIRY",IF(N($N501)=0,"견적 요청일을 못 찾음: 관련 ID에 견적 ID(Q-…)를 넣었는지 확인",IF('설정 Settings'!$C$15&gt;N($N501),"문의 후 6개월 지남: 다른 동의 근거 필요","OK: 이름·주소·연락처·수신거부 문구 넣기")),IF($H501="REFERRAL","소개 후 첫 메시지만 OK: 소개자 이름 + 이름·주소·연락처·수신거부 문구. 두 번째부터는 다른 동의 근거 필요",IF(AND($H501="REPLY",$D501&lt;&gt;"QUOTE",$D501&lt;&gt;"CALLBACK"),"문의에 대한 답장이 아님: EXPRESS 또는 INQUIRY 동의 필요","OK: 이름·주소·연락처·수신거부 문구 넣기")))),"")))</f>
      </c>
      <c r="N501" s="40">
        <f>IF($H501="INQUIRY",IFERROR(EDATE(INDEX('견적 Quotes'!$B$3:$B$1002,MATCH($C501,'견적 Quotes'!$A$3:$A$1002,0)),'설정 Settings'!$C$20),""),"")</f>
      </c>
    </row>
    <row r="502" spans="12:14" x14ac:dyDescent="0.25">
      <c r="L502" s="42">
        <f>IF($A502="","",IF($G502="Y","완료 DONE",IF($F502="","날짜 없음",IF($F502&lt;'설정 Settings'!$C$15,"지남 OVERDUE",IF($F502='설정 Settings'!$C$15,"오늘 TODAY","예정 OPEN")))))</f>
      </c>
      <c r="M502" s="42">
        <f>IF($A502="","",IF($I502="Y","수신거부: 문자·이메일 보내지 않기",IF(OR($E502="SMS",$E502="EMAIL"),IF(OR($H502="",$H502="NONE"),"동의 근거 없음: 전화·방문만",IF($H502="INQUIRY",IF(N($N502)=0,"견적 요청일을 못 찾음: 관련 ID에 견적 ID(Q-…)를 넣었는지 확인",IF('설정 Settings'!$C$15&gt;N($N502),"문의 후 6개월 지남: 다른 동의 근거 필요","OK: 이름·주소·연락처·수신거부 문구 넣기")),IF($H502="REFERRAL","소개 후 첫 메시지만 OK: 소개자 이름 + 이름·주소·연락처·수신거부 문구. 두 번째부터는 다른 동의 근거 필요",IF(AND($H502="REPLY",$D502&lt;&gt;"QUOTE",$D502&lt;&gt;"CALLBACK"),"문의에 대한 답장이 아님: EXPRESS 또는 INQUIRY 동의 필요","OK: 이름·주소·연락처·수신거부 문구 넣기")))),"")))</f>
      </c>
      <c r="N502" s="40">
        <f>IF($H502="INQUIRY",IFERROR(EDATE(INDEX('견적 Quotes'!$B$3:$B$1002,MATCH($C502,'견적 Quotes'!$A$3:$A$1002,0)),'설정 Settings'!$C$20),""),"")</f>
      </c>
    </row>
    <row r="503" spans="12:14" x14ac:dyDescent="0.25">
      <c r="L503" s="42">
        <f>IF($A503="","",IF($G503="Y","완료 DONE",IF($F503="","날짜 없음",IF($F503&lt;'설정 Settings'!$C$15,"지남 OVERDUE",IF($F503='설정 Settings'!$C$15,"오늘 TODAY","예정 OPEN")))))</f>
      </c>
      <c r="M503" s="42">
        <f>IF($A503="","",IF($I503="Y","수신거부: 문자·이메일 보내지 않기",IF(OR($E503="SMS",$E503="EMAIL"),IF(OR($H503="",$H503="NONE"),"동의 근거 없음: 전화·방문만",IF($H503="INQUIRY",IF(N($N503)=0,"견적 요청일을 못 찾음: 관련 ID에 견적 ID(Q-…)를 넣었는지 확인",IF('설정 Settings'!$C$15&gt;N($N503),"문의 후 6개월 지남: 다른 동의 근거 필요","OK: 이름·주소·연락처·수신거부 문구 넣기")),IF($H503="REFERRAL","소개 후 첫 메시지만 OK: 소개자 이름 + 이름·주소·연락처·수신거부 문구. 두 번째부터는 다른 동의 근거 필요",IF(AND($H503="REPLY",$D503&lt;&gt;"QUOTE",$D503&lt;&gt;"CALLBACK"),"문의에 대한 답장이 아님: EXPRESS 또는 INQUIRY 동의 필요","OK: 이름·주소·연락처·수신거부 문구 넣기")))),"")))</f>
      </c>
      <c r="N503" s="40">
        <f>IF($H503="INQUIRY",IFERROR(EDATE(INDEX('견적 Quotes'!$B$3:$B$1002,MATCH($C503,'견적 Quotes'!$A$3:$A$1002,0)),'설정 Settings'!$C$20),""),"")</f>
      </c>
    </row>
    <row r="504" spans="12:14" x14ac:dyDescent="0.25">
      <c r="L504" s="42">
        <f>IF($A504="","",IF($G504="Y","완료 DONE",IF($F504="","날짜 없음",IF($F504&lt;'설정 Settings'!$C$15,"지남 OVERDUE",IF($F504='설정 Settings'!$C$15,"오늘 TODAY","예정 OPEN")))))</f>
      </c>
      <c r="M504" s="42">
        <f>IF($A504="","",IF($I504="Y","수신거부: 문자·이메일 보내지 않기",IF(OR($E504="SMS",$E504="EMAIL"),IF(OR($H504="",$H504="NONE"),"동의 근거 없음: 전화·방문만",IF($H504="INQUIRY",IF(N($N504)=0,"견적 요청일을 못 찾음: 관련 ID에 견적 ID(Q-…)를 넣었는지 확인",IF('설정 Settings'!$C$15&gt;N($N504),"문의 후 6개월 지남: 다른 동의 근거 필요","OK: 이름·주소·연락처·수신거부 문구 넣기")),IF($H504="REFERRAL","소개 후 첫 메시지만 OK: 소개자 이름 + 이름·주소·연락처·수신거부 문구. 두 번째부터는 다른 동의 근거 필요",IF(AND($H504="REPLY",$D504&lt;&gt;"QUOTE",$D504&lt;&gt;"CALLBACK"),"문의에 대한 답장이 아님: EXPRESS 또는 INQUIRY 동의 필요","OK: 이름·주소·연락처·수신거부 문구 넣기")))),"")))</f>
      </c>
      <c r="N504" s="40">
        <f>IF($H504="INQUIRY",IFERROR(EDATE(INDEX('견적 Quotes'!$B$3:$B$1002,MATCH($C504,'견적 Quotes'!$A$3:$A$1002,0)),'설정 Settings'!$C$20),""),"")</f>
      </c>
    </row>
    <row r="505" spans="12:14" x14ac:dyDescent="0.25">
      <c r="L505" s="42">
        <f>IF($A505="","",IF($G505="Y","완료 DONE",IF($F505="","날짜 없음",IF($F505&lt;'설정 Settings'!$C$15,"지남 OVERDUE",IF($F505='설정 Settings'!$C$15,"오늘 TODAY","예정 OPEN")))))</f>
      </c>
      <c r="M505" s="42">
        <f>IF($A505="","",IF($I505="Y","수신거부: 문자·이메일 보내지 않기",IF(OR($E505="SMS",$E505="EMAIL"),IF(OR($H505="",$H505="NONE"),"동의 근거 없음: 전화·방문만",IF($H505="INQUIRY",IF(N($N505)=0,"견적 요청일을 못 찾음: 관련 ID에 견적 ID(Q-…)를 넣었는지 확인",IF('설정 Settings'!$C$15&gt;N($N505),"문의 후 6개월 지남: 다른 동의 근거 필요","OK: 이름·주소·연락처·수신거부 문구 넣기")),IF($H505="REFERRAL","소개 후 첫 메시지만 OK: 소개자 이름 + 이름·주소·연락처·수신거부 문구. 두 번째부터는 다른 동의 근거 필요",IF(AND($H505="REPLY",$D505&lt;&gt;"QUOTE",$D505&lt;&gt;"CALLBACK"),"문의에 대한 답장이 아님: EXPRESS 또는 INQUIRY 동의 필요","OK: 이름·주소·연락처·수신거부 문구 넣기")))),"")))</f>
      </c>
      <c r="N505" s="40">
        <f>IF($H505="INQUIRY",IFERROR(EDATE(INDEX('견적 Quotes'!$B$3:$B$1002,MATCH($C505,'견적 Quotes'!$A$3:$A$1002,0)),'설정 Settings'!$C$20),""),"")</f>
      </c>
    </row>
    <row r="506" spans="12:14" x14ac:dyDescent="0.25">
      <c r="L506" s="42">
        <f>IF($A506="","",IF($G506="Y","완료 DONE",IF($F506="","날짜 없음",IF($F506&lt;'설정 Settings'!$C$15,"지남 OVERDUE",IF($F506='설정 Settings'!$C$15,"오늘 TODAY","예정 OPEN")))))</f>
      </c>
      <c r="M506" s="42">
        <f>IF($A506="","",IF($I506="Y","수신거부: 문자·이메일 보내지 않기",IF(OR($E506="SMS",$E506="EMAIL"),IF(OR($H506="",$H506="NONE"),"동의 근거 없음: 전화·방문만",IF($H506="INQUIRY",IF(N($N506)=0,"견적 요청일을 못 찾음: 관련 ID에 견적 ID(Q-…)를 넣었는지 확인",IF('설정 Settings'!$C$15&gt;N($N506),"문의 후 6개월 지남: 다른 동의 근거 필요","OK: 이름·주소·연락처·수신거부 문구 넣기")),IF($H506="REFERRAL","소개 후 첫 메시지만 OK: 소개자 이름 + 이름·주소·연락처·수신거부 문구. 두 번째부터는 다른 동의 근거 필요",IF(AND($H506="REPLY",$D506&lt;&gt;"QUOTE",$D506&lt;&gt;"CALLBACK"),"문의에 대한 답장이 아님: EXPRESS 또는 INQUIRY 동의 필요","OK: 이름·주소·연락처·수신거부 문구 넣기")))),"")))</f>
      </c>
      <c r="N506" s="40">
        <f>IF($H506="INQUIRY",IFERROR(EDATE(INDEX('견적 Quotes'!$B$3:$B$1002,MATCH($C506,'견적 Quotes'!$A$3:$A$1002,0)),'설정 Settings'!$C$20),""),"")</f>
      </c>
    </row>
    <row r="507" spans="12:14" x14ac:dyDescent="0.25">
      <c r="L507" s="42">
        <f>IF($A507="","",IF($G507="Y","완료 DONE",IF($F507="","날짜 없음",IF($F507&lt;'설정 Settings'!$C$15,"지남 OVERDUE",IF($F507='설정 Settings'!$C$15,"오늘 TODAY","예정 OPEN")))))</f>
      </c>
      <c r="M507" s="42">
        <f>IF($A507="","",IF($I507="Y","수신거부: 문자·이메일 보내지 않기",IF(OR($E507="SMS",$E507="EMAIL"),IF(OR($H507="",$H507="NONE"),"동의 근거 없음: 전화·방문만",IF($H507="INQUIRY",IF(N($N507)=0,"견적 요청일을 못 찾음: 관련 ID에 견적 ID(Q-…)를 넣었는지 확인",IF('설정 Settings'!$C$15&gt;N($N507),"문의 후 6개월 지남: 다른 동의 근거 필요","OK: 이름·주소·연락처·수신거부 문구 넣기")),IF($H507="REFERRAL","소개 후 첫 메시지만 OK: 소개자 이름 + 이름·주소·연락처·수신거부 문구. 두 번째부터는 다른 동의 근거 필요",IF(AND($H507="REPLY",$D507&lt;&gt;"QUOTE",$D507&lt;&gt;"CALLBACK"),"문의에 대한 답장이 아님: EXPRESS 또는 INQUIRY 동의 필요","OK: 이름·주소·연락처·수신거부 문구 넣기")))),"")))</f>
      </c>
      <c r="N507" s="40">
        <f>IF($H507="INQUIRY",IFERROR(EDATE(INDEX('견적 Quotes'!$B$3:$B$1002,MATCH($C507,'견적 Quotes'!$A$3:$A$1002,0)),'설정 Settings'!$C$20),""),"")</f>
      </c>
    </row>
    <row r="508" spans="12:14" x14ac:dyDescent="0.25">
      <c r="L508" s="42">
        <f>IF($A508="","",IF($G508="Y","완료 DONE",IF($F508="","날짜 없음",IF($F508&lt;'설정 Settings'!$C$15,"지남 OVERDUE",IF($F508='설정 Settings'!$C$15,"오늘 TODAY","예정 OPEN")))))</f>
      </c>
      <c r="M508" s="42">
        <f>IF($A508="","",IF($I508="Y","수신거부: 문자·이메일 보내지 않기",IF(OR($E508="SMS",$E508="EMAIL"),IF(OR($H508="",$H508="NONE"),"동의 근거 없음: 전화·방문만",IF($H508="INQUIRY",IF(N($N508)=0,"견적 요청일을 못 찾음: 관련 ID에 견적 ID(Q-…)를 넣었는지 확인",IF('설정 Settings'!$C$15&gt;N($N508),"문의 후 6개월 지남: 다른 동의 근거 필요","OK: 이름·주소·연락처·수신거부 문구 넣기")),IF($H508="REFERRAL","소개 후 첫 메시지만 OK: 소개자 이름 + 이름·주소·연락처·수신거부 문구. 두 번째부터는 다른 동의 근거 필요",IF(AND($H508="REPLY",$D508&lt;&gt;"QUOTE",$D508&lt;&gt;"CALLBACK"),"문의에 대한 답장이 아님: EXPRESS 또는 INQUIRY 동의 필요","OK: 이름·주소·연락처·수신거부 문구 넣기")))),"")))</f>
      </c>
      <c r="N508" s="40">
        <f>IF($H508="INQUIRY",IFERROR(EDATE(INDEX('견적 Quotes'!$B$3:$B$1002,MATCH($C508,'견적 Quotes'!$A$3:$A$1002,0)),'설정 Settings'!$C$20),""),"")</f>
      </c>
    </row>
    <row r="509" spans="12:14" x14ac:dyDescent="0.25">
      <c r="L509" s="42">
        <f>IF($A509="","",IF($G509="Y","완료 DONE",IF($F509="","날짜 없음",IF($F509&lt;'설정 Settings'!$C$15,"지남 OVERDUE",IF($F509='설정 Settings'!$C$15,"오늘 TODAY","예정 OPEN")))))</f>
      </c>
      <c r="M509" s="42">
        <f>IF($A509="","",IF($I509="Y","수신거부: 문자·이메일 보내지 않기",IF(OR($E509="SMS",$E509="EMAIL"),IF(OR($H509="",$H509="NONE"),"동의 근거 없음: 전화·방문만",IF($H509="INQUIRY",IF(N($N509)=0,"견적 요청일을 못 찾음: 관련 ID에 견적 ID(Q-…)를 넣었는지 확인",IF('설정 Settings'!$C$15&gt;N($N509),"문의 후 6개월 지남: 다른 동의 근거 필요","OK: 이름·주소·연락처·수신거부 문구 넣기")),IF($H509="REFERRAL","소개 후 첫 메시지만 OK: 소개자 이름 + 이름·주소·연락처·수신거부 문구. 두 번째부터는 다른 동의 근거 필요",IF(AND($H509="REPLY",$D509&lt;&gt;"QUOTE",$D509&lt;&gt;"CALLBACK"),"문의에 대한 답장이 아님: EXPRESS 또는 INQUIRY 동의 필요","OK: 이름·주소·연락처·수신거부 문구 넣기")))),"")))</f>
      </c>
      <c r="N509" s="40">
        <f>IF($H509="INQUIRY",IFERROR(EDATE(INDEX('견적 Quotes'!$B$3:$B$1002,MATCH($C509,'견적 Quotes'!$A$3:$A$1002,0)),'설정 Settings'!$C$20),""),"")</f>
      </c>
    </row>
    <row r="510" spans="12:14" x14ac:dyDescent="0.25">
      <c r="L510" s="42">
        <f>IF($A510="","",IF($G510="Y","완료 DONE",IF($F510="","날짜 없음",IF($F510&lt;'설정 Settings'!$C$15,"지남 OVERDUE",IF($F510='설정 Settings'!$C$15,"오늘 TODAY","예정 OPEN")))))</f>
      </c>
      <c r="M510" s="42">
        <f>IF($A510="","",IF($I510="Y","수신거부: 문자·이메일 보내지 않기",IF(OR($E510="SMS",$E510="EMAIL"),IF(OR($H510="",$H510="NONE"),"동의 근거 없음: 전화·방문만",IF($H510="INQUIRY",IF(N($N510)=0,"견적 요청일을 못 찾음: 관련 ID에 견적 ID(Q-…)를 넣었는지 확인",IF('설정 Settings'!$C$15&gt;N($N510),"문의 후 6개월 지남: 다른 동의 근거 필요","OK: 이름·주소·연락처·수신거부 문구 넣기")),IF($H510="REFERRAL","소개 후 첫 메시지만 OK: 소개자 이름 + 이름·주소·연락처·수신거부 문구. 두 번째부터는 다른 동의 근거 필요",IF(AND($H510="REPLY",$D510&lt;&gt;"QUOTE",$D510&lt;&gt;"CALLBACK"),"문의에 대한 답장이 아님: EXPRESS 또는 INQUIRY 동의 필요","OK: 이름·주소·연락처·수신거부 문구 넣기")))),"")))</f>
      </c>
      <c r="N510" s="40">
        <f>IF($H510="INQUIRY",IFERROR(EDATE(INDEX('견적 Quotes'!$B$3:$B$1002,MATCH($C510,'견적 Quotes'!$A$3:$A$1002,0)),'설정 Settings'!$C$20),""),"")</f>
      </c>
    </row>
    <row r="511" spans="12:14" x14ac:dyDescent="0.25">
      <c r="L511" s="42">
        <f>IF($A511="","",IF($G511="Y","완료 DONE",IF($F511="","날짜 없음",IF($F511&lt;'설정 Settings'!$C$15,"지남 OVERDUE",IF($F511='설정 Settings'!$C$15,"오늘 TODAY","예정 OPEN")))))</f>
      </c>
      <c r="M511" s="42">
        <f>IF($A511="","",IF($I511="Y","수신거부: 문자·이메일 보내지 않기",IF(OR($E511="SMS",$E511="EMAIL"),IF(OR($H511="",$H511="NONE"),"동의 근거 없음: 전화·방문만",IF($H511="INQUIRY",IF(N($N511)=0,"견적 요청일을 못 찾음: 관련 ID에 견적 ID(Q-…)를 넣었는지 확인",IF('설정 Settings'!$C$15&gt;N($N511),"문의 후 6개월 지남: 다른 동의 근거 필요","OK: 이름·주소·연락처·수신거부 문구 넣기")),IF($H511="REFERRAL","소개 후 첫 메시지만 OK: 소개자 이름 + 이름·주소·연락처·수신거부 문구. 두 번째부터는 다른 동의 근거 필요",IF(AND($H511="REPLY",$D511&lt;&gt;"QUOTE",$D511&lt;&gt;"CALLBACK"),"문의에 대한 답장이 아님: EXPRESS 또는 INQUIRY 동의 필요","OK: 이름·주소·연락처·수신거부 문구 넣기")))),"")))</f>
      </c>
      <c r="N511" s="40">
        <f>IF($H511="INQUIRY",IFERROR(EDATE(INDEX('견적 Quotes'!$B$3:$B$1002,MATCH($C511,'견적 Quotes'!$A$3:$A$1002,0)),'설정 Settings'!$C$20),""),"")</f>
      </c>
    </row>
    <row r="512" spans="12:14" x14ac:dyDescent="0.25">
      <c r="L512" s="42">
        <f>IF($A512="","",IF($G512="Y","완료 DONE",IF($F512="","날짜 없음",IF($F512&lt;'설정 Settings'!$C$15,"지남 OVERDUE",IF($F512='설정 Settings'!$C$15,"오늘 TODAY","예정 OPEN")))))</f>
      </c>
      <c r="M512" s="42">
        <f>IF($A512="","",IF($I512="Y","수신거부: 문자·이메일 보내지 않기",IF(OR($E512="SMS",$E512="EMAIL"),IF(OR($H512="",$H512="NONE"),"동의 근거 없음: 전화·방문만",IF($H512="INQUIRY",IF(N($N512)=0,"견적 요청일을 못 찾음: 관련 ID에 견적 ID(Q-…)를 넣었는지 확인",IF('설정 Settings'!$C$15&gt;N($N512),"문의 후 6개월 지남: 다른 동의 근거 필요","OK: 이름·주소·연락처·수신거부 문구 넣기")),IF($H512="REFERRAL","소개 후 첫 메시지만 OK: 소개자 이름 + 이름·주소·연락처·수신거부 문구. 두 번째부터는 다른 동의 근거 필요",IF(AND($H512="REPLY",$D512&lt;&gt;"QUOTE",$D512&lt;&gt;"CALLBACK"),"문의에 대한 답장이 아님: EXPRESS 또는 INQUIRY 동의 필요","OK: 이름·주소·연락처·수신거부 문구 넣기")))),"")))</f>
      </c>
      <c r="N512" s="40">
        <f>IF($H512="INQUIRY",IFERROR(EDATE(INDEX('견적 Quotes'!$B$3:$B$1002,MATCH($C512,'견적 Quotes'!$A$3:$A$1002,0)),'설정 Settings'!$C$20),""),"")</f>
      </c>
    </row>
    <row r="513" spans="12:14" x14ac:dyDescent="0.25">
      <c r="L513" s="42">
        <f>IF($A513="","",IF($G513="Y","완료 DONE",IF($F513="","날짜 없음",IF($F513&lt;'설정 Settings'!$C$15,"지남 OVERDUE",IF($F513='설정 Settings'!$C$15,"오늘 TODAY","예정 OPEN")))))</f>
      </c>
      <c r="M513" s="42">
        <f>IF($A513="","",IF($I513="Y","수신거부: 문자·이메일 보내지 않기",IF(OR($E513="SMS",$E513="EMAIL"),IF(OR($H513="",$H513="NONE"),"동의 근거 없음: 전화·방문만",IF($H513="INQUIRY",IF(N($N513)=0,"견적 요청일을 못 찾음: 관련 ID에 견적 ID(Q-…)를 넣었는지 확인",IF('설정 Settings'!$C$15&gt;N($N513),"문의 후 6개월 지남: 다른 동의 근거 필요","OK: 이름·주소·연락처·수신거부 문구 넣기")),IF($H513="REFERRAL","소개 후 첫 메시지만 OK: 소개자 이름 + 이름·주소·연락처·수신거부 문구. 두 번째부터는 다른 동의 근거 필요",IF(AND($H513="REPLY",$D513&lt;&gt;"QUOTE",$D513&lt;&gt;"CALLBACK"),"문의에 대한 답장이 아님: EXPRESS 또는 INQUIRY 동의 필요","OK: 이름·주소·연락처·수신거부 문구 넣기")))),"")))</f>
      </c>
      <c r="N513" s="40">
        <f>IF($H513="INQUIRY",IFERROR(EDATE(INDEX('견적 Quotes'!$B$3:$B$1002,MATCH($C513,'견적 Quotes'!$A$3:$A$1002,0)),'설정 Settings'!$C$20),""),"")</f>
      </c>
    </row>
    <row r="514" spans="12:14" x14ac:dyDescent="0.25">
      <c r="L514" s="42">
        <f>IF($A514="","",IF($G514="Y","완료 DONE",IF($F514="","날짜 없음",IF($F514&lt;'설정 Settings'!$C$15,"지남 OVERDUE",IF($F514='설정 Settings'!$C$15,"오늘 TODAY","예정 OPEN")))))</f>
      </c>
      <c r="M514" s="42">
        <f>IF($A514="","",IF($I514="Y","수신거부: 문자·이메일 보내지 않기",IF(OR($E514="SMS",$E514="EMAIL"),IF(OR($H514="",$H514="NONE"),"동의 근거 없음: 전화·방문만",IF($H514="INQUIRY",IF(N($N514)=0,"견적 요청일을 못 찾음: 관련 ID에 견적 ID(Q-…)를 넣었는지 확인",IF('설정 Settings'!$C$15&gt;N($N514),"문의 후 6개월 지남: 다른 동의 근거 필요","OK: 이름·주소·연락처·수신거부 문구 넣기")),IF($H514="REFERRAL","소개 후 첫 메시지만 OK: 소개자 이름 + 이름·주소·연락처·수신거부 문구. 두 번째부터는 다른 동의 근거 필요",IF(AND($H514="REPLY",$D514&lt;&gt;"QUOTE",$D514&lt;&gt;"CALLBACK"),"문의에 대한 답장이 아님: EXPRESS 또는 INQUIRY 동의 필요","OK: 이름·주소·연락처·수신거부 문구 넣기")))),"")))</f>
      </c>
      <c r="N514" s="40">
        <f>IF($H514="INQUIRY",IFERROR(EDATE(INDEX('견적 Quotes'!$B$3:$B$1002,MATCH($C514,'견적 Quotes'!$A$3:$A$1002,0)),'설정 Settings'!$C$20),""),"")</f>
      </c>
    </row>
    <row r="515" spans="12:14" x14ac:dyDescent="0.25">
      <c r="L515" s="42">
        <f>IF($A515="","",IF($G515="Y","완료 DONE",IF($F515="","날짜 없음",IF($F515&lt;'설정 Settings'!$C$15,"지남 OVERDUE",IF($F515='설정 Settings'!$C$15,"오늘 TODAY","예정 OPEN")))))</f>
      </c>
      <c r="M515" s="42">
        <f>IF($A515="","",IF($I515="Y","수신거부: 문자·이메일 보내지 않기",IF(OR($E515="SMS",$E515="EMAIL"),IF(OR($H515="",$H515="NONE"),"동의 근거 없음: 전화·방문만",IF($H515="INQUIRY",IF(N($N515)=0,"견적 요청일을 못 찾음: 관련 ID에 견적 ID(Q-…)를 넣었는지 확인",IF('설정 Settings'!$C$15&gt;N($N515),"문의 후 6개월 지남: 다른 동의 근거 필요","OK: 이름·주소·연락처·수신거부 문구 넣기")),IF($H515="REFERRAL","소개 후 첫 메시지만 OK: 소개자 이름 + 이름·주소·연락처·수신거부 문구. 두 번째부터는 다른 동의 근거 필요",IF(AND($H515="REPLY",$D515&lt;&gt;"QUOTE",$D515&lt;&gt;"CALLBACK"),"문의에 대한 답장이 아님: EXPRESS 또는 INQUIRY 동의 필요","OK: 이름·주소·연락처·수신거부 문구 넣기")))),"")))</f>
      </c>
      <c r="N515" s="40">
        <f>IF($H515="INQUIRY",IFERROR(EDATE(INDEX('견적 Quotes'!$B$3:$B$1002,MATCH($C515,'견적 Quotes'!$A$3:$A$1002,0)),'설정 Settings'!$C$20),""),"")</f>
      </c>
    </row>
    <row r="516" spans="12:14" x14ac:dyDescent="0.25">
      <c r="L516" s="42">
        <f>IF($A516="","",IF($G516="Y","완료 DONE",IF($F516="","날짜 없음",IF($F516&lt;'설정 Settings'!$C$15,"지남 OVERDUE",IF($F516='설정 Settings'!$C$15,"오늘 TODAY","예정 OPEN")))))</f>
      </c>
      <c r="M516" s="42">
        <f>IF($A516="","",IF($I516="Y","수신거부: 문자·이메일 보내지 않기",IF(OR($E516="SMS",$E516="EMAIL"),IF(OR($H516="",$H516="NONE"),"동의 근거 없음: 전화·방문만",IF($H516="INQUIRY",IF(N($N516)=0,"견적 요청일을 못 찾음: 관련 ID에 견적 ID(Q-…)를 넣었는지 확인",IF('설정 Settings'!$C$15&gt;N($N516),"문의 후 6개월 지남: 다른 동의 근거 필요","OK: 이름·주소·연락처·수신거부 문구 넣기")),IF($H516="REFERRAL","소개 후 첫 메시지만 OK: 소개자 이름 + 이름·주소·연락처·수신거부 문구. 두 번째부터는 다른 동의 근거 필요",IF(AND($H516="REPLY",$D516&lt;&gt;"QUOTE",$D516&lt;&gt;"CALLBACK"),"문의에 대한 답장이 아님: EXPRESS 또는 INQUIRY 동의 필요","OK: 이름·주소·연락처·수신거부 문구 넣기")))),"")))</f>
      </c>
      <c r="N516" s="40">
        <f>IF($H516="INQUIRY",IFERROR(EDATE(INDEX('견적 Quotes'!$B$3:$B$1002,MATCH($C516,'견적 Quotes'!$A$3:$A$1002,0)),'설정 Settings'!$C$20),""),"")</f>
      </c>
    </row>
    <row r="517" spans="12:14" x14ac:dyDescent="0.25">
      <c r="L517" s="42">
        <f>IF($A517="","",IF($G517="Y","완료 DONE",IF($F517="","날짜 없음",IF($F517&lt;'설정 Settings'!$C$15,"지남 OVERDUE",IF($F517='설정 Settings'!$C$15,"오늘 TODAY","예정 OPEN")))))</f>
      </c>
      <c r="M517" s="42">
        <f>IF($A517="","",IF($I517="Y","수신거부: 문자·이메일 보내지 않기",IF(OR($E517="SMS",$E517="EMAIL"),IF(OR($H517="",$H517="NONE"),"동의 근거 없음: 전화·방문만",IF($H517="INQUIRY",IF(N($N517)=0,"견적 요청일을 못 찾음: 관련 ID에 견적 ID(Q-…)를 넣었는지 확인",IF('설정 Settings'!$C$15&gt;N($N517),"문의 후 6개월 지남: 다른 동의 근거 필요","OK: 이름·주소·연락처·수신거부 문구 넣기")),IF($H517="REFERRAL","소개 후 첫 메시지만 OK: 소개자 이름 + 이름·주소·연락처·수신거부 문구. 두 번째부터는 다른 동의 근거 필요",IF(AND($H517="REPLY",$D517&lt;&gt;"QUOTE",$D517&lt;&gt;"CALLBACK"),"문의에 대한 답장이 아님: EXPRESS 또는 INQUIRY 동의 필요","OK: 이름·주소·연락처·수신거부 문구 넣기")))),"")))</f>
      </c>
      <c r="N517" s="40">
        <f>IF($H517="INQUIRY",IFERROR(EDATE(INDEX('견적 Quotes'!$B$3:$B$1002,MATCH($C517,'견적 Quotes'!$A$3:$A$1002,0)),'설정 Settings'!$C$20),""),"")</f>
      </c>
    </row>
    <row r="518" spans="12:14" x14ac:dyDescent="0.25">
      <c r="L518" s="42">
        <f>IF($A518="","",IF($G518="Y","완료 DONE",IF($F518="","날짜 없음",IF($F518&lt;'설정 Settings'!$C$15,"지남 OVERDUE",IF($F518='설정 Settings'!$C$15,"오늘 TODAY","예정 OPEN")))))</f>
      </c>
      <c r="M518" s="42">
        <f>IF($A518="","",IF($I518="Y","수신거부: 문자·이메일 보내지 않기",IF(OR($E518="SMS",$E518="EMAIL"),IF(OR($H518="",$H518="NONE"),"동의 근거 없음: 전화·방문만",IF($H518="INQUIRY",IF(N($N518)=0,"견적 요청일을 못 찾음: 관련 ID에 견적 ID(Q-…)를 넣었는지 확인",IF('설정 Settings'!$C$15&gt;N($N518),"문의 후 6개월 지남: 다른 동의 근거 필요","OK: 이름·주소·연락처·수신거부 문구 넣기")),IF($H518="REFERRAL","소개 후 첫 메시지만 OK: 소개자 이름 + 이름·주소·연락처·수신거부 문구. 두 번째부터는 다른 동의 근거 필요",IF(AND($H518="REPLY",$D518&lt;&gt;"QUOTE",$D518&lt;&gt;"CALLBACK"),"문의에 대한 답장이 아님: EXPRESS 또는 INQUIRY 동의 필요","OK: 이름·주소·연락처·수신거부 문구 넣기")))),"")))</f>
      </c>
      <c r="N518" s="40">
        <f>IF($H518="INQUIRY",IFERROR(EDATE(INDEX('견적 Quotes'!$B$3:$B$1002,MATCH($C518,'견적 Quotes'!$A$3:$A$1002,0)),'설정 Settings'!$C$20),""),"")</f>
      </c>
    </row>
    <row r="519" spans="12:14" x14ac:dyDescent="0.25">
      <c r="L519" s="42">
        <f>IF($A519="","",IF($G519="Y","완료 DONE",IF($F519="","날짜 없음",IF($F519&lt;'설정 Settings'!$C$15,"지남 OVERDUE",IF($F519='설정 Settings'!$C$15,"오늘 TODAY","예정 OPEN")))))</f>
      </c>
      <c r="M519" s="42">
        <f>IF($A519="","",IF($I519="Y","수신거부: 문자·이메일 보내지 않기",IF(OR($E519="SMS",$E519="EMAIL"),IF(OR($H519="",$H519="NONE"),"동의 근거 없음: 전화·방문만",IF($H519="INQUIRY",IF(N($N519)=0,"견적 요청일을 못 찾음: 관련 ID에 견적 ID(Q-…)를 넣었는지 확인",IF('설정 Settings'!$C$15&gt;N($N519),"문의 후 6개월 지남: 다른 동의 근거 필요","OK: 이름·주소·연락처·수신거부 문구 넣기")),IF($H519="REFERRAL","소개 후 첫 메시지만 OK: 소개자 이름 + 이름·주소·연락처·수신거부 문구. 두 번째부터는 다른 동의 근거 필요",IF(AND($H519="REPLY",$D519&lt;&gt;"QUOTE",$D519&lt;&gt;"CALLBACK"),"문의에 대한 답장이 아님: EXPRESS 또는 INQUIRY 동의 필요","OK: 이름·주소·연락처·수신거부 문구 넣기")))),"")))</f>
      </c>
      <c r="N519" s="40">
        <f>IF($H519="INQUIRY",IFERROR(EDATE(INDEX('견적 Quotes'!$B$3:$B$1002,MATCH($C519,'견적 Quotes'!$A$3:$A$1002,0)),'설정 Settings'!$C$20),""),"")</f>
      </c>
    </row>
    <row r="520" spans="12:14" x14ac:dyDescent="0.25">
      <c r="L520" s="42">
        <f>IF($A520="","",IF($G520="Y","완료 DONE",IF($F520="","날짜 없음",IF($F520&lt;'설정 Settings'!$C$15,"지남 OVERDUE",IF($F520='설정 Settings'!$C$15,"오늘 TODAY","예정 OPEN")))))</f>
      </c>
      <c r="M520" s="42">
        <f>IF($A520="","",IF($I520="Y","수신거부: 문자·이메일 보내지 않기",IF(OR($E520="SMS",$E520="EMAIL"),IF(OR($H520="",$H520="NONE"),"동의 근거 없음: 전화·방문만",IF($H520="INQUIRY",IF(N($N520)=0,"견적 요청일을 못 찾음: 관련 ID에 견적 ID(Q-…)를 넣었는지 확인",IF('설정 Settings'!$C$15&gt;N($N520),"문의 후 6개월 지남: 다른 동의 근거 필요","OK: 이름·주소·연락처·수신거부 문구 넣기")),IF($H520="REFERRAL","소개 후 첫 메시지만 OK: 소개자 이름 + 이름·주소·연락처·수신거부 문구. 두 번째부터는 다른 동의 근거 필요",IF(AND($H520="REPLY",$D520&lt;&gt;"QUOTE",$D520&lt;&gt;"CALLBACK"),"문의에 대한 답장이 아님: EXPRESS 또는 INQUIRY 동의 필요","OK: 이름·주소·연락처·수신거부 문구 넣기")))),"")))</f>
      </c>
      <c r="N520" s="40">
        <f>IF($H520="INQUIRY",IFERROR(EDATE(INDEX('견적 Quotes'!$B$3:$B$1002,MATCH($C520,'견적 Quotes'!$A$3:$A$1002,0)),'설정 Settings'!$C$20),""),"")</f>
      </c>
    </row>
    <row r="521" spans="12:14" x14ac:dyDescent="0.25">
      <c r="L521" s="42">
        <f>IF($A521="","",IF($G521="Y","완료 DONE",IF($F521="","날짜 없음",IF($F521&lt;'설정 Settings'!$C$15,"지남 OVERDUE",IF($F521='설정 Settings'!$C$15,"오늘 TODAY","예정 OPEN")))))</f>
      </c>
      <c r="M521" s="42">
        <f>IF($A521="","",IF($I521="Y","수신거부: 문자·이메일 보내지 않기",IF(OR($E521="SMS",$E521="EMAIL"),IF(OR($H521="",$H521="NONE"),"동의 근거 없음: 전화·방문만",IF($H521="INQUIRY",IF(N($N521)=0,"견적 요청일을 못 찾음: 관련 ID에 견적 ID(Q-…)를 넣었는지 확인",IF('설정 Settings'!$C$15&gt;N($N521),"문의 후 6개월 지남: 다른 동의 근거 필요","OK: 이름·주소·연락처·수신거부 문구 넣기")),IF($H521="REFERRAL","소개 후 첫 메시지만 OK: 소개자 이름 + 이름·주소·연락처·수신거부 문구. 두 번째부터는 다른 동의 근거 필요",IF(AND($H521="REPLY",$D521&lt;&gt;"QUOTE",$D521&lt;&gt;"CALLBACK"),"문의에 대한 답장이 아님: EXPRESS 또는 INQUIRY 동의 필요","OK: 이름·주소·연락처·수신거부 문구 넣기")))),"")))</f>
      </c>
      <c r="N521" s="40">
        <f>IF($H521="INQUIRY",IFERROR(EDATE(INDEX('견적 Quotes'!$B$3:$B$1002,MATCH($C521,'견적 Quotes'!$A$3:$A$1002,0)),'설정 Settings'!$C$20),""),"")</f>
      </c>
    </row>
    <row r="522" spans="12:14" x14ac:dyDescent="0.25">
      <c r="L522" s="42">
        <f>IF($A522="","",IF($G522="Y","완료 DONE",IF($F522="","날짜 없음",IF($F522&lt;'설정 Settings'!$C$15,"지남 OVERDUE",IF($F522='설정 Settings'!$C$15,"오늘 TODAY","예정 OPEN")))))</f>
      </c>
      <c r="M522" s="42">
        <f>IF($A522="","",IF($I522="Y","수신거부: 문자·이메일 보내지 않기",IF(OR($E522="SMS",$E522="EMAIL"),IF(OR($H522="",$H522="NONE"),"동의 근거 없음: 전화·방문만",IF($H522="INQUIRY",IF(N($N522)=0,"견적 요청일을 못 찾음: 관련 ID에 견적 ID(Q-…)를 넣었는지 확인",IF('설정 Settings'!$C$15&gt;N($N522),"문의 후 6개월 지남: 다른 동의 근거 필요","OK: 이름·주소·연락처·수신거부 문구 넣기")),IF($H522="REFERRAL","소개 후 첫 메시지만 OK: 소개자 이름 + 이름·주소·연락처·수신거부 문구. 두 번째부터는 다른 동의 근거 필요",IF(AND($H522="REPLY",$D522&lt;&gt;"QUOTE",$D522&lt;&gt;"CALLBACK"),"문의에 대한 답장이 아님: EXPRESS 또는 INQUIRY 동의 필요","OK: 이름·주소·연락처·수신거부 문구 넣기")))),"")))</f>
      </c>
      <c r="N522" s="40">
        <f>IF($H522="INQUIRY",IFERROR(EDATE(INDEX('견적 Quotes'!$B$3:$B$1002,MATCH($C522,'견적 Quotes'!$A$3:$A$1002,0)),'설정 Settings'!$C$20),""),"")</f>
      </c>
    </row>
    <row r="523" spans="12:14" x14ac:dyDescent="0.25">
      <c r="L523" s="42">
        <f>IF($A523="","",IF($G523="Y","완료 DONE",IF($F523="","날짜 없음",IF($F523&lt;'설정 Settings'!$C$15,"지남 OVERDUE",IF($F523='설정 Settings'!$C$15,"오늘 TODAY","예정 OPEN")))))</f>
      </c>
      <c r="M523" s="42">
        <f>IF($A523="","",IF($I523="Y","수신거부: 문자·이메일 보내지 않기",IF(OR($E523="SMS",$E523="EMAIL"),IF(OR($H523="",$H523="NONE"),"동의 근거 없음: 전화·방문만",IF($H523="INQUIRY",IF(N($N523)=0,"견적 요청일을 못 찾음: 관련 ID에 견적 ID(Q-…)를 넣었는지 확인",IF('설정 Settings'!$C$15&gt;N($N523),"문의 후 6개월 지남: 다른 동의 근거 필요","OK: 이름·주소·연락처·수신거부 문구 넣기")),IF($H523="REFERRAL","소개 후 첫 메시지만 OK: 소개자 이름 + 이름·주소·연락처·수신거부 문구. 두 번째부터는 다른 동의 근거 필요",IF(AND($H523="REPLY",$D523&lt;&gt;"QUOTE",$D523&lt;&gt;"CALLBACK"),"문의에 대한 답장이 아님: EXPRESS 또는 INQUIRY 동의 필요","OK: 이름·주소·연락처·수신거부 문구 넣기")))),"")))</f>
      </c>
      <c r="N523" s="40">
        <f>IF($H523="INQUIRY",IFERROR(EDATE(INDEX('견적 Quotes'!$B$3:$B$1002,MATCH($C523,'견적 Quotes'!$A$3:$A$1002,0)),'설정 Settings'!$C$20),""),"")</f>
      </c>
    </row>
    <row r="524" spans="12:14" x14ac:dyDescent="0.25">
      <c r="L524" s="42">
        <f>IF($A524="","",IF($G524="Y","완료 DONE",IF($F524="","날짜 없음",IF($F524&lt;'설정 Settings'!$C$15,"지남 OVERDUE",IF($F524='설정 Settings'!$C$15,"오늘 TODAY","예정 OPEN")))))</f>
      </c>
      <c r="M524" s="42">
        <f>IF($A524="","",IF($I524="Y","수신거부: 문자·이메일 보내지 않기",IF(OR($E524="SMS",$E524="EMAIL"),IF(OR($H524="",$H524="NONE"),"동의 근거 없음: 전화·방문만",IF($H524="INQUIRY",IF(N($N524)=0,"견적 요청일을 못 찾음: 관련 ID에 견적 ID(Q-…)를 넣었는지 확인",IF('설정 Settings'!$C$15&gt;N($N524),"문의 후 6개월 지남: 다른 동의 근거 필요","OK: 이름·주소·연락처·수신거부 문구 넣기")),IF($H524="REFERRAL","소개 후 첫 메시지만 OK: 소개자 이름 + 이름·주소·연락처·수신거부 문구. 두 번째부터는 다른 동의 근거 필요",IF(AND($H524="REPLY",$D524&lt;&gt;"QUOTE",$D524&lt;&gt;"CALLBACK"),"문의에 대한 답장이 아님: EXPRESS 또는 INQUIRY 동의 필요","OK: 이름·주소·연락처·수신거부 문구 넣기")))),"")))</f>
      </c>
      <c r="N524" s="40">
        <f>IF($H524="INQUIRY",IFERROR(EDATE(INDEX('견적 Quotes'!$B$3:$B$1002,MATCH($C524,'견적 Quotes'!$A$3:$A$1002,0)),'설정 Settings'!$C$20),""),"")</f>
      </c>
    </row>
    <row r="525" spans="12:14" x14ac:dyDescent="0.25">
      <c r="L525" s="42">
        <f>IF($A525="","",IF($G525="Y","완료 DONE",IF($F525="","날짜 없음",IF($F525&lt;'설정 Settings'!$C$15,"지남 OVERDUE",IF($F525='설정 Settings'!$C$15,"오늘 TODAY","예정 OPEN")))))</f>
      </c>
      <c r="M525" s="42">
        <f>IF($A525="","",IF($I525="Y","수신거부: 문자·이메일 보내지 않기",IF(OR($E525="SMS",$E525="EMAIL"),IF(OR($H525="",$H525="NONE"),"동의 근거 없음: 전화·방문만",IF($H525="INQUIRY",IF(N($N525)=0,"견적 요청일을 못 찾음: 관련 ID에 견적 ID(Q-…)를 넣었는지 확인",IF('설정 Settings'!$C$15&gt;N($N525),"문의 후 6개월 지남: 다른 동의 근거 필요","OK: 이름·주소·연락처·수신거부 문구 넣기")),IF($H525="REFERRAL","소개 후 첫 메시지만 OK: 소개자 이름 + 이름·주소·연락처·수신거부 문구. 두 번째부터는 다른 동의 근거 필요",IF(AND($H525="REPLY",$D525&lt;&gt;"QUOTE",$D525&lt;&gt;"CALLBACK"),"문의에 대한 답장이 아님: EXPRESS 또는 INQUIRY 동의 필요","OK: 이름·주소·연락처·수신거부 문구 넣기")))),"")))</f>
      </c>
      <c r="N525" s="40">
        <f>IF($H525="INQUIRY",IFERROR(EDATE(INDEX('견적 Quotes'!$B$3:$B$1002,MATCH($C525,'견적 Quotes'!$A$3:$A$1002,0)),'설정 Settings'!$C$20),""),"")</f>
      </c>
    </row>
    <row r="526" spans="12:14" x14ac:dyDescent="0.25">
      <c r="L526" s="42">
        <f>IF($A526="","",IF($G526="Y","완료 DONE",IF($F526="","날짜 없음",IF($F526&lt;'설정 Settings'!$C$15,"지남 OVERDUE",IF($F526='설정 Settings'!$C$15,"오늘 TODAY","예정 OPEN")))))</f>
      </c>
      <c r="M526" s="42">
        <f>IF($A526="","",IF($I526="Y","수신거부: 문자·이메일 보내지 않기",IF(OR($E526="SMS",$E526="EMAIL"),IF(OR($H526="",$H526="NONE"),"동의 근거 없음: 전화·방문만",IF($H526="INQUIRY",IF(N($N526)=0,"견적 요청일을 못 찾음: 관련 ID에 견적 ID(Q-…)를 넣었는지 확인",IF('설정 Settings'!$C$15&gt;N($N526),"문의 후 6개월 지남: 다른 동의 근거 필요","OK: 이름·주소·연락처·수신거부 문구 넣기")),IF($H526="REFERRAL","소개 후 첫 메시지만 OK: 소개자 이름 + 이름·주소·연락처·수신거부 문구. 두 번째부터는 다른 동의 근거 필요",IF(AND($H526="REPLY",$D526&lt;&gt;"QUOTE",$D526&lt;&gt;"CALLBACK"),"문의에 대한 답장이 아님: EXPRESS 또는 INQUIRY 동의 필요","OK: 이름·주소·연락처·수신거부 문구 넣기")))),"")))</f>
      </c>
      <c r="N526" s="40">
        <f>IF($H526="INQUIRY",IFERROR(EDATE(INDEX('견적 Quotes'!$B$3:$B$1002,MATCH($C526,'견적 Quotes'!$A$3:$A$1002,0)),'설정 Settings'!$C$20),""),"")</f>
      </c>
    </row>
    <row r="527" spans="12:14" x14ac:dyDescent="0.25">
      <c r="L527" s="42">
        <f>IF($A527="","",IF($G527="Y","완료 DONE",IF($F527="","날짜 없음",IF($F527&lt;'설정 Settings'!$C$15,"지남 OVERDUE",IF($F527='설정 Settings'!$C$15,"오늘 TODAY","예정 OPEN")))))</f>
      </c>
      <c r="M527" s="42">
        <f>IF($A527="","",IF($I527="Y","수신거부: 문자·이메일 보내지 않기",IF(OR($E527="SMS",$E527="EMAIL"),IF(OR($H527="",$H527="NONE"),"동의 근거 없음: 전화·방문만",IF($H527="INQUIRY",IF(N($N527)=0,"견적 요청일을 못 찾음: 관련 ID에 견적 ID(Q-…)를 넣었는지 확인",IF('설정 Settings'!$C$15&gt;N($N527),"문의 후 6개월 지남: 다른 동의 근거 필요","OK: 이름·주소·연락처·수신거부 문구 넣기")),IF($H527="REFERRAL","소개 후 첫 메시지만 OK: 소개자 이름 + 이름·주소·연락처·수신거부 문구. 두 번째부터는 다른 동의 근거 필요",IF(AND($H527="REPLY",$D527&lt;&gt;"QUOTE",$D527&lt;&gt;"CALLBACK"),"문의에 대한 답장이 아님: EXPRESS 또는 INQUIRY 동의 필요","OK: 이름·주소·연락처·수신거부 문구 넣기")))),"")))</f>
      </c>
      <c r="N527" s="40">
        <f>IF($H527="INQUIRY",IFERROR(EDATE(INDEX('견적 Quotes'!$B$3:$B$1002,MATCH($C527,'견적 Quotes'!$A$3:$A$1002,0)),'설정 Settings'!$C$20),""),"")</f>
      </c>
    </row>
    <row r="528" spans="12:14" x14ac:dyDescent="0.25">
      <c r="L528" s="42">
        <f>IF($A528="","",IF($G528="Y","완료 DONE",IF($F528="","날짜 없음",IF($F528&lt;'설정 Settings'!$C$15,"지남 OVERDUE",IF($F528='설정 Settings'!$C$15,"오늘 TODAY","예정 OPEN")))))</f>
      </c>
      <c r="M528" s="42">
        <f>IF($A528="","",IF($I528="Y","수신거부: 문자·이메일 보내지 않기",IF(OR($E528="SMS",$E528="EMAIL"),IF(OR($H528="",$H528="NONE"),"동의 근거 없음: 전화·방문만",IF($H528="INQUIRY",IF(N($N528)=0,"견적 요청일을 못 찾음: 관련 ID에 견적 ID(Q-…)를 넣었는지 확인",IF('설정 Settings'!$C$15&gt;N($N528),"문의 후 6개월 지남: 다른 동의 근거 필요","OK: 이름·주소·연락처·수신거부 문구 넣기")),IF($H528="REFERRAL","소개 후 첫 메시지만 OK: 소개자 이름 + 이름·주소·연락처·수신거부 문구. 두 번째부터는 다른 동의 근거 필요",IF(AND($H528="REPLY",$D528&lt;&gt;"QUOTE",$D528&lt;&gt;"CALLBACK"),"문의에 대한 답장이 아님: EXPRESS 또는 INQUIRY 동의 필요","OK: 이름·주소·연락처·수신거부 문구 넣기")))),"")))</f>
      </c>
      <c r="N528" s="40">
        <f>IF($H528="INQUIRY",IFERROR(EDATE(INDEX('견적 Quotes'!$B$3:$B$1002,MATCH($C528,'견적 Quotes'!$A$3:$A$1002,0)),'설정 Settings'!$C$20),""),"")</f>
      </c>
    </row>
    <row r="529" spans="12:14" x14ac:dyDescent="0.25">
      <c r="L529" s="42">
        <f>IF($A529="","",IF($G529="Y","완료 DONE",IF($F529="","날짜 없음",IF($F529&lt;'설정 Settings'!$C$15,"지남 OVERDUE",IF($F529='설정 Settings'!$C$15,"오늘 TODAY","예정 OPEN")))))</f>
      </c>
      <c r="M529" s="42">
        <f>IF($A529="","",IF($I529="Y","수신거부: 문자·이메일 보내지 않기",IF(OR($E529="SMS",$E529="EMAIL"),IF(OR($H529="",$H529="NONE"),"동의 근거 없음: 전화·방문만",IF($H529="INQUIRY",IF(N($N529)=0,"견적 요청일을 못 찾음: 관련 ID에 견적 ID(Q-…)를 넣었는지 확인",IF('설정 Settings'!$C$15&gt;N($N529),"문의 후 6개월 지남: 다른 동의 근거 필요","OK: 이름·주소·연락처·수신거부 문구 넣기")),IF($H529="REFERRAL","소개 후 첫 메시지만 OK: 소개자 이름 + 이름·주소·연락처·수신거부 문구. 두 번째부터는 다른 동의 근거 필요",IF(AND($H529="REPLY",$D529&lt;&gt;"QUOTE",$D529&lt;&gt;"CALLBACK"),"문의에 대한 답장이 아님: EXPRESS 또는 INQUIRY 동의 필요","OK: 이름·주소·연락처·수신거부 문구 넣기")))),"")))</f>
      </c>
      <c r="N529" s="40">
        <f>IF($H529="INQUIRY",IFERROR(EDATE(INDEX('견적 Quotes'!$B$3:$B$1002,MATCH($C529,'견적 Quotes'!$A$3:$A$1002,0)),'설정 Settings'!$C$20),""),"")</f>
      </c>
    </row>
    <row r="530" spans="12:14" x14ac:dyDescent="0.25">
      <c r="L530" s="42">
        <f>IF($A530="","",IF($G530="Y","완료 DONE",IF($F530="","날짜 없음",IF($F530&lt;'설정 Settings'!$C$15,"지남 OVERDUE",IF($F530='설정 Settings'!$C$15,"오늘 TODAY","예정 OPEN")))))</f>
      </c>
      <c r="M530" s="42">
        <f>IF($A530="","",IF($I530="Y","수신거부: 문자·이메일 보내지 않기",IF(OR($E530="SMS",$E530="EMAIL"),IF(OR($H530="",$H530="NONE"),"동의 근거 없음: 전화·방문만",IF($H530="INQUIRY",IF(N($N530)=0,"견적 요청일을 못 찾음: 관련 ID에 견적 ID(Q-…)를 넣었는지 확인",IF('설정 Settings'!$C$15&gt;N($N530),"문의 후 6개월 지남: 다른 동의 근거 필요","OK: 이름·주소·연락처·수신거부 문구 넣기")),IF($H530="REFERRAL","소개 후 첫 메시지만 OK: 소개자 이름 + 이름·주소·연락처·수신거부 문구. 두 번째부터는 다른 동의 근거 필요",IF(AND($H530="REPLY",$D530&lt;&gt;"QUOTE",$D530&lt;&gt;"CALLBACK"),"문의에 대한 답장이 아님: EXPRESS 또는 INQUIRY 동의 필요","OK: 이름·주소·연락처·수신거부 문구 넣기")))),"")))</f>
      </c>
      <c r="N530" s="40">
        <f>IF($H530="INQUIRY",IFERROR(EDATE(INDEX('견적 Quotes'!$B$3:$B$1002,MATCH($C530,'견적 Quotes'!$A$3:$A$1002,0)),'설정 Settings'!$C$20),""),"")</f>
      </c>
    </row>
    <row r="531" spans="12:14" x14ac:dyDescent="0.25">
      <c r="L531" s="42">
        <f>IF($A531="","",IF($G531="Y","완료 DONE",IF($F531="","날짜 없음",IF($F531&lt;'설정 Settings'!$C$15,"지남 OVERDUE",IF($F531='설정 Settings'!$C$15,"오늘 TODAY","예정 OPEN")))))</f>
      </c>
      <c r="M531" s="42">
        <f>IF($A531="","",IF($I531="Y","수신거부: 문자·이메일 보내지 않기",IF(OR($E531="SMS",$E531="EMAIL"),IF(OR($H531="",$H531="NONE"),"동의 근거 없음: 전화·방문만",IF($H531="INQUIRY",IF(N($N531)=0,"견적 요청일을 못 찾음: 관련 ID에 견적 ID(Q-…)를 넣었는지 확인",IF('설정 Settings'!$C$15&gt;N($N531),"문의 후 6개월 지남: 다른 동의 근거 필요","OK: 이름·주소·연락처·수신거부 문구 넣기")),IF($H531="REFERRAL","소개 후 첫 메시지만 OK: 소개자 이름 + 이름·주소·연락처·수신거부 문구. 두 번째부터는 다른 동의 근거 필요",IF(AND($H531="REPLY",$D531&lt;&gt;"QUOTE",$D531&lt;&gt;"CALLBACK"),"문의에 대한 답장이 아님: EXPRESS 또는 INQUIRY 동의 필요","OK: 이름·주소·연락처·수신거부 문구 넣기")))),"")))</f>
      </c>
      <c r="N531" s="40">
        <f>IF($H531="INQUIRY",IFERROR(EDATE(INDEX('견적 Quotes'!$B$3:$B$1002,MATCH($C531,'견적 Quotes'!$A$3:$A$1002,0)),'설정 Settings'!$C$20),""),"")</f>
      </c>
    </row>
    <row r="532" spans="12:14" x14ac:dyDescent="0.25">
      <c r="L532" s="42">
        <f>IF($A532="","",IF($G532="Y","완료 DONE",IF($F532="","날짜 없음",IF($F532&lt;'설정 Settings'!$C$15,"지남 OVERDUE",IF($F532='설정 Settings'!$C$15,"오늘 TODAY","예정 OPEN")))))</f>
      </c>
      <c r="M532" s="42">
        <f>IF($A532="","",IF($I532="Y","수신거부: 문자·이메일 보내지 않기",IF(OR($E532="SMS",$E532="EMAIL"),IF(OR($H532="",$H532="NONE"),"동의 근거 없음: 전화·방문만",IF($H532="INQUIRY",IF(N($N532)=0,"견적 요청일을 못 찾음: 관련 ID에 견적 ID(Q-…)를 넣었는지 확인",IF('설정 Settings'!$C$15&gt;N($N532),"문의 후 6개월 지남: 다른 동의 근거 필요","OK: 이름·주소·연락처·수신거부 문구 넣기")),IF($H532="REFERRAL","소개 후 첫 메시지만 OK: 소개자 이름 + 이름·주소·연락처·수신거부 문구. 두 번째부터는 다른 동의 근거 필요",IF(AND($H532="REPLY",$D532&lt;&gt;"QUOTE",$D532&lt;&gt;"CALLBACK"),"문의에 대한 답장이 아님: EXPRESS 또는 INQUIRY 동의 필요","OK: 이름·주소·연락처·수신거부 문구 넣기")))),"")))</f>
      </c>
      <c r="N532" s="40">
        <f>IF($H532="INQUIRY",IFERROR(EDATE(INDEX('견적 Quotes'!$B$3:$B$1002,MATCH($C532,'견적 Quotes'!$A$3:$A$1002,0)),'설정 Settings'!$C$20),""),"")</f>
      </c>
    </row>
    <row r="533" spans="12:14" x14ac:dyDescent="0.25">
      <c r="L533" s="42">
        <f>IF($A533="","",IF($G533="Y","완료 DONE",IF($F533="","날짜 없음",IF($F533&lt;'설정 Settings'!$C$15,"지남 OVERDUE",IF($F533='설정 Settings'!$C$15,"오늘 TODAY","예정 OPEN")))))</f>
      </c>
      <c r="M533" s="42">
        <f>IF($A533="","",IF($I533="Y","수신거부: 문자·이메일 보내지 않기",IF(OR($E533="SMS",$E533="EMAIL"),IF(OR($H533="",$H533="NONE"),"동의 근거 없음: 전화·방문만",IF($H533="INQUIRY",IF(N($N533)=0,"견적 요청일을 못 찾음: 관련 ID에 견적 ID(Q-…)를 넣었는지 확인",IF('설정 Settings'!$C$15&gt;N($N533),"문의 후 6개월 지남: 다른 동의 근거 필요","OK: 이름·주소·연락처·수신거부 문구 넣기")),IF($H533="REFERRAL","소개 후 첫 메시지만 OK: 소개자 이름 + 이름·주소·연락처·수신거부 문구. 두 번째부터는 다른 동의 근거 필요",IF(AND($H533="REPLY",$D533&lt;&gt;"QUOTE",$D533&lt;&gt;"CALLBACK"),"문의에 대한 답장이 아님: EXPRESS 또는 INQUIRY 동의 필요","OK: 이름·주소·연락처·수신거부 문구 넣기")))),"")))</f>
      </c>
      <c r="N533" s="40">
        <f>IF($H533="INQUIRY",IFERROR(EDATE(INDEX('견적 Quotes'!$B$3:$B$1002,MATCH($C533,'견적 Quotes'!$A$3:$A$1002,0)),'설정 Settings'!$C$20),""),"")</f>
      </c>
    </row>
    <row r="534" spans="12:14" x14ac:dyDescent="0.25">
      <c r="L534" s="42">
        <f>IF($A534="","",IF($G534="Y","완료 DONE",IF($F534="","날짜 없음",IF($F534&lt;'설정 Settings'!$C$15,"지남 OVERDUE",IF($F534='설정 Settings'!$C$15,"오늘 TODAY","예정 OPEN")))))</f>
      </c>
      <c r="M534" s="42">
        <f>IF($A534="","",IF($I534="Y","수신거부: 문자·이메일 보내지 않기",IF(OR($E534="SMS",$E534="EMAIL"),IF(OR($H534="",$H534="NONE"),"동의 근거 없음: 전화·방문만",IF($H534="INQUIRY",IF(N($N534)=0,"견적 요청일을 못 찾음: 관련 ID에 견적 ID(Q-…)를 넣었는지 확인",IF('설정 Settings'!$C$15&gt;N($N534),"문의 후 6개월 지남: 다른 동의 근거 필요","OK: 이름·주소·연락처·수신거부 문구 넣기")),IF($H534="REFERRAL","소개 후 첫 메시지만 OK: 소개자 이름 + 이름·주소·연락처·수신거부 문구. 두 번째부터는 다른 동의 근거 필요",IF(AND($H534="REPLY",$D534&lt;&gt;"QUOTE",$D534&lt;&gt;"CALLBACK"),"문의에 대한 답장이 아님: EXPRESS 또는 INQUIRY 동의 필요","OK: 이름·주소·연락처·수신거부 문구 넣기")))),"")))</f>
      </c>
      <c r="N534" s="40">
        <f>IF($H534="INQUIRY",IFERROR(EDATE(INDEX('견적 Quotes'!$B$3:$B$1002,MATCH($C534,'견적 Quotes'!$A$3:$A$1002,0)),'설정 Settings'!$C$20),""),"")</f>
      </c>
    </row>
    <row r="535" spans="12:14" x14ac:dyDescent="0.25">
      <c r="L535" s="42">
        <f>IF($A535="","",IF($G535="Y","완료 DONE",IF($F535="","날짜 없음",IF($F535&lt;'설정 Settings'!$C$15,"지남 OVERDUE",IF($F535='설정 Settings'!$C$15,"오늘 TODAY","예정 OPEN")))))</f>
      </c>
      <c r="M535" s="42">
        <f>IF($A535="","",IF($I535="Y","수신거부: 문자·이메일 보내지 않기",IF(OR($E535="SMS",$E535="EMAIL"),IF(OR($H535="",$H535="NONE"),"동의 근거 없음: 전화·방문만",IF($H535="INQUIRY",IF(N($N535)=0,"견적 요청일을 못 찾음: 관련 ID에 견적 ID(Q-…)를 넣었는지 확인",IF('설정 Settings'!$C$15&gt;N($N535),"문의 후 6개월 지남: 다른 동의 근거 필요","OK: 이름·주소·연락처·수신거부 문구 넣기")),IF($H535="REFERRAL","소개 후 첫 메시지만 OK: 소개자 이름 + 이름·주소·연락처·수신거부 문구. 두 번째부터는 다른 동의 근거 필요",IF(AND($H535="REPLY",$D535&lt;&gt;"QUOTE",$D535&lt;&gt;"CALLBACK"),"문의에 대한 답장이 아님: EXPRESS 또는 INQUIRY 동의 필요","OK: 이름·주소·연락처·수신거부 문구 넣기")))),"")))</f>
      </c>
      <c r="N535" s="40">
        <f>IF($H535="INQUIRY",IFERROR(EDATE(INDEX('견적 Quotes'!$B$3:$B$1002,MATCH($C535,'견적 Quotes'!$A$3:$A$1002,0)),'설정 Settings'!$C$20),""),"")</f>
      </c>
    </row>
    <row r="536" spans="12:14" x14ac:dyDescent="0.25">
      <c r="L536" s="42">
        <f>IF($A536="","",IF($G536="Y","완료 DONE",IF($F536="","날짜 없음",IF($F536&lt;'설정 Settings'!$C$15,"지남 OVERDUE",IF($F536='설정 Settings'!$C$15,"오늘 TODAY","예정 OPEN")))))</f>
      </c>
      <c r="M536" s="42">
        <f>IF($A536="","",IF($I536="Y","수신거부: 문자·이메일 보내지 않기",IF(OR($E536="SMS",$E536="EMAIL"),IF(OR($H536="",$H536="NONE"),"동의 근거 없음: 전화·방문만",IF($H536="INQUIRY",IF(N($N536)=0,"견적 요청일을 못 찾음: 관련 ID에 견적 ID(Q-…)를 넣었는지 확인",IF('설정 Settings'!$C$15&gt;N($N536),"문의 후 6개월 지남: 다른 동의 근거 필요","OK: 이름·주소·연락처·수신거부 문구 넣기")),IF($H536="REFERRAL","소개 후 첫 메시지만 OK: 소개자 이름 + 이름·주소·연락처·수신거부 문구. 두 번째부터는 다른 동의 근거 필요",IF(AND($H536="REPLY",$D536&lt;&gt;"QUOTE",$D536&lt;&gt;"CALLBACK"),"문의에 대한 답장이 아님: EXPRESS 또는 INQUIRY 동의 필요","OK: 이름·주소·연락처·수신거부 문구 넣기")))),"")))</f>
      </c>
      <c r="N536" s="40">
        <f>IF($H536="INQUIRY",IFERROR(EDATE(INDEX('견적 Quotes'!$B$3:$B$1002,MATCH($C536,'견적 Quotes'!$A$3:$A$1002,0)),'설정 Settings'!$C$20),""),"")</f>
      </c>
    </row>
    <row r="537" spans="12:14" x14ac:dyDescent="0.25">
      <c r="L537" s="42">
        <f>IF($A537="","",IF($G537="Y","완료 DONE",IF($F537="","날짜 없음",IF($F537&lt;'설정 Settings'!$C$15,"지남 OVERDUE",IF($F537='설정 Settings'!$C$15,"오늘 TODAY","예정 OPEN")))))</f>
      </c>
      <c r="M537" s="42">
        <f>IF($A537="","",IF($I537="Y","수신거부: 문자·이메일 보내지 않기",IF(OR($E537="SMS",$E537="EMAIL"),IF(OR($H537="",$H537="NONE"),"동의 근거 없음: 전화·방문만",IF($H537="INQUIRY",IF(N($N537)=0,"견적 요청일을 못 찾음: 관련 ID에 견적 ID(Q-…)를 넣었는지 확인",IF('설정 Settings'!$C$15&gt;N($N537),"문의 후 6개월 지남: 다른 동의 근거 필요","OK: 이름·주소·연락처·수신거부 문구 넣기")),IF($H537="REFERRAL","소개 후 첫 메시지만 OK: 소개자 이름 + 이름·주소·연락처·수신거부 문구. 두 번째부터는 다른 동의 근거 필요",IF(AND($H537="REPLY",$D537&lt;&gt;"QUOTE",$D537&lt;&gt;"CALLBACK"),"문의에 대한 답장이 아님: EXPRESS 또는 INQUIRY 동의 필요","OK: 이름·주소·연락처·수신거부 문구 넣기")))),"")))</f>
      </c>
      <c r="N537" s="40">
        <f>IF($H537="INQUIRY",IFERROR(EDATE(INDEX('견적 Quotes'!$B$3:$B$1002,MATCH($C537,'견적 Quotes'!$A$3:$A$1002,0)),'설정 Settings'!$C$20),""),"")</f>
      </c>
    </row>
    <row r="538" spans="12:14" x14ac:dyDescent="0.25">
      <c r="L538" s="42">
        <f>IF($A538="","",IF($G538="Y","완료 DONE",IF($F538="","날짜 없음",IF($F538&lt;'설정 Settings'!$C$15,"지남 OVERDUE",IF($F538='설정 Settings'!$C$15,"오늘 TODAY","예정 OPEN")))))</f>
      </c>
      <c r="M538" s="42">
        <f>IF($A538="","",IF($I538="Y","수신거부: 문자·이메일 보내지 않기",IF(OR($E538="SMS",$E538="EMAIL"),IF(OR($H538="",$H538="NONE"),"동의 근거 없음: 전화·방문만",IF($H538="INQUIRY",IF(N($N538)=0,"견적 요청일을 못 찾음: 관련 ID에 견적 ID(Q-…)를 넣었는지 확인",IF('설정 Settings'!$C$15&gt;N($N538),"문의 후 6개월 지남: 다른 동의 근거 필요","OK: 이름·주소·연락처·수신거부 문구 넣기")),IF($H538="REFERRAL","소개 후 첫 메시지만 OK: 소개자 이름 + 이름·주소·연락처·수신거부 문구. 두 번째부터는 다른 동의 근거 필요",IF(AND($H538="REPLY",$D538&lt;&gt;"QUOTE",$D538&lt;&gt;"CALLBACK"),"문의에 대한 답장이 아님: EXPRESS 또는 INQUIRY 동의 필요","OK: 이름·주소·연락처·수신거부 문구 넣기")))),"")))</f>
      </c>
      <c r="N538" s="40">
        <f>IF($H538="INQUIRY",IFERROR(EDATE(INDEX('견적 Quotes'!$B$3:$B$1002,MATCH($C538,'견적 Quotes'!$A$3:$A$1002,0)),'설정 Settings'!$C$20),""),"")</f>
      </c>
    </row>
    <row r="539" spans="12:14" x14ac:dyDescent="0.25">
      <c r="L539" s="42">
        <f>IF($A539="","",IF($G539="Y","완료 DONE",IF($F539="","날짜 없음",IF($F539&lt;'설정 Settings'!$C$15,"지남 OVERDUE",IF($F539='설정 Settings'!$C$15,"오늘 TODAY","예정 OPEN")))))</f>
      </c>
      <c r="M539" s="42">
        <f>IF($A539="","",IF($I539="Y","수신거부: 문자·이메일 보내지 않기",IF(OR($E539="SMS",$E539="EMAIL"),IF(OR($H539="",$H539="NONE"),"동의 근거 없음: 전화·방문만",IF($H539="INQUIRY",IF(N($N539)=0,"견적 요청일을 못 찾음: 관련 ID에 견적 ID(Q-…)를 넣었는지 확인",IF('설정 Settings'!$C$15&gt;N($N539),"문의 후 6개월 지남: 다른 동의 근거 필요","OK: 이름·주소·연락처·수신거부 문구 넣기")),IF($H539="REFERRAL","소개 후 첫 메시지만 OK: 소개자 이름 + 이름·주소·연락처·수신거부 문구. 두 번째부터는 다른 동의 근거 필요",IF(AND($H539="REPLY",$D539&lt;&gt;"QUOTE",$D539&lt;&gt;"CALLBACK"),"문의에 대한 답장이 아님: EXPRESS 또는 INQUIRY 동의 필요","OK: 이름·주소·연락처·수신거부 문구 넣기")))),"")))</f>
      </c>
      <c r="N539" s="40">
        <f>IF($H539="INQUIRY",IFERROR(EDATE(INDEX('견적 Quotes'!$B$3:$B$1002,MATCH($C539,'견적 Quotes'!$A$3:$A$1002,0)),'설정 Settings'!$C$20),""),"")</f>
      </c>
    </row>
    <row r="540" spans="12:14" x14ac:dyDescent="0.25">
      <c r="L540" s="42">
        <f>IF($A540="","",IF($G540="Y","완료 DONE",IF($F540="","날짜 없음",IF($F540&lt;'설정 Settings'!$C$15,"지남 OVERDUE",IF($F540='설정 Settings'!$C$15,"오늘 TODAY","예정 OPEN")))))</f>
      </c>
      <c r="M540" s="42">
        <f>IF($A540="","",IF($I540="Y","수신거부: 문자·이메일 보내지 않기",IF(OR($E540="SMS",$E540="EMAIL"),IF(OR($H540="",$H540="NONE"),"동의 근거 없음: 전화·방문만",IF($H540="INQUIRY",IF(N($N540)=0,"견적 요청일을 못 찾음: 관련 ID에 견적 ID(Q-…)를 넣었는지 확인",IF('설정 Settings'!$C$15&gt;N($N540),"문의 후 6개월 지남: 다른 동의 근거 필요","OK: 이름·주소·연락처·수신거부 문구 넣기")),IF($H540="REFERRAL","소개 후 첫 메시지만 OK: 소개자 이름 + 이름·주소·연락처·수신거부 문구. 두 번째부터는 다른 동의 근거 필요",IF(AND($H540="REPLY",$D540&lt;&gt;"QUOTE",$D540&lt;&gt;"CALLBACK"),"문의에 대한 답장이 아님: EXPRESS 또는 INQUIRY 동의 필요","OK: 이름·주소·연락처·수신거부 문구 넣기")))),"")))</f>
      </c>
      <c r="N540" s="40">
        <f>IF($H540="INQUIRY",IFERROR(EDATE(INDEX('견적 Quotes'!$B$3:$B$1002,MATCH($C540,'견적 Quotes'!$A$3:$A$1002,0)),'설정 Settings'!$C$20),""),"")</f>
      </c>
    </row>
    <row r="541" spans="12:14" x14ac:dyDescent="0.25">
      <c r="L541" s="42">
        <f>IF($A541="","",IF($G541="Y","완료 DONE",IF($F541="","날짜 없음",IF($F541&lt;'설정 Settings'!$C$15,"지남 OVERDUE",IF($F541='설정 Settings'!$C$15,"오늘 TODAY","예정 OPEN")))))</f>
      </c>
      <c r="M541" s="42">
        <f>IF($A541="","",IF($I541="Y","수신거부: 문자·이메일 보내지 않기",IF(OR($E541="SMS",$E541="EMAIL"),IF(OR($H541="",$H541="NONE"),"동의 근거 없음: 전화·방문만",IF($H541="INQUIRY",IF(N($N541)=0,"견적 요청일을 못 찾음: 관련 ID에 견적 ID(Q-…)를 넣었는지 확인",IF('설정 Settings'!$C$15&gt;N($N541),"문의 후 6개월 지남: 다른 동의 근거 필요","OK: 이름·주소·연락처·수신거부 문구 넣기")),IF($H541="REFERRAL","소개 후 첫 메시지만 OK: 소개자 이름 + 이름·주소·연락처·수신거부 문구. 두 번째부터는 다른 동의 근거 필요",IF(AND($H541="REPLY",$D541&lt;&gt;"QUOTE",$D541&lt;&gt;"CALLBACK"),"문의에 대한 답장이 아님: EXPRESS 또는 INQUIRY 동의 필요","OK: 이름·주소·연락처·수신거부 문구 넣기")))),"")))</f>
      </c>
      <c r="N541" s="40">
        <f>IF($H541="INQUIRY",IFERROR(EDATE(INDEX('견적 Quotes'!$B$3:$B$1002,MATCH($C541,'견적 Quotes'!$A$3:$A$1002,0)),'설정 Settings'!$C$20),""),"")</f>
      </c>
    </row>
    <row r="542" spans="12:14" x14ac:dyDescent="0.25">
      <c r="L542" s="42">
        <f>IF($A542="","",IF($G542="Y","완료 DONE",IF($F542="","날짜 없음",IF($F542&lt;'설정 Settings'!$C$15,"지남 OVERDUE",IF($F542='설정 Settings'!$C$15,"오늘 TODAY","예정 OPEN")))))</f>
      </c>
      <c r="M542" s="42">
        <f>IF($A542="","",IF($I542="Y","수신거부: 문자·이메일 보내지 않기",IF(OR($E542="SMS",$E542="EMAIL"),IF(OR($H542="",$H542="NONE"),"동의 근거 없음: 전화·방문만",IF($H542="INQUIRY",IF(N($N542)=0,"견적 요청일을 못 찾음: 관련 ID에 견적 ID(Q-…)를 넣었는지 확인",IF('설정 Settings'!$C$15&gt;N($N542),"문의 후 6개월 지남: 다른 동의 근거 필요","OK: 이름·주소·연락처·수신거부 문구 넣기")),IF($H542="REFERRAL","소개 후 첫 메시지만 OK: 소개자 이름 + 이름·주소·연락처·수신거부 문구. 두 번째부터는 다른 동의 근거 필요",IF(AND($H542="REPLY",$D542&lt;&gt;"QUOTE",$D542&lt;&gt;"CALLBACK"),"문의에 대한 답장이 아님: EXPRESS 또는 INQUIRY 동의 필요","OK: 이름·주소·연락처·수신거부 문구 넣기")))),"")))</f>
      </c>
      <c r="N542" s="40">
        <f>IF($H542="INQUIRY",IFERROR(EDATE(INDEX('견적 Quotes'!$B$3:$B$1002,MATCH($C542,'견적 Quotes'!$A$3:$A$1002,0)),'설정 Settings'!$C$20),""),"")</f>
      </c>
    </row>
    <row r="543" spans="12:14" x14ac:dyDescent="0.25">
      <c r="L543" s="42">
        <f>IF($A543="","",IF($G543="Y","완료 DONE",IF($F543="","날짜 없음",IF($F543&lt;'설정 Settings'!$C$15,"지남 OVERDUE",IF($F543='설정 Settings'!$C$15,"오늘 TODAY","예정 OPEN")))))</f>
      </c>
      <c r="M543" s="42">
        <f>IF($A543="","",IF($I543="Y","수신거부: 문자·이메일 보내지 않기",IF(OR($E543="SMS",$E543="EMAIL"),IF(OR($H543="",$H543="NONE"),"동의 근거 없음: 전화·방문만",IF($H543="INQUIRY",IF(N($N543)=0,"견적 요청일을 못 찾음: 관련 ID에 견적 ID(Q-…)를 넣었는지 확인",IF('설정 Settings'!$C$15&gt;N($N543),"문의 후 6개월 지남: 다른 동의 근거 필요","OK: 이름·주소·연락처·수신거부 문구 넣기")),IF($H543="REFERRAL","소개 후 첫 메시지만 OK: 소개자 이름 + 이름·주소·연락처·수신거부 문구. 두 번째부터는 다른 동의 근거 필요",IF(AND($H543="REPLY",$D543&lt;&gt;"QUOTE",$D543&lt;&gt;"CALLBACK"),"문의에 대한 답장이 아님: EXPRESS 또는 INQUIRY 동의 필요","OK: 이름·주소·연락처·수신거부 문구 넣기")))),"")))</f>
      </c>
      <c r="N543" s="40">
        <f>IF($H543="INQUIRY",IFERROR(EDATE(INDEX('견적 Quotes'!$B$3:$B$1002,MATCH($C543,'견적 Quotes'!$A$3:$A$1002,0)),'설정 Settings'!$C$20),""),"")</f>
      </c>
    </row>
    <row r="544" spans="12:14" x14ac:dyDescent="0.25">
      <c r="L544" s="42">
        <f>IF($A544="","",IF($G544="Y","완료 DONE",IF($F544="","날짜 없음",IF($F544&lt;'설정 Settings'!$C$15,"지남 OVERDUE",IF($F544='설정 Settings'!$C$15,"오늘 TODAY","예정 OPEN")))))</f>
      </c>
      <c r="M544" s="42">
        <f>IF($A544="","",IF($I544="Y","수신거부: 문자·이메일 보내지 않기",IF(OR($E544="SMS",$E544="EMAIL"),IF(OR($H544="",$H544="NONE"),"동의 근거 없음: 전화·방문만",IF($H544="INQUIRY",IF(N($N544)=0,"견적 요청일을 못 찾음: 관련 ID에 견적 ID(Q-…)를 넣었는지 확인",IF('설정 Settings'!$C$15&gt;N($N544),"문의 후 6개월 지남: 다른 동의 근거 필요","OK: 이름·주소·연락처·수신거부 문구 넣기")),IF($H544="REFERRAL","소개 후 첫 메시지만 OK: 소개자 이름 + 이름·주소·연락처·수신거부 문구. 두 번째부터는 다른 동의 근거 필요",IF(AND($H544="REPLY",$D544&lt;&gt;"QUOTE",$D544&lt;&gt;"CALLBACK"),"문의에 대한 답장이 아님: EXPRESS 또는 INQUIRY 동의 필요","OK: 이름·주소·연락처·수신거부 문구 넣기")))),"")))</f>
      </c>
      <c r="N544" s="40">
        <f>IF($H544="INQUIRY",IFERROR(EDATE(INDEX('견적 Quotes'!$B$3:$B$1002,MATCH($C544,'견적 Quotes'!$A$3:$A$1002,0)),'설정 Settings'!$C$20),""),"")</f>
      </c>
    </row>
    <row r="545" spans="12:14" x14ac:dyDescent="0.25">
      <c r="L545" s="42">
        <f>IF($A545="","",IF($G545="Y","완료 DONE",IF($F545="","날짜 없음",IF($F545&lt;'설정 Settings'!$C$15,"지남 OVERDUE",IF($F545='설정 Settings'!$C$15,"오늘 TODAY","예정 OPEN")))))</f>
      </c>
      <c r="M545" s="42">
        <f>IF($A545="","",IF($I545="Y","수신거부: 문자·이메일 보내지 않기",IF(OR($E545="SMS",$E545="EMAIL"),IF(OR($H545="",$H545="NONE"),"동의 근거 없음: 전화·방문만",IF($H545="INQUIRY",IF(N($N545)=0,"견적 요청일을 못 찾음: 관련 ID에 견적 ID(Q-…)를 넣었는지 확인",IF('설정 Settings'!$C$15&gt;N($N545),"문의 후 6개월 지남: 다른 동의 근거 필요","OK: 이름·주소·연락처·수신거부 문구 넣기")),IF($H545="REFERRAL","소개 후 첫 메시지만 OK: 소개자 이름 + 이름·주소·연락처·수신거부 문구. 두 번째부터는 다른 동의 근거 필요",IF(AND($H545="REPLY",$D545&lt;&gt;"QUOTE",$D545&lt;&gt;"CALLBACK"),"문의에 대한 답장이 아님: EXPRESS 또는 INQUIRY 동의 필요","OK: 이름·주소·연락처·수신거부 문구 넣기")))),"")))</f>
      </c>
      <c r="N545" s="40">
        <f>IF($H545="INQUIRY",IFERROR(EDATE(INDEX('견적 Quotes'!$B$3:$B$1002,MATCH($C545,'견적 Quotes'!$A$3:$A$1002,0)),'설정 Settings'!$C$20),""),"")</f>
      </c>
    </row>
    <row r="546" spans="12:14" x14ac:dyDescent="0.25">
      <c r="L546" s="42">
        <f>IF($A546="","",IF($G546="Y","완료 DONE",IF($F546="","날짜 없음",IF($F546&lt;'설정 Settings'!$C$15,"지남 OVERDUE",IF($F546='설정 Settings'!$C$15,"오늘 TODAY","예정 OPEN")))))</f>
      </c>
      <c r="M546" s="42">
        <f>IF($A546="","",IF($I546="Y","수신거부: 문자·이메일 보내지 않기",IF(OR($E546="SMS",$E546="EMAIL"),IF(OR($H546="",$H546="NONE"),"동의 근거 없음: 전화·방문만",IF($H546="INQUIRY",IF(N($N546)=0,"견적 요청일을 못 찾음: 관련 ID에 견적 ID(Q-…)를 넣었는지 확인",IF('설정 Settings'!$C$15&gt;N($N546),"문의 후 6개월 지남: 다른 동의 근거 필요","OK: 이름·주소·연락처·수신거부 문구 넣기")),IF($H546="REFERRAL","소개 후 첫 메시지만 OK: 소개자 이름 + 이름·주소·연락처·수신거부 문구. 두 번째부터는 다른 동의 근거 필요",IF(AND($H546="REPLY",$D546&lt;&gt;"QUOTE",$D546&lt;&gt;"CALLBACK"),"문의에 대한 답장이 아님: EXPRESS 또는 INQUIRY 동의 필요","OK: 이름·주소·연락처·수신거부 문구 넣기")))),"")))</f>
      </c>
      <c r="N546" s="40">
        <f>IF($H546="INQUIRY",IFERROR(EDATE(INDEX('견적 Quotes'!$B$3:$B$1002,MATCH($C546,'견적 Quotes'!$A$3:$A$1002,0)),'설정 Settings'!$C$20),""),"")</f>
      </c>
    </row>
    <row r="547" spans="12:14" x14ac:dyDescent="0.25">
      <c r="L547" s="42">
        <f>IF($A547="","",IF($G547="Y","완료 DONE",IF($F547="","날짜 없음",IF($F547&lt;'설정 Settings'!$C$15,"지남 OVERDUE",IF($F547='설정 Settings'!$C$15,"오늘 TODAY","예정 OPEN")))))</f>
      </c>
      <c r="M547" s="42">
        <f>IF($A547="","",IF($I547="Y","수신거부: 문자·이메일 보내지 않기",IF(OR($E547="SMS",$E547="EMAIL"),IF(OR($H547="",$H547="NONE"),"동의 근거 없음: 전화·방문만",IF($H547="INQUIRY",IF(N($N547)=0,"견적 요청일을 못 찾음: 관련 ID에 견적 ID(Q-…)를 넣었는지 확인",IF('설정 Settings'!$C$15&gt;N($N547),"문의 후 6개월 지남: 다른 동의 근거 필요","OK: 이름·주소·연락처·수신거부 문구 넣기")),IF($H547="REFERRAL","소개 후 첫 메시지만 OK: 소개자 이름 + 이름·주소·연락처·수신거부 문구. 두 번째부터는 다른 동의 근거 필요",IF(AND($H547="REPLY",$D547&lt;&gt;"QUOTE",$D547&lt;&gt;"CALLBACK"),"문의에 대한 답장이 아님: EXPRESS 또는 INQUIRY 동의 필요","OK: 이름·주소·연락처·수신거부 문구 넣기")))),"")))</f>
      </c>
      <c r="N547" s="40">
        <f>IF($H547="INQUIRY",IFERROR(EDATE(INDEX('견적 Quotes'!$B$3:$B$1002,MATCH($C547,'견적 Quotes'!$A$3:$A$1002,0)),'설정 Settings'!$C$20),""),"")</f>
      </c>
    </row>
    <row r="548" spans="12:14" x14ac:dyDescent="0.25">
      <c r="L548" s="42">
        <f>IF($A548="","",IF($G548="Y","완료 DONE",IF($F548="","날짜 없음",IF($F548&lt;'설정 Settings'!$C$15,"지남 OVERDUE",IF($F548='설정 Settings'!$C$15,"오늘 TODAY","예정 OPEN")))))</f>
      </c>
      <c r="M548" s="42">
        <f>IF($A548="","",IF($I548="Y","수신거부: 문자·이메일 보내지 않기",IF(OR($E548="SMS",$E548="EMAIL"),IF(OR($H548="",$H548="NONE"),"동의 근거 없음: 전화·방문만",IF($H548="INQUIRY",IF(N($N548)=0,"견적 요청일을 못 찾음: 관련 ID에 견적 ID(Q-…)를 넣었는지 확인",IF('설정 Settings'!$C$15&gt;N($N548),"문의 후 6개월 지남: 다른 동의 근거 필요","OK: 이름·주소·연락처·수신거부 문구 넣기")),IF($H548="REFERRAL","소개 후 첫 메시지만 OK: 소개자 이름 + 이름·주소·연락처·수신거부 문구. 두 번째부터는 다른 동의 근거 필요",IF(AND($H548="REPLY",$D548&lt;&gt;"QUOTE",$D548&lt;&gt;"CALLBACK"),"문의에 대한 답장이 아님: EXPRESS 또는 INQUIRY 동의 필요","OK: 이름·주소·연락처·수신거부 문구 넣기")))),"")))</f>
      </c>
      <c r="N548" s="40">
        <f>IF($H548="INQUIRY",IFERROR(EDATE(INDEX('견적 Quotes'!$B$3:$B$1002,MATCH($C548,'견적 Quotes'!$A$3:$A$1002,0)),'설정 Settings'!$C$20),""),"")</f>
      </c>
    </row>
    <row r="549" spans="12:14" x14ac:dyDescent="0.25">
      <c r="L549" s="42">
        <f>IF($A549="","",IF($G549="Y","완료 DONE",IF($F549="","날짜 없음",IF($F549&lt;'설정 Settings'!$C$15,"지남 OVERDUE",IF($F549='설정 Settings'!$C$15,"오늘 TODAY","예정 OPEN")))))</f>
      </c>
      <c r="M549" s="42">
        <f>IF($A549="","",IF($I549="Y","수신거부: 문자·이메일 보내지 않기",IF(OR($E549="SMS",$E549="EMAIL"),IF(OR($H549="",$H549="NONE"),"동의 근거 없음: 전화·방문만",IF($H549="INQUIRY",IF(N($N549)=0,"견적 요청일을 못 찾음: 관련 ID에 견적 ID(Q-…)를 넣었는지 확인",IF('설정 Settings'!$C$15&gt;N($N549),"문의 후 6개월 지남: 다른 동의 근거 필요","OK: 이름·주소·연락처·수신거부 문구 넣기")),IF($H549="REFERRAL","소개 후 첫 메시지만 OK: 소개자 이름 + 이름·주소·연락처·수신거부 문구. 두 번째부터는 다른 동의 근거 필요",IF(AND($H549="REPLY",$D549&lt;&gt;"QUOTE",$D549&lt;&gt;"CALLBACK"),"문의에 대한 답장이 아님: EXPRESS 또는 INQUIRY 동의 필요","OK: 이름·주소·연락처·수신거부 문구 넣기")))),"")))</f>
      </c>
      <c r="N549" s="40">
        <f>IF($H549="INQUIRY",IFERROR(EDATE(INDEX('견적 Quotes'!$B$3:$B$1002,MATCH($C549,'견적 Quotes'!$A$3:$A$1002,0)),'설정 Settings'!$C$20),""),"")</f>
      </c>
    </row>
    <row r="550" spans="12:14" x14ac:dyDescent="0.25">
      <c r="L550" s="42">
        <f>IF($A550="","",IF($G550="Y","완료 DONE",IF($F550="","날짜 없음",IF($F550&lt;'설정 Settings'!$C$15,"지남 OVERDUE",IF($F550='설정 Settings'!$C$15,"오늘 TODAY","예정 OPEN")))))</f>
      </c>
      <c r="M550" s="42">
        <f>IF($A550="","",IF($I550="Y","수신거부: 문자·이메일 보내지 않기",IF(OR($E550="SMS",$E550="EMAIL"),IF(OR($H550="",$H550="NONE"),"동의 근거 없음: 전화·방문만",IF($H550="INQUIRY",IF(N($N550)=0,"견적 요청일을 못 찾음: 관련 ID에 견적 ID(Q-…)를 넣었는지 확인",IF('설정 Settings'!$C$15&gt;N($N550),"문의 후 6개월 지남: 다른 동의 근거 필요","OK: 이름·주소·연락처·수신거부 문구 넣기")),IF($H550="REFERRAL","소개 후 첫 메시지만 OK: 소개자 이름 + 이름·주소·연락처·수신거부 문구. 두 번째부터는 다른 동의 근거 필요",IF(AND($H550="REPLY",$D550&lt;&gt;"QUOTE",$D550&lt;&gt;"CALLBACK"),"문의에 대한 답장이 아님: EXPRESS 또는 INQUIRY 동의 필요","OK: 이름·주소·연락처·수신거부 문구 넣기")))),"")))</f>
      </c>
      <c r="N550" s="40">
        <f>IF($H550="INQUIRY",IFERROR(EDATE(INDEX('견적 Quotes'!$B$3:$B$1002,MATCH($C550,'견적 Quotes'!$A$3:$A$1002,0)),'설정 Settings'!$C$20),""),"")</f>
      </c>
    </row>
    <row r="551" spans="12:14" x14ac:dyDescent="0.25">
      <c r="L551" s="42">
        <f>IF($A551="","",IF($G551="Y","완료 DONE",IF($F551="","날짜 없음",IF($F551&lt;'설정 Settings'!$C$15,"지남 OVERDUE",IF($F551='설정 Settings'!$C$15,"오늘 TODAY","예정 OPEN")))))</f>
      </c>
      <c r="M551" s="42">
        <f>IF($A551="","",IF($I551="Y","수신거부: 문자·이메일 보내지 않기",IF(OR($E551="SMS",$E551="EMAIL"),IF(OR($H551="",$H551="NONE"),"동의 근거 없음: 전화·방문만",IF($H551="INQUIRY",IF(N($N551)=0,"견적 요청일을 못 찾음: 관련 ID에 견적 ID(Q-…)를 넣었는지 확인",IF('설정 Settings'!$C$15&gt;N($N551),"문의 후 6개월 지남: 다른 동의 근거 필요","OK: 이름·주소·연락처·수신거부 문구 넣기")),IF($H551="REFERRAL","소개 후 첫 메시지만 OK: 소개자 이름 + 이름·주소·연락처·수신거부 문구. 두 번째부터는 다른 동의 근거 필요",IF(AND($H551="REPLY",$D551&lt;&gt;"QUOTE",$D551&lt;&gt;"CALLBACK"),"문의에 대한 답장이 아님: EXPRESS 또는 INQUIRY 동의 필요","OK: 이름·주소·연락처·수신거부 문구 넣기")))),"")))</f>
      </c>
      <c r="N551" s="40">
        <f>IF($H551="INQUIRY",IFERROR(EDATE(INDEX('견적 Quotes'!$B$3:$B$1002,MATCH($C551,'견적 Quotes'!$A$3:$A$1002,0)),'설정 Settings'!$C$20),""),"")</f>
      </c>
    </row>
    <row r="552" spans="12:14" x14ac:dyDescent="0.25">
      <c r="L552" s="42">
        <f>IF($A552="","",IF($G552="Y","완료 DONE",IF($F552="","날짜 없음",IF($F552&lt;'설정 Settings'!$C$15,"지남 OVERDUE",IF($F552='설정 Settings'!$C$15,"오늘 TODAY","예정 OPEN")))))</f>
      </c>
      <c r="M552" s="42">
        <f>IF($A552="","",IF($I552="Y","수신거부: 문자·이메일 보내지 않기",IF(OR($E552="SMS",$E552="EMAIL"),IF(OR($H552="",$H552="NONE"),"동의 근거 없음: 전화·방문만",IF($H552="INQUIRY",IF(N($N552)=0,"견적 요청일을 못 찾음: 관련 ID에 견적 ID(Q-…)를 넣었는지 확인",IF('설정 Settings'!$C$15&gt;N($N552),"문의 후 6개월 지남: 다른 동의 근거 필요","OK: 이름·주소·연락처·수신거부 문구 넣기")),IF($H552="REFERRAL","소개 후 첫 메시지만 OK: 소개자 이름 + 이름·주소·연락처·수신거부 문구. 두 번째부터는 다른 동의 근거 필요",IF(AND($H552="REPLY",$D552&lt;&gt;"QUOTE",$D552&lt;&gt;"CALLBACK"),"문의에 대한 답장이 아님: EXPRESS 또는 INQUIRY 동의 필요","OK: 이름·주소·연락처·수신거부 문구 넣기")))),"")))</f>
      </c>
      <c r="N552" s="40">
        <f>IF($H552="INQUIRY",IFERROR(EDATE(INDEX('견적 Quotes'!$B$3:$B$1002,MATCH($C552,'견적 Quotes'!$A$3:$A$1002,0)),'설정 Settings'!$C$20),""),"")</f>
      </c>
    </row>
    <row r="553" spans="12:14" x14ac:dyDescent="0.25">
      <c r="L553" s="42">
        <f>IF($A553="","",IF($G553="Y","완료 DONE",IF($F553="","날짜 없음",IF($F553&lt;'설정 Settings'!$C$15,"지남 OVERDUE",IF($F553='설정 Settings'!$C$15,"오늘 TODAY","예정 OPEN")))))</f>
      </c>
      <c r="M553" s="42">
        <f>IF($A553="","",IF($I553="Y","수신거부: 문자·이메일 보내지 않기",IF(OR($E553="SMS",$E553="EMAIL"),IF(OR($H553="",$H553="NONE"),"동의 근거 없음: 전화·방문만",IF($H553="INQUIRY",IF(N($N553)=0,"견적 요청일을 못 찾음: 관련 ID에 견적 ID(Q-…)를 넣었는지 확인",IF('설정 Settings'!$C$15&gt;N($N553),"문의 후 6개월 지남: 다른 동의 근거 필요","OK: 이름·주소·연락처·수신거부 문구 넣기")),IF($H553="REFERRAL","소개 후 첫 메시지만 OK: 소개자 이름 + 이름·주소·연락처·수신거부 문구. 두 번째부터는 다른 동의 근거 필요",IF(AND($H553="REPLY",$D553&lt;&gt;"QUOTE",$D553&lt;&gt;"CALLBACK"),"문의에 대한 답장이 아님: EXPRESS 또는 INQUIRY 동의 필요","OK: 이름·주소·연락처·수신거부 문구 넣기")))),"")))</f>
      </c>
      <c r="N553" s="40">
        <f>IF($H553="INQUIRY",IFERROR(EDATE(INDEX('견적 Quotes'!$B$3:$B$1002,MATCH($C553,'견적 Quotes'!$A$3:$A$1002,0)),'설정 Settings'!$C$20),""),"")</f>
      </c>
    </row>
    <row r="554" spans="12:14" x14ac:dyDescent="0.25">
      <c r="L554" s="42">
        <f>IF($A554="","",IF($G554="Y","완료 DONE",IF($F554="","날짜 없음",IF($F554&lt;'설정 Settings'!$C$15,"지남 OVERDUE",IF($F554='설정 Settings'!$C$15,"오늘 TODAY","예정 OPEN")))))</f>
      </c>
      <c r="M554" s="42">
        <f>IF($A554="","",IF($I554="Y","수신거부: 문자·이메일 보내지 않기",IF(OR($E554="SMS",$E554="EMAIL"),IF(OR($H554="",$H554="NONE"),"동의 근거 없음: 전화·방문만",IF($H554="INQUIRY",IF(N($N554)=0,"견적 요청일을 못 찾음: 관련 ID에 견적 ID(Q-…)를 넣었는지 확인",IF('설정 Settings'!$C$15&gt;N($N554),"문의 후 6개월 지남: 다른 동의 근거 필요","OK: 이름·주소·연락처·수신거부 문구 넣기")),IF($H554="REFERRAL","소개 후 첫 메시지만 OK: 소개자 이름 + 이름·주소·연락처·수신거부 문구. 두 번째부터는 다른 동의 근거 필요",IF(AND($H554="REPLY",$D554&lt;&gt;"QUOTE",$D554&lt;&gt;"CALLBACK"),"문의에 대한 답장이 아님: EXPRESS 또는 INQUIRY 동의 필요","OK: 이름·주소·연락처·수신거부 문구 넣기")))),"")))</f>
      </c>
      <c r="N554" s="40">
        <f>IF($H554="INQUIRY",IFERROR(EDATE(INDEX('견적 Quotes'!$B$3:$B$1002,MATCH($C554,'견적 Quotes'!$A$3:$A$1002,0)),'설정 Settings'!$C$20),""),"")</f>
      </c>
    </row>
    <row r="555" spans="12:14" x14ac:dyDescent="0.25">
      <c r="L555" s="42">
        <f>IF($A555="","",IF($G555="Y","완료 DONE",IF($F555="","날짜 없음",IF($F555&lt;'설정 Settings'!$C$15,"지남 OVERDUE",IF($F555='설정 Settings'!$C$15,"오늘 TODAY","예정 OPEN")))))</f>
      </c>
      <c r="M555" s="42">
        <f>IF($A555="","",IF($I555="Y","수신거부: 문자·이메일 보내지 않기",IF(OR($E555="SMS",$E555="EMAIL"),IF(OR($H555="",$H555="NONE"),"동의 근거 없음: 전화·방문만",IF($H555="INQUIRY",IF(N($N555)=0,"견적 요청일을 못 찾음: 관련 ID에 견적 ID(Q-…)를 넣었는지 확인",IF('설정 Settings'!$C$15&gt;N($N555),"문의 후 6개월 지남: 다른 동의 근거 필요","OK: 이름·주소·연락처·수신거부 문구 넣기")),IF($H555="REFERRAL","소개 후 첫 메시지만 OK: 소개자 이름 + 이름·주소·연락처·수신거부 문구. 두 번째부터는 다른 동의 근거 필요",IF(AND($H555="REPLY",$D555&lt;&gt;"QUOTE",$D555&lt;&gt;"CALLBACK"),"문의에 대한 답장이 아님: EXPRESS 또는 INQUIRY 동의 필요","OK: 이름·주소·연락처·수신거부 문구 넣기")))),"")))</f>
      </c>
      <c r="N555" s="40">
        <f>IF($H555="INQUIRY",IFERROR(EDATE(INDEX('견적 Quotes'!$B$3:$B$1002,MATCH($C555,'견적 Quotes'!$A$3:$A$1002,0)),'설정 Settings'!$C$20),""),"")</f>
      </c>
    </row>
    <row r="556" spans="12:14" x14ac:dyDescent="0.25">
      <c r="L556" s="42">
        <f>IF($A556="","",IF($G556="Y","완료 DONE",IF($F556="","날짜 없음",IF($F556&lt;'설정 Settings'!$C$15,"지남 OVERDUE",IF($F556='설정 Settings'!$C$15,"오늘 TODAY","예정 OPEN")))))</f>
      </c>
      <c r="M556" s="42">
        <f>IF($A556="","",IF($I556="Y","수신거부: 문자·이메일 보내지 않기",IF(OR($E556="SMS",$E556="EMAIL"),IF(OR($H556="",$H556="NONE"),"동의 근거 없음: 전화·방문만",IF($H556="INQUIRY",IF(N($N556)=0,"견적 요청일을 못 찾음: 관련 ID에 견적 ID(Q-…)를 넣었는지 확인",IF('설정 Settings'!$C$15&gt;N($N556),"문의 후 6개월 지남: 다른 동의 근거 필요","OK: 이름·주소·연락처·수신거부 문구 넣기")),IF($H556="REFERRAL","소개 후 첫 메시지만 OK: 소개자 이름 + 이름·주소·연락처·수신거부 문구. 두 번째부터는 다른 동의 근거 필요",IF(AND($H556="REPLY",$D556&lt;&gt;"QUOTE",$D556&lt;&gt;"CALLBACK"),"문의에 대한 답장이 아님: EXPRESS 또는 INQUIRY 동의 필요","OK: 이름·주소·연락처·수신거부 문구 넣기")))),"")))</f>
      </c>
      <c r="N556" s="40">
        <f>IF($H556="INQUIRY",IFERROR(EDATE(INDEX('견적 Quotes'!$B$3:$B$1002,MATCH($C556,'견적 Quotes'!$A$3:$A$1002,0)),'설정 Settings'!$C$20),""),"")</f>
      </c>
    </row>
    <row r="557" spans="12:14" x14ac:dyDescent="0.25">
      <c r="L557" s="42">
        <f>IF($A557="","",IF($G557="Y","완료 DONE",IF($F557="","날짜 없음",IF($F557&lt;'설정 Settings'!$C$15,"지남 OVERDUE",IF($F557='설정 Settings'!$C$15,"오늘 TODAY","예정 OPEN")))))</f>
      </c>
      <c r="M557" s="42">
        <f>IF($A557="","",IF($I557="Y","수신거부: 문자·이메일 보내지 않기",IF(OR($E557="SMS",$E557="EMAIL"),IF(OR($H557="",$H557="NONE"),"동의 근거 없음: 전화·방문만",IF($H557="INQUIRY",IF(N($N557)=0,"견적 요청일을 못 찾음: 관련 ID에 견적 ID(Q-…)를 넣었는지 확인",IF('설정 Settings'!$C$15&gt;N($N557),"문의 후 6개월 지남: 다른 동의 근거 필요","OK: 이름·주소·연락처·수신거부 문구 넣기")),IF($H557="REFERRAL","소개 후 첫 메시지만 OK: 소개자 이름 + 이름·주소·연락처·수신거부 문구. 두 번째부터는 다른 동의 근거 필요",IF(AND($H557="REPLY",$D557&lt;&gt;"QUOTE",$D557&lt;&gt;"CALLBACK"),"문의에 대한 답장이 아님: EXPRESS 또는 INQUIRY 동의 필요","OK: 이름·주소·연락처·수신거부 문구 넣기")))),"")))</f>
      </c>
      <c r="N557" s="40">
        <f>IF($H557="INQUIRY",IFERROR(EDATE(INDEX('견적 Quotes'!$B$3:$B$1002,MATCH($C557,'견적 Quotes'!$A$3:$A$1002,0)),'설정 Settings'!$C$20),""),"")</f>
      </c>
    </row>
    <row r="558" spans="12:14" x14ac:dyDescent="0.25">
      <c r="L558" s="42">
        <f>IF($A558="","",IF($G558="Y","완료 DONE",IF($F558="","날짜 없음",IF($F558&lt;'설정 Settings'!$C$15,"지남 OVERDUE",IF($F558='설정 Settings'!$C$15,"오늘 TODAY","예정 OPEN")))))</f>
      </c>
      <c r="M558" s="42">
        <f>IF($A558="","",IF($I558="Y","수신거부: 문자·이메일 보내지 않기",IF(OR($E558="SMS",$E558="EMAIL"),IF(OR($H558="",$H558="NONE"),"동의 근거 없음: 전화·방문만",IF($H558="INQUIRY",IF(N($N558)=0,"견적 요청일을 못 찾음: 관련 ID에 견적 ID(Q-…)를 넣었는지 확인",IF('설정 Settings'!$C$15&gt;N($N558),"문의 후 6개월 지남: 다른 동의 근거 필요","OK: 이름·주소·연락처·수신거부 문구 넣기")),IF($H558="REFERRAL","소개 후 첫 메시지만 OK: 소개자 이름 + 이름·주소·연락처·수신거부 문구. 두 번째부터는 다른 동의 근거 필요",IF(AND($H558="REPLY",$D558&lt;&gt;"QUOTE",$D558&lt;&gt;"CALLBACK"),"문의에 대한 답장이 아님: EXPRESS 또는 INQUIRY 동의 필요","OK: 이름·주소·연락처·수신거부 문구 넣기")))),"")))</f>
      </c>
      <c r="N558" s="40">
        <f>IF($H558="INQUIRY",IFERROR(EDATE(INDEX('견적 Quotes'!$B$3:$B$1002,MATCH($C558,'견적 Quotes'!$A$3:$A$1002,0)),'설정 Settings'!$C$20),""),"")</f>
      </c>
    </row>
    <row r="559" spans="12:14" x14ac:dyDescent="0.25">
      <c r="L559" s="42">
        <f>IF($A559="","",IF($G559="Y","완료 DONE",IF($F559="","날짜 없음",IF($F559&lt;'설정 Settings'!$C$15,"지남 OVERDUE",IF($F559='설정 Settings'!$C$15,"오늘 TODAY","예정 OPEN")))))</f>
      </c>
      <c r="M559" s="42">
        <f>IF($A559="","",IF($I559="Y","수신거부: 문자·이메일 보내지 않기",IF(OR($E559="SMS",$E559="EMAIL"),IF(OR($H559="",$H559="NONE"),"동의 근거 없음: 전화·방문만",IF($H559="INQUIRY",IF(N($N559)=0,"견적 요청일을 못 찾음: 관련 ID에 견적 ID(Q-…)를 넣었는지 확인",IF('설정 Settings'!$C$15&gt;N($N559),"문의 후 6개월 지남: 다른 동의 근거 필요","OK: 이름·주소·연락처·수신거부 문구 넣기")),IF($H559="REFERRAL","소개 후 첫 메시지만 OK: 소개자 이름 + 이름·주소·연락처·수신거부 문구. 두 번째부터는 다른 동의 근거 필요",IF(AND($H559="REPLY",$D559&lt;&gt;"QUOTE",$D559&lt;&gt;"CALLBACK"),"문의에 대한 답장이 아님: EXPRESS 또는 INQUIRY 동의 필요","OK: 이름·주소·연락처·수신거부 문구 넣기")))),"")))</f>
      </c>
      <c r="N559" s="40">
        <f>IF($H559="INQUIRY",IFERROR(EDATE(INDEX('견적 Quotes'!$B$3:$B$1002,MATCH($C559,'견적 Quotes'!$A$3:$A$1002,0)),'설정 Settings'!$C$20),""),"")</f>
      </c>
    </row>
    <row r="560" spans="12:14" x14ac:dyDescent="0.25">
      <c r="L560" s="42">
        <f>IF($A560="","",IF($G560="Y","완료 DONE",IF($F560="","날짜 없음",IF($F560&lt;'설정 Settings'!$C$15,"지남 OVERDUE",IF($F560='설정 Settings'!$C$15,"오늘 TODAY","예정 OPEN")))))</f>
      </c>
      <c r="M560" s="42">
        <f>IF($A560="","",IF($I560="Y","수신거부: 문자·이메일 보내지 않기",IF(OR($E560="SMS",$E560="EMAIL"),IF(OR($H560="",$H560="NONE"),"동의 근거 없음: 전화·방문만",IF($H560="INQUIRY",IF(N($N560)=0,"견적 요청일을 못 찾음: 관련 ID에 견적 ID(Q-…)를 넣었는지 확인",IF('설정 Settings'!$C$15&gt;N($N560),"문의 후 6개월 지남: 다른 동의 근거 필요","OK: 이름·주소·연락처·수신거부 문구 넣기")),IF($H560="REFERRAL","소개 후 첫 메시지만 OK: 소개자 이름 + 이름·주소·연락처·수신거부 문구. 두 번째부터는 다른 동의 근거 필요",IF(AND($H560="REPLY",$D560&lt;&gt;"QUOTE",$D560&lt;&gt;"CALLBACK"),"문의에 대한 답장이 아님: EXPRESS 또는 INQUIRY 동의 필요","OK: 이름·주소·연락처·수신거부 문구 넣기")))),"")))</f>
      </c>
      <c r="N560" s="40">
        <f>IF($H560="INQUIRY",IFERROR(EDATE(INDEX('견적 Quotes'!$B$3:$B$1002,MATCH($C560,'견적 Quotes'!$A$3:$A$1002,0)),'설정 Settings'!$C$20),""),"")</f>
      </c>
    </row>
    <row r="561" spans="12:14" x14ac:dyDescent="0.25">
      <c r="L561" s="42">
        <f>IF($A561="","",IF($G561="Y","완료 DONE",IF($F561="","날짜 없음",IF($F561&lt;'설정 Settings'!$C$15,"지남 OVERDUE",IF($F561='설정 Settings'!$C$15,"오늘 TODAY","예정 OPEN")))))</f>
      </c>
      <c r="M561" s="42">
        <f>IF($A561="","",IF($I561="Y","수신거부: 문자·이메일 보내지 않기",IF(OR($E561="SMS",$E561="EMAIL"),IF(OR($H561="",$H561="NONE"),"동의 근거 없음: 전화·방문만",IF($H561="INQUIRY",IF(N($N561)=0,"견적 요청일을 못 찾음: 관련 ID에 견적 ID(Q-…)를 넣었는지 확인",IF('설정 Settings'!$C$15&gt;N($N561),"문의 후 6개월 지남: 다른 동의 근거 필요","OK: 이름·주소·연락처·수신거부 문구 넣기")),IF($H561="REFERRAL","소개 후 첫 메시지만 OK: 소개자 이름 + 이름·주소·연락처·수신거부 문구. 두 번째부터는 다른 동의 근거 필요",IF(AND($H561="REPLY",$D561&lt;&gt;"QUOTE",$D561&lt;&gt;"CALLBACK"),"문의에 대한 답장이 아님: EXPRESS 또는 INQUIRY 동의 필요","OK: 이름·주소·연락처·수신거부 문구 넣기")))),"")))</f>
      </c>
      <c r="N561" s="40">
        <f>IF($H561="INQUIRY",IFERROR(EDATE(INDEX('견적 Quotes'!$B$3:$B$1002,MATCH($C561,'견적 Quotes'!$A$3:$A$1002,0)),'설정 Settings'!$C$20),""),"")</f>
      </c>
    </row>
    <row r="562" spans="12:14" x14ac:dyDescent="0.25">
      <c r="L562" s="42">
        <f>IF($A562="","",IF($G562="Y","완료 DONE",IF($F562="","날짜 없음",IF($F562&lt;'설정 Settings'!$C$15,"지남 OVERDUE",IF($F562='설정 Settings'!$C$15,"오늘 TODAY","예정 OPEN")))))</f>
      </c>
      <c r="M562" s="42">
        <f>IF($A562="","",IF($I562="Y","수신거부: 문자·이메일 보내지 않기",IF(OR($E562="SMS",$E562="EMAIL"),IF(OR($H562="",$H562="NONE"),"동의 근거 없음: 전화·방문만",IF($H562="INQUIRY",IF(N($N562)=0,"견적 요청일을 못 찾음: 관련 ID에 견적 ID(Q-…)를 넣었는지 확인",IF('설정 Settings'!$C$15&gt;N($N562),"문의 후 6개월 지남: 다른 동의 근거 필요","OK: 이름·주소·연락처·수신거부 문구 넣기")),IF($H562="REFERRAL","소개 후 첫 메시지만 OK: 소개자 이름 + 이름·주소·연락처·수신거부 문구. 두 번째부터는 다른 동의 근거 필요",IF(AND($H562="REPLY",$D562&lt;&gt;"QUOTE",$D562&lt;&gt;"CALLBACK"),"문의에 대한 답장이 아님: EXPRESS 또는 INQUIRY 동의 필요","OK: 이름·주소·연락처·수신거부 문구 넣기")))),"")))</f>
      </c>
      <c r="N562" s="40">
        <f>IF($H562="INQUIRY",IFERROR(EDATE(INDEX('견적 Quotes'!$B$3:$B$1002,MATCH($C562,'견적 Quotes'!$A$3:$A$1002,0)),'설정 Settings'!$C$20),""),"")</f>
      </c>
    </row>
    <row r="563" spans="12:14" x14ac:dyDescent="0.25">
      <c r="L563" s="42">
        <f>IF($A563="","",IF($G563="Y","완료 DONE",IF($F563="","날짜 없음",IF($F563&lt;'설정 Settings'!$C$15,"지남 OVERDUE",IF($F563='설정 Settings'!$C$15,"오늘 TODAY","예정 OPEN")))))</f>
      </c>
      <c r="M563" s="42">
        <f>IF($A563="","",IF($I563="Y","수신거부: 문자·이메일 보내지 않기",IF(OR($E563="SMS",$E563="EMAIL"),IF(OR($H563="",$H563="NONE"),"동의 근거 없음: 전화·방문만",IF($H563="INQUIRY",IF(N($N563)=0,"견적 요청일을 못 찾음: 관련 ID에 견적 ID(Q-…)를 넣었는지 확인",IF('설정 Settings'!$C$15&gt;N($N563),"문의 후 6개월 지남: 다른 동의 근거 필요","OK: 이름·주소·연락처·수신거부 문구 넣기")),IF($H563="REFERRAL","소개 후 첫 메시지만 OK: 소개자 이름 + 이름·주소·연락처·수신거부 문구. 두 번째부터는 다른 동의 근거 필요",IF(AND($H563="REPLY",$D563&lt;&gt;"QUOTE",$D563&lt;&gt;"CALLBACK"),"문의에 대한 답장이 아님: EXPRESS 또는 INQUIRY 동의 필요","OK: 이름·주소·연락처·수신거부 문구 넣기")))),"")))</f>
      </c>
      <c r="N563" s="40">
        <f>IF($H563="INQUIRY",IFERROR(EDATE(INDEX('견적 Quotes'!$B$3:$B$1002,MATCH($C563,'견적 Quotes'!$A$3:$A$1002,0)),'설정 Settings'!$C$20),""),"")</f>
      </c>
    </row>
    <row r="564" spans="12:14" x14ac:dyDescent="0.25">
      <c r="L564" s="42">
        <f>IF($A564="","",IF($G564="Y","완료 DONE",IF($F564="","날짜 없음",IF($F564&lt;'설정 Settings'!$C$15,"지남 OVERDUE",IF($F564='설정 Settings'!$C$15,"오늘 TODAY","예정 OPEN")))))</f>
      </c>
      <c r="M564" s="42">
        <f>IF($A564="","",IF($I564="Y","수신거부: 문자·이메일 보내지 않기",IF(OR($E564="SMS",$E564="EMAIL"),IF(OR($H564="",$H564="NONE"),"동의 근거 없음: 전화·방문만",IF($H564="INQUIRY",IF(N($N564)=0,"견적 요청일을 못 찾음: 관련 ID에 견적 ID(Q-…)를 넣었는지 확인",IF('설정 Settings'!$C$15&gt;N($N564),"문의 후 6개월 지남: 다른 동의 근거 필요","OK: 이름·주소·연락처·수신거부 문구 넣기")),IF($H564="REFERRAL","소개 후 첫 메시지만 OK: 소개자 이름 + 이름·주소·연락처·수신거부 문구. 두 번째부터는 다른 동의 근거 필요",IF(AND($H564="REPLY",$D564&lt;&gt;"QUOTE",$D564&lt;&gt;"CALLBACK"),"문의에 대한 답장이 아님: EXPRESS 또는 INQUIRY 동의 필요","OK: 이름·주소·연락처·수신거부 문구 넣기")))),"")))</f>
      </c>
      <c r="N564" s="40">
        <f>IF($H564="INQUIRY",IFERROR(EDATE(INDEX('견적 Quotes'!$B$3:$B$1002,MATCH($C564,'견적 Quotes'!$A$3:$A$1002,0)),'설정 Settings'!$C$20),""),"")</f>
      </c>
    </row>
    <row r="565" spans="12:14" x14ac:dyDescent="0.25">
      <c r="L565" s="42">
        <f>IF($A565="","",IF($G565="Y","완료 DONE",IF($F565="","날짜 없음",IF($F565&lt;'설정 Settings'!$C$15,"지남 OVERDUE",IF($F565='설정 Settings'!$C$15,"오늘 TODAY","예정 OPEN")))))</f>
      </c>
      <c r="M565" s="42">
        <f>IF($A565="","",IF($I565="Y","수신거부: 문자·이메일 보내지 않기",IF(OR($E565="SMS",$E565="EMAIL"),IF(OR($H565="",$H565="NONE"),"동의 근거 없음: 전화·방문만",IF($H565="INQUIRY",IF(N($N565)=0,"견적 요청일을 못 찾음: 관련 ID에 견적 ID(Q-…)를 넣었는지 확인",IF('설정 Settings'!$C$15&gt;N($N565),"문의 후 6개월 지남: 다른 동의 근거 필요","OK: 이름·주소·연락처·수신거부 문구 넣기")),IF($H565="REFERRAL","소개 후 첫 메시지만 OK: 소개자 이름 + 이름·주소·연락처·수신거부 문구. 두 번째부터는 다른 동의 근거 필요",IF(AND($H565="REPLY",$D565&lt;&gt;"QUOTE",$D565&lt;&gt;"CALLBACK"),"문의에 대한 답장이 아님: EXPRESS 또는 INQUIRY 동의 필요","OK: 이름·주소·연락처·수신거부 문구 넣기")))),"")))</f>
      </c>
      <c r="N565" s="40">
        <f>IF($H565="INQUIRY",IFERROR(EDATE(INDEX('견적 Quotes'!$B$3:$B$1002,MATCH($C565,'견적 Quotes'!$A$3:$A$1002,0)),'설정 Settings'!$C$20),""),"")</f>
      </c>
    </row>
    <row r="566" spans="12:14" x14ac:dyDescent="0.25">
      <c r="L566" s="42">
        <f>IF($A566="","",IF($G566="Y","완료 DONE",IF($F566="","날짜 없음",IF($F566&lt;'설정 Settings'!$C$15,"지남 OVERDUE",IF($F566='설정 Settings'!$C$15,"오늘 TODAY","예정 OPEN")))))</f>
      </c>
      <c r="M566" s="42">
        <f>IF($A566="","",IF($I566="Y","수신거부: 문자·이메일 보내지 않기",IF(OR($E566="SMS",$E566="EMAIL"),IF(OR($H566="",$H566="NONE"),"동의 근거 없음: 전화·방문만",IF($H566="INQUIRY",IF(N($N566)=0,"견적 요청일을 못 찾음: 관련 ID에 견적 ID(Q-…)를 넣었는지 확인",IF('설정 Settings'!$C$15&gt;N($N566),"문의 후 6개월 지남: 다른 동의 근거 필요","OK: 이름·주소·연락처·수신거부 문구 넣기")),IF($H566="REFERRAL","소개 후 첫 메시지만 OK: 소개자 이름 + 이름·주소·연락처·수신거부 문구. 두 번째부터는 다른 동의 근거 필요",IF(AND($H566="REPLY",$D566&lt;&gt;"QUOTE",$D566&lt;&gt;"CALLBACK"),"문의에 대한 답장이 아님: EXPRESS 또는 INQUIRY 동의 필요","OK: 이름·주소·연락처·수신거부 문구 넣기")))),"")))</f>
      </c>
      <c r="N566" s="40">
        <f>IF($H566="INQUIRY",IFERROR(EDATE(INDEX('견적 Quotes'!$B$3:$B$1002,MATCH($C566,'견적 Quotes'!$A$3:$A$1002,0)),'설정 Settings'!$C$20),""),"")</f>
      </c>
    </row>
    <row r="567" spans="12:14" x14ac:dyDescent="0.25">
      <c r="L567" s="42">
        <f>IF($A567="","",IF($G567="Y","완료 DONE",IF($F567="","날짜 없음",IF($F567&lt;'설정 Settings'!$C$15,"지남 OVERDUE",IF($F567='설정 Settings'!$C$15,"오늘 TODAY","예정 OPEN")))))</f>
      </c>
      <c r="M567" s="42">
        <f>IF($A567="","",IF($I567="Y","수신거부: 문자·이메일 보내지 않기",IF(OR($E567="SMS",$E567="EMAIL"),IF(OR($H567="",$H567="NONE"),"동의 근거 없음: 전화·방문만",IF($H567="INQUIRY",IF(N($N567)=0,"견적 요청일을 못 찾음: 관련 ID에 견적 ID(Q-…)를 넣었는지 확인",IF('설정 Settings'!$C$15&gt;N($N567),"문의 후 6개월 지남: 다른 동의 근거 필요","OK: 이름·주소·연락처·수신거부 문구 넣기")),IF($H567="REFERRAL","소개 후 첫 메시지만 OK: 소개자 이름 + 이름·주소·연락처·수신거부 문구. 두 번째부터는 다른 동의 근거 필요",IF(AND($H567="REPLY",$D567&lt;&gt;"QUOTE",$D567&lt;&gt;"CALLBACK"),"문의에 대한 답장이 아님: EXPRESS 또는 INQUIRY 동의 필요","OK: 이름·주소·연락처·수신거부 문구 넣기")))),"")))</f>
      </c>
      <c r="N567" s="40">
        <f>IF($H567="INQUIRY",IFERROR(EDATE(INDEX('견적 Quotes'!$B$3:$B$1002,MATCH($C567,'견적 Quotes'!$A$3:$A$1002,0)),'설정 Settings'!$C$20),""),"")</f>
      </c>
    </row>
    <row r="568" spans="12:14" x14ac:dyDescent="0.25">
      <c r="L568" s="42">
        <f>IF($A568="","",IF($G568="Y","완료 DONE",IF($F568="","날짜 없음",IF($F568&lt;'설정 Settings'!$C$15,"지남 OVERDUE",IF($F568='설정 Settings'!$C$15,"오늘 TODAY","예정 OPEN")))))</f>
      </c>
      <c r="M568" s="42">
        <f>IF($A568="","",IF($I568="Y","수신거부: 문자·이메일 보내지 않기",IF(OR($E568="SMS",$E568="EMAIL"),IF(OR($H568="",$H568="NONE"),"동의 근거 없음: 전화·방문만",IF($H568="INQUIRY",IF(N($N568)=0,"견적 요청일을 못 찾음: 관련 ID에 견적 ID(Q-…)를 넣었는지 확인",IF('설정 Settings'!$C$15&gt;N($N568),"문의 후 6개월 지남: 다른 동의 근거 필요","OK: 이름·주소·연락처·수신거부 문구 넣기")),IF($H568="REFERRAL","소개 후 첫 메시지만 OK: 소개자 이름 + 이름·주소·연락처·수신거부 문구. 두 번째부터는 다른 동의 근거 필요",IF(AND($H568="REPLY",$D568&lt;&gt;"QUOTE",$D568&lt;&gt;"CALLBACK"),"문의에 대한 답장이 아님: EXPRESS 또는 INQUIRY 동의 필요","OK: 이름·주소·연락처·수신거부 문구 넣기")))),"")))</f>
      </c>
      <c r="N568" s="40">
        <f>IF($H568="INQUIRY",IFERROR(EDATE(INDEX('견적 Quotes'!$B$3:$B$1002,MATCH($C568,'견적 Quotes'!$A$3:$A$1002,0)),'설정 Settings'!$C$20),""),"")</f>
      </c>
    </row>
    <row r="569" spans="12:14" x14ac:dyDescent="0.25">
      <c r="L569" s="42">
        <f>IF($A569="","",IF($G569="Y","완료 DONE",IF($F569="","날짜 없음",IF($F569&lt;'설정 Settings'!$C$15,"지남 OVERDUE",IF($F569='설정 Settings'!$C$15,"오늘 TODAY","예정 OPEN")))))</f>
      </c>
      <c r="M569" s="42">
        <f>IF($A569="","",IF($I569="Y","수신거부: 문자·이메일 보내지 않기",IF(OR($E569="SMS",$E569="EMAIL"),IF(OR($H569="",$H569="NONE"),"동의 근거 없음: 전화·방문만",IF($H569="INQUIRY",IF(N($N569)=0,"견적 요청일을 못 찾음: 관련 ID에 견적 ID(Q-…)를 넣었는지 확인",IF('설정 Settings'!$C$15&gt;N($N569),"문의 후 6개월 지남: 다른 동의 근거 필요","OK: 이름·주소·연락처·수신거부 문구 넣기")),IF($H569="REFERRAL","소개 후 첫 메시지만 OK: 소개자 이름 + 이름·주소·연락처·수신거부 문구. 두 번째부터는 다른 동의 근거 필요",IF(AND($H569="REPLY",$D569&lt;&gt;"QUOTE",$D569&lt;&gt;"CALLBACK"),"문의에 대한 답장이 아님: EXPRESS 또는 INQUIRY 동의 필요","OK: 이름·주소·연락처·수신거부 문구 넣기")))),"")))</f>
      </c>
      <c r="N569" s="40">
        <f>IF($H569="INQUIRY",IFERROR(EDATE(INDEX('견적 Quotes'!$B$3:$B$1002,MATCH($C569,'견적 Quotes'!$A$3:$A$1002,0)),'설정 Settings'!$C$20),""),"")</f>
      </c>
    </row>
    <row r="570" spans="12:14" x14ac:dyDescent="0.25">
      <c r="L570" s="42">
        <f>IF($A570="","",IF($G570="Y","완료 DONE",IF($F570="","날짜 없음",IF($F570&lt;'설정 Settings'!$C$15,"지남 OVERDUE",IF($F570='설정 Settings'!$C$15,"오늘 TODAY","예정 OPEN")))))</f>
      </c>
      <c r="M570" s="42">
        <f>IF($A570="","",IF($I570="Y","수신거부: 문자·이메일 보내지 않기",IF(OR($E570="SMS",$E570="EMAIL"),IF(OR($H570="",$H570="NONE"),"동의 근거 없음: 전화·방문만",IF($H570="INQUIRY",IF(N($N570)=0,"견적 요청일을 못 찾음: 관련 ID에 견적 ID(Q-…)를 넣었는지 확인",IF('설정 Settings'!$C$15&gt;N($N570),"문의 후 6개월 지남: 다른 동의 근거 필요","OK: 이름·주소·연락처·수신거부 문구 넣기")),IF($H570="REFERRAL","소개 후 첫 메시지만 OK: 소개자 이름 + 이름·주소·연락처·수신거부 문구. 두 번째부터는 다른 동의 근거 필요",IF(AND($H570="REPLY",$D570&lt;&gt;"QUOTE",$D570&lt;&gt;"CALLBACK"),"문의에 대한 답장이 아님: EXPRESS 또는 INQUIRY 동의 필요","OK: 이름·주소·연락처·수신거부 문구 넣기")))),"")))</f>
      </c>
      <c r="N570" s="40">
        <f>IF($H570="INQUIRY",IFERROR(EDATE(INDEX('견적 Quotes'!$B$3:$B$1002,MATCH($C570,'견적 Quotes'!$A$3:$A$1002,0)),'설정 Settings'!$C$20),""),"")</f>
      </c>
    </row>
    <row r="571" spans="12:14" x14ac:dyDescent="0.25">
      <c r="L571" s="42">
        <f>IF($A571="","",IF($G571="Y","완료 DONE",IF($F571="","날짜 없음",IF($F571&lt;'설정 Settings'!$C$15,"지남 OVERDUE",IF($F571='설정 Settings'!$C$15,"오늘 TODAY","예정 OPEN")))))</f>
      </c>
      <c r="M571" s="42">
        <f>IF($A571="","",IF($I571="Y","수신거부: 문자·이메일 보내지 않기",IF(OR($E571="SMS",$E571="EMAIL"),IF(OR($H571="",$H571="NONE"),"동의 근거 없음: 전화·방문만",IF($H571="INQUIRY",IF(N($N571)=0,"견적 요청일을 못 찾음: 관련 ID에 견적 ID(Q-…)를 넣었는지 확인",IF('설정 Settings'!$C$15&gt;N($N571),"문의 후 6개월 지남: 다른 동의 근거 필요","OK: 이름·주소·연락처·수신거부 문구 넣기")),IF($H571="REFERRAL","소개 후 첫 메시지만 OK: 소개자 이름 + 이름·주소·연락처·수신거부 문구. 두 번째부터는 다른 동의 근거 필요",IF(AND($H571="REPLY",$D571&lt;&gt;"QUOTE",$D571&lt;&gt;"CALLBACK"),"문의에 대한 답장이 아님: EXPRESS 또는 INQUIRY 동의 필요","OK: 이름·주소·연락처·수신거부 문구 넣기")))),"")))</f>
      </c>
      <c r="N571" s="40">
        <f>IF($H571="INQUIRY",IFERROR(EDATE(INDEX('견적 Quotes'!$B$3:$B$1002,MATCH($C571,'견적 Quotes'!$A$3:$A$1002,0)),'설정 Settings'!$C$20),""),"")</f>
      </c>
    </row>
    <row r="572" spans="12:14" x14ac:dyDescent="0.25">
      <c r="L572" s="42">
        <f>IF($A572="","",IF($G572="Y","완료 DONE",IF($F572="","날짜 없음",IF($F572&lt;'설정 Settings'!$C$15,"지남 OVERDUE",IF($F572='설정 Settings'!$C$15,"오늘 TODAY","예정 OPEN")))))</f>
      </c>
      <c r="M572" s="42">
        <f>IF($A572="","",IF($I572="Y","수신거부: 문자·이메일 보내지 않기",IF(OR($E572="SMS",$E572="EMAIL"),IF(OR($H572="",$H572="NONE"),"동의 근거 없음: 전화·방문만",IF($H572="INQUIRY",IF(N($N572)=0,"견적 요청일을 못 찾음: 관련 ID에 견적 ID(Q-…)를 넣었는지 확인",IF('설정 Settings'!$C$15&gt;N($N572),"문의 후 6개월 지남: 다른 동의 근거 필요","OK: 이름·주소·연락처·수신거부 문구 넣기")),IF($H572="REFERRAL","소개 후 첫 메시지만 OK: 소개자 이름 + 이름·주소·연락처·수신거부 문구. 두 번째부터는 다른 동의 근거 필요",IF(AND($H572="REPLY",$D572&lt;&gt;"QUOTE",$D572&lt;&gt;"CALLBACK"),"문의에 대한 답장이 아님: EXPRESS 또는 INQUIRY 동의 필요","OK: 이름·주소·연락처·수신거부 문구 넣기")))),"")))</f>
      </c>
      <c r="N572" s="40">
        <f>IF($H572="INQUIRY",IFERROR(EDATE(INDEX('견적 Quotes'!$B$3:$B$1002,MATCH($C572,'견적 Quotes'!$A$3:$A$1002,0)),'설정 Settings'!$C$20),""),"")</f>
      </c>
    </row>
    <row r="573" spans="12:14" x14ac:dyDescent="0.25">
      <c r="L573" s="42">
        <f>IF($A573="","",IF($G573="Y","완료 DONE",IF($F573="","날짜 없음",IF($F573&lt;'설정 Settings'!$C$15,"지남 OVERDUE",IF($F573='설정 Settings'!$C$15,"오늘 TODAY","예정 OPEN")))))</f>
      </c>
      <c r="M573" s="42">
        <f>IF($A573="","",IF($I573="Y","수신거부: 문자·이메일 보내지 않기",IF(OR($E573="SMS",$E573="EMAIL"),IF(OR($H573="",$H573="NONE"),"동의 근거 없음: 전화·방문만",IF($H573="INQUIRY",IF(N($N573)=0,"견적 요청일을 못 찾음: 관련 ID에 견적 ID(Q-…)를 넣었는지 확인",IF('설정 Settings'!$C$15&gt;N($N573),"문의 후 6개월 지남: 다른 동의 근거 필요","OK: 이름·주소·연락처·수신거부 문구 넣기")),IF($H573="REFERRAL","소개 후 첫 메시지만 OK: 소개자 이름 + 이름·주소·연락처·수신거부 문구. 두 번째부터는 다른 동의 근거 필요",IF(AND($H573="REPLY",$D573&lt;&gt;"QUOTE",$D573&lt;&gt;"CALLBACK"),"문의에 대한 답장이 아님: EXPRESS 또는 INQUIRY 동의 필요","OK: 이름·주소·연락처·수신거부 문구 넣기")))),"")))</f>
      </c>
      <c r="N573" s="40">
        <f>IF($H573="INQUIRY",IFERROR(EDATE(INDEX('견적 Quotes'!$B$3:$B$1002,MATCH($C573,'견적 Quotes'!$A$3:$A$1002,0)),'설정 Settings'!$C$20),""),"")</f>
      </c>
    </row>
    <row r="574" spans="12:14" x14ac:dyDescent="0.25">
      <c r="L574" s="42">
        <f>IF($A574="","",IF($G574="Y","완료 DONE",IF($F574="","날짜 없음",IF($F574&lt;'설정 Settings'!$C$15,"지남 OVERDUE",IF($F574='설정 Settings'!$C$15,"오늘 TODAY","예정 OPEN")))))</f>
      </c>
      <c r="M574" s="42">
        <f>IF($A574="","",IF($I574="Y","수신거부: 문자·이메일 보내지 않기",IF(OR($E574="SMS",$E574="EMAIL"),IF(OR($H574="",$H574="NONE"),"동의 근거 없음: 전화·방문만",IF($H574="INQUIRY",IF(N($N574)=0,"견적 요청일을 못 찾음: 관련 ID에 견적 ID(Q-…)를 넣었는지 확인",IF('설정 Settings'!$C$15&gt;N($N574),"문의 후 6개월 지남: 다른 동의 근거 필요","OK: 이름·주소·연락처·수신거부 문구 넣기")),IF($H574="REFERRAL","소개 후 첫 메시지만 OK: 소개자 이름 + 이름·주소·연락처·수신거부 문구. 두 번째부터는 다른 동의 근거 필요",IF(AND($H574="REPLY",$D574&lt;&gt;"QUOTE",$D574&lt;&gt;"CALLBACK"),"문의에 대한 답장이 아님: EXPRESS 또는 INQUIRY 동의 필요","OK: 이름·주소·연락처·수신거부 문구 넣기")))),"")))</f>
      </c>
      <c r="N574" s="40">
        <f>IF($H574="INQUIRY",IFERROR(EDATE(INDEX('견적 Quotes'!$B$3:$B$1002,MATCH($C574,'견적 Quotes'!$A$3:$A$1002,0)),'설정 Settings'!$C$20),""),"")</f>
      </c>
    </row>
    <row r="575" spans="12:14" x14ac:dyDescent="0.25">
      <c r="L575" s="42">
        <f>IF($A575="","",IF($G575="Y","완료 DONE",IF($F575="","날짜 없음",IF($F575&lt;'설정 Settings'!$C$15,"지남 OVERDUE",IF($F575='설정 Settings'!$C$15,"오늘 TODAY","예정 OPEN")))))</f>
      </c>
      <c r="M575" s="42">
        <f>IF($A575="","",IF($I575="Y","수신거부: 문자·이메일 보내지 않기",IF(OR($E575="SMS",$E575="EMAIL"),IF(OR($H575="",$H575="NONE"),"동의 근거 없음: 전화·방문만",IF($H575="INQUIRY",IF(N($N575)=0,"견적 요청일을 못 찾음: 관련 ID에 견적 ID(Q-…)를 넣었는지 확인",IF('설정 Settings'!$C$15&gt;N($N575),"문의 후 6개월 지남: 다른 동의 근거 필요","OK: 이름·주소·연락처·수신거부 문구 넣기")),IF($H575="REFERRAL","소개 후 첫 메시지만 OK: 소개자 이름 + 이름·주소·연락처·수신거부 문구. 두 번째부터는 다른 동의 근거 필요",IF(AND($H575="REPLY",$D575&lt;&gt;"QUOTE",$D575&lt;&gt;"CALLBACK"),"문의에 대한 답장이 아님: EXPRESS 또는 INQUIRY 동의 필요","OK: 이름·주소·연락처·수신거부 문구 넣기")))),"")))</f>
      </c>
      <c r="N575" s="40">
        <f>IF($H575="INQUIRY",IFERROR(EDATE(INDEX('견적 Quotes'!$B$3:$B$1002,MATCH($C575,'견적 Quotes'!$A$3:$A$1002,0)),'설정 Settings'!$C$20),""),"")</f>
      </c>
    </row>
    <row r="576" spans="12:14" x14ac:dyDescent="0.25">
      <c r="L576" s="42">
        <f>IF($A576="","",IF($G576="Y","완료 DONE",IF($F576="","날짜 없음",IF($F576&lt;'설정 Settings'!$C$15,"지남 OVERDUE",IF($F576='설정 Settings'!$C$15,"오늘 TODAY","예정 OPEN")))))</f>
      </c>
      <c r="M576" s="42">
        <f>IF($A576="","",IF($I576="Y","수신거부: 문자·이메일 보내지 않기",IF(OR($E576="SMS",$E576="EMAIL"),IF(OR($H576="",$H576="NONE"),"동의 근거 없음: 전화·방문만",IF($H576="INQUIRY",IF(N($N576)=0,"견적 요청일을 못 찾음: 관련 ID에 견적 ID(Q-…)를 넣었는지 확인",IF('설정 Settings'!$C$15&gt;N($N576),"문의 후 6개월 지남: 다른 동의 근거 필요","OK: 이름·주소·연락처·수신거부 문구 넣기")),IF($H576="REFERRAL","소개 후 첫 메시지만 OK: 소개자 이름 + 이름·주소·연락처·수신거부 문구. 두 번째부터는 다른 동의 근거 필요",IF(AND($H576="REPLY",$D576&lt;&gt;"QUOTE",$D576&lt;&gt;"CALLBACK"),"문의에 대한 답장이 아님: EXPRESS 또는 INQUIRY 동의 필요","OK: 이름·주소·연락처·수신거부 문구 넣기")))),"")))</f>
      </c>
      <c r="N576" s="40">
        <f>IF($H576="INQUIRY",IFERROR(EDATE(INDEX('견적 Quotes'!$B$3:$B$1002,MATCH($C576,'견적 Quotes'!$A$3:$A$1002,0)),'설정 Settings'!$C$20),""),"")</f>
      </c>
    </row>
    <row r="577" spans="12:14" x14ac:dyDescent="0.25">
      <c r="L577" s="42">
        <f>IF($A577="","",IF($G577="Y","완료 DONE",IF($F577="","날짜 없음",IF($F577&lt;'설정 Settings'!$C$15,"지남 OVERDUE",IF($F577='설정 Settings'!$C$15,"오늘 TODAY","예정 OPEN")))))</f>
      </c>
      <c r="M577" s="42">
        <f>IF($A577="","",IF($I577="Y","수신거부: 문자·이메일 보내지 않기",IF(OR($E577="SMS",$E577="EMAIL"),IF(OR($H577="",$H577="NONE"),"동의 근거 없음: 전화·방문만",IF($H577="INQUIRY",IF(N($N577)=0,"견적 요청일을 못 찾음: 관련 ID에 견적 ID(Q-…)를 넣었는지 확인",IF('설정 Settings'!$C$15&gt;N($N577),"문의 후 6개월 지남: 다른 동의 근거 필요","OK: 이름·주소·연락처·수신거부 문구 넣기")),IF($H577="REFERRAL","소개 후 첫 메시지만 OK: 소개자 이름 + 이름·주소·연락처·수신거부 문구. 두 번째부터는 다른 동의 근거 필요",IF(AND($H577="REPLY",$D577&lt;&gt;"QUOTE",$D577&lt;&gt;"CALLBACK"),"문의에 대한 답장이 아님: EXPRESS 또는 INQUIRY 동의 필요","OK: 이름·주소·연락처·수신거부 문구 넣기")))),"")))</f>
      </c>
      <c r="N577" s="40">
        <f>IF($H577="INQUIRY",IFERROR(EDATE(INDEX('견적 Quotes'!$B$3:$B$1002,MATCH($C577,'견적 Quotes'!$A$3:$A$1002,0)),'설정 Settings'!$C$20),""),"")</f>
      </c>
    </row>
    <row r="578" spans="12:14" x14ac:dyDescent="0.25">
      <c r="L578" s="42">
        <f>IF($A578="","",IF($G578="Y","완료 DONE",IF($F578="","날짜 없음",IF($F578&lt;'설정 Settings'!$C$15,"지남 OVERDUE",IF($F578='설정 Settings'!$C$15,"오늘 TODAY","예정 OPEN")))))</f>
      </c>
      <c r="M578" s="42">
        <f>IF($A578="","",IF($I578="Y","수신거부: 문자·이메일 보내지 않기",IF(OR($E578="SMS",$E578="EMAIL"),IF(OR($H578="",$H578="NONE"),"동의 근거 없음: 전화·방문만",IF($H578="INQUIRY",IF(N($N578)=0,"견적 요청일을 못 찾음: 관련 ID에 견적 ID(Q-…)를 넣었는지 확인",IF('설정 Settings'!$C$15&gt;N($N578),"문의 후 6개월 지남: 다른 동의 근거 필요","OK: 이름·주소·연락처·수신거부 문구 넣기")),IF($H578="REFERRAL","소개 후 첫 메시지만 OK: 소개자 이름 + 이름·주소·연락처·수신거부 문구. 두 번째부터는 다른 동의 근거 필요",IF(AND($H578="REPLY",$D578&lt;&gt;"QUOTE",$D578&lt;&gt;"CALLBACK"),"문의에 대한 답장이 아님: EXPRESS 또는 INQUIRY 동의 필요","OK: 이름·주소·연락처·수신거부 문구 넣기")))),"")))</f>
      </c>
      <c r="N578" s="40">
        <f>IF($H578="INQUIRY",IFERROR(EDATE(INDEX('견적 Quotes'!$B$3:$B$1002,MATCH($C578,'견적 Quotes'!$A$3:$A$1002,0)),'설정 Settings'!$C$20),""),"")</f>
      </c>
    </row>
    <row r="579" spans="12:14" x14ac:dyDescent="0.25">
      <c r="L579" s="42">
        <f>IF($A579="","",IF($G579="Y","완료 DONE",IF($F579="","날짜 없음",IF($F579&lt;'설정 Settings'!$C$15,"지남 OVERDUE",IF($F579='설정 Settings'!$C$15,"오늘 TODAY","예정 OPEN")))))</f>
      </c>
      <c r="M579" s="42">
        <f>IF($A579="","",IF($I579="Y","수신거부: 문자·이메일 보내지 않기",IF(OR($E579="SMS",$E579="EMAIL"),IF(OR($H579="",$H579="NONE"),"동의 근거 없음: 전화·방문만",IF($H579="INQUIRY",IF(N($N579)=0,"견적 요청일을 못 찾음: 관련 ID에 견적 ID(Q-…)를 넣었는지 확인",IF('설정 Settings'!$C$15&gt;N($N579),"문의 후 6개월 지남: 다른 동의 근거 필요","OK: 이름·주소·연락처·수신거부 문구 넣기")),IF($H579="REFERRAL","소개 후 첫 메시지만 OK: 소개자 이름 + 이름·주소·연락처·수신거부 문구. 두 번째부터는 다른 동의 근거 필요",IF(AND($H579="REPLY",$D579&lt;&gt;"QUOTE",$D579&lt;&gt;"CALLBACK"),"문의에 대한 답장이 아님: EXPRESS 또는 INQUIRY 동의 필요","OK: 이름·주소·연락처·수신거부 문구 넣기")))),"")))</f>
      </c>
      <c r="N579" s="40">
        <f>IF($H579="INQUIRY",IFERROR(EDATE(INDEX('견적 Quotes'!$B$3:$B$1002,MATCH($C579,'견적 Quotes'!$A$3:$A$1002,0)),'설정 Settings'!$C$20),""),"")</f>
      </c>
    </row>
    <row r="580" spans="12:14" x14ac:dyDescent="0.25">
      <c r="L580" s="42">
        <f>IF($A580="","",IF($G580="Y","완료 DONE",IF($F580="","날짜 없음",IF($F580&lt;'설정 Settings'!$C$15,"지남 OVERDUE",IF($F580='설정 Settings'!$C$15,"오늘 TODAY","예정 OPEN")))))</f>
      </c>
      <c r="M580" s="42">
        <f>IF($A580="","",IF($I580="Y","수신거부: 문자·이메일 보내지 않기",IF(OR($E580="SMS",$E580="EMAIL"),IF(OR($H580="",$H580="NONE"),"동의 근거 없음: 전화·방문만",IF($H580="INQUIRY",IF(N($N580)=0,"견적 요청일을 못 찾음: 관련 ID에 견적 ID(Q-…)를 넣었는지 확인",IF('설정 Settings'!$C$15&gt;N($N580),"문의 후 6개월 지남: 다른 동의 근거 필요","OK: 이름·주소·연락처·수신거부 문구 넣기")),IF($H580="REFERRAL","소개 후 첫 메시지만 OK: 소개자 이름 + 이름·주소·연락처·수신거부 문구. 두 번째부터는 다른 동의 근거 필요",IF(AND($H580="REPLY",$D580&lt;&gt;"QUOTE",$D580&lt;&gt;"CALLBACK"),"문의에 대한 답장이 아님: EXPRESS 또는 INQUIRY 동의 필요","OK: 이름·주소·연락처·수신거부 문구 넣기")))),"")))</f>
      </c>
      <c r="N580" s="40">
        <f>IF($H580="INQUIRY",IFERROR(EDATE(INDEX('견적 Quotes'!$B$3:$B$1002,MATCH($C580,'견적 Quotes'!$A$3:$A$1002,0)),'설정 Settings'!$C$20),""),"")</f>
      </c>
    </row>
    <row r="581" spans="12:14" x14ac:dyDescent="0.25">
      <c r="L581" s="42">
        <f>IF($A581="","",IF($G581="Y","완료 DONE",IF($F581="","날짜 없음",IF($F581&lt;'설정 Settings'!$C$15,"지남 OVERDUE",IF($F581='설정 Settings'!$C$15,"오늘 TODAY","예정 OPEN")))))</f>
      </c>
      <c r="M581" s="42">
        <f>IF($A581="","",IF($I581="Y","수신거부: 문자·이메일 보내지 않기",IF(OR($E581="SMS",$E581="EMAIL"),IF(OR($H581="",$H581="NONE"),"동의 근거 없음: 전화·방문만",IF($H581="INQUIRY",IF(N($N581)=0,"견적 요청일을 못 찾음: 관련 ID에 견적 ID(Q-…)를 넣었는지 확인",IF('설정 Settings'!$C$15&gt;N($N581),"문의 후 6개월 지남: 다른 동의 근거 필요","OK: 이름·주소·연락처·수신거부 문구 넣기")),IF($H581="REFERRAL","소개 후 첫 메시지만 OK: 소개자 이름 + 이름·주소·연락처·수신거부 문구. 두 번째부터는 다른 동의 근거 필요",IF(AND($H581="REPLY",$D581&lt;&gt;"QUOTE",$D581&lt;&gt;"CALLBACK"),"문의에 대한 답장이 아님: EXPRESS 또는 INQUIRY 동의 필요","OK: 이름·주소·연락처·수신거부 문구 넣기")))),"")))</f>
      </c>
      <c r="N581" s="40">
        <f>IF($H581="INQUIRY",IFERROR(EDATE(INDEX('견적 Quotes'!$B$3:$B$1002,MATCH($C581,'견적 Quotes'!$A$3:$A$1002,0)),'설정 Settings'!$C$20),""),"")</f>
      </c>
    </row>
    <row r="582" spans="12:14" x14ac:dyDescent="0.25">
      <c r="L582" s="42">
        <f>IF($A582="","",IF($G582="Y","완료 DONE",IF($F582="","날짜 없음",IF($F582&lt;'설정 Settings'!$C$15,"지남 OVERDUE",IF($F582='설정 Settings'!$C$15,"오늘 TODAY","예정 OPEN")))))</f>
      </c>
      <c r="M582" s="42">
        <f>IF($A582="","",IF($I582="Y","수신거부: 문자·이메일 보내지 않기",IF(OR($E582="SMS",$E582="EMAIL"),IF(OR($H582="",$H582="NONE"),"동의 근거 없음: 전화·방문만",IF($H582="INQUIRY",IF(N($N582)=0,"견적 요청일을 못 찾음: 관련 ID에 견적 ID(Q-…)를 넣었는지 확인",IF('설정 Settings'!$C$15&gt;N($N582),"문의 후 6개월 지남: 다른 동의 근거 필요","OK: 이름·주소·연락처·수신거부 문구 넣기")),IF($H582="REFERRAL","소개 후 첫 메시지만 OK: 소개자 이름 + 이름·주소·연락처·수신거부 문구. 두 번째부터는 다른 동의 근거 필요",IF(AND($H582="REPLY",$D582&lt;&gt;"QUOTE",$D582&lt;&gt;"CALLBACK"),"문의에 대한 답장이 아님: EXPRESS 또는 INQUIRY 동의 필요","OK: 이름·주소·연락처·수신거부 문구 넣기")))),"")))</f>
      </c>
      <c r="N582" s="40">
        <f>IF($H582="INQUIRY",IFERROR(EDATE(INDEX('견적 Quotes'!$B$3:$B$1002,MATCH($C582,'견적 Quotes'!$A$3:$A$1002,0)),'설정 Settings'!$C$20),""),"")</f>
      </c>
    </row>
    <row r="583" spans="12:14" x14ac:dyDescent="0.25">
      <c r="L583" s="42">
        <f>IF($A583="","",IF($G583="Y","완료 DONE",IF($F583="","날짜 없음",IF($F583&lt;'설정 Settings'!$C$15,"지남 OVERDUE",IF($F583='설정 Settings'!$C$15,"오늘 TODAY","예정 OPEN")))))</f>
      </c>
      <c r="M583" s="42">
        <f>IF($A583="","",IF($I583="Y","수신거부: 문자·이메일 보내지 않기",IF(OR($E583="SMS",$E583="EMAIL"),IF(OR($H583="",$H583="NONE"),"동의 근거 없음: 전화·방문만",IF($H583="INQUIRY",IF(N($N583)=0,"견적 요청일을 못 찾음: 관련 ID에 견적 ID(Q-…)를 넣었는지 확인",IF('설정 Settings'!$C$15&gt;N($N583),"문의 후 6개월 지남: 다른 동의 근거 필요","OK: 이름·주소·연락처·수신거부 문구 넣기")),IF($H583="REFERRAL","소개 후 첫 메시지만 OK: 소개자 이름 + 이름·주소·연락처·수신거부 문구. 두 번째부터는 다른 동의 근거 필요",IF(AND($H583="REPLY",$D583&lt;&gt;"QUOTE",$D583&lt;&gt;"CALLBACK"),"문의에 대한 답장이 아님: EXPRESS 또는 INQUIRY 동의 필요","OK: 이름·주소·연락처·수신거부 문구 넣기")))),"")))</f>
      </c>
      <c r="N583" s="40">
        <f>IF($H583="INQUIRY",IFERROR(EDATE(INDEX('견적 Quotes'!$B$3:$B$1002,MATCH($C583,'견적 Quotes'!$A$3:$A$1002,0)),'설정 Settings'!$C$20),""),"")</f>
      </c>
    </row>
    <row r="584" spans="12:14" x14ac:dyDescent="0.25">
      <c r="L584" s="42">
        <f>IF($A584="","",IF($G584="Y","완료 DONE",IF($F584="","날짜 없음",IF($F584&lt;'설정 Settings'!$C$15,"지남 OVERDUE",IF($F584='설정 Settings'!$C$15,"오늘 TODAY","예정 OPEN")))))</f>
      </c>
      <c r="M584" s="42">
        <f>IF($A584="","",IF($I584="Y","수신거부: 문자·이메일 보내지 않기",IF(OR($E584="SMS",$E584="EMAIL"),IF(OR($H584="",$H584="NONE"),"동의 근거 없음: 전화·방문만",IF($H584="INQUIRY",IF(N($N584)=0,"견적 요청일을 못 찾음: 관련 ID에 견적 ID(Q-…)를 넣었는지 확인",IF('설정 Settings'!$C$15&gt;N($N584),"문의 후 6개월 지남: 다른 동의 근거 필요","OK: 이름·주소·연락처·수신거부 문구 넣기")),IF($H584="REFERRAL","소개 후 첫 메시지만 OK: 소개자 이름 + 이름·주소·연락처·수신거부 문구. 두 번째부터는 다른 동의 근거 필요",IF(AND($H584="REPLY",$D584&lt;&gt;"QUOTE",$D584&lt;&gt;"CALLBACK"),"문의에 대한 답장이 아님: EXPRESS 또는 INQUIRY 동의 필요","OK: 이름·주소·연락처·수신거부 문구 넣기")))),"")))</f>
      </c>
      <c r="N584" s="40">
        <f>IF($H584="INQUIRY",IFERROR(EDATE(INDEX('견적 Quotes'!$B$3:$B$1002,MATCH($C584,'견적 Quotes'!$A$3:$A$1002,0)),'설정 Settings'!$C$20),""),"")</f>
      </c>
    </row>
    <row r="585" spans="12:14" x14ac:dyDescent="0.25">
      <c r="L585" s="42">
        <f>IF($A585="","",IF($G585="Y","완료 DONE",IF($F585="","날짜 없음",IF($F585&lt;'설정 Settings'!$C$15,"지남 OVERDUE",IF($F585='설정 Settings'!$C$15,"오늘 TODAY","예정 OPEN")))))</f>
      </c>
      <c r="M585" s="42">
        <f>IF($A585="","",IF($I585="Y","수신거부: 문자·이메일 보내지 않기",IF(OR($E585="SMS",$E585="EMAIL"),IF(OR($H585="",$H585="NONE"),"동의 근거 없음: 전화·방문만",IF($H585="INQUIRY",IF(N($N585)=0,"견적 요청일을 못 찾음: 관련 ID에 견적 ID(Q-…)를 넣었는지 확인",IF('설정 Settings'!$C$15&gt;N($N585),"문의 후 6개월 지남: 다른 동의 근거 필요","OK: 이름·주소·연락처·수신거부 문구 넣기")),IF($H585="REFERRAL","소개 후 첫 메시지만 OK: 소개자 이름 + 이름·주소·연락처·수신거부 문구. 두 번째부터는 다른 동의 근거 필요",IF(AND($H585="REPLY",$D585&lt;&gt;"QUOTE",$D585&lt;&gt;"CALLBACK"),"문의에 대한 답장이 아님: EXPRESS 또는 INQUIRY 동의 필요","OK: 이름·주소·연락처·수신거부 문구 넣기")))),"")))</f>
      </c>
      <c r="N585" s="40">
        <f>IF($H585="INQUIRY",IFERROR(EDATE(INDEX('견적 Quotes'!$B$3:$B$1002,MATCH($C585,'견적 Quotes'!$A$3:$A$1002,0)),'설정 Settings'!$C$20),""),"")</f>
      </c>
    </row>
    <row r="586" spans="12:14" x14ac:dyDescent="0.25">
      <c r="L586" s="42">
        <f>IF($A586="","",IF($G586="Y","완료 DONE",IF($F586="","날짜 없음",IF($F586&lt;'설정 Settings'!$C$15,"지남 OVERDUE",IF($F586='설정 Settings'!$C$15,"오늘 TODAY","예정 OPEN")))))</f>
      </c>
      <c r="M586" s="42">
        <f>IF($A586="","",IF($I586="Y","수신거부: 문자·이메일 보내지 않기",IF(OR($E586="SMS",$E586="EMAIL"),IF(OR($H586="",$H586="NONE"),"동의 근거 없음: 전화·방문만",IF($H586="INQUIRY",IF(N($N586)=0,"견적 요청일을 못 찾음: 관련 ID에 견적 ID(Q-…)를 넣었는지 확인",IF('설정 Settings'!$C$15&gt;N($N586),"문의 후 6개월 지남: 다른 동의 근거 필요","OK: 이름·주소·연락처·수신거부 문구 넣기")),IF($H586="REFERRAL","소개 후 첫 메시지만 OK: 소개자 이름 + 이름·주소·연락처·수신거부 문구. 두 번째부터는 다른 동의 근거 필요",IF(AND($H586="REPLY",$D586&lt;&gt;"QUOTE",$D586&lt;&gt;"CALLBACK"),"문의에 대한 답장이 아님: EXPRESS 또는 INQUIRY 동의 필요","OK: 이름·주소·연락처·수신거부 문구 넣기")))),"")))</f>
      </c>
      <c r="N586" s="40">
        <f>IF($H586="INQUIRY",IFERROR(EDATE(INDEX('견적 Quotes'!$B$3:$B$1002,MATCH($C586,'견적 Quotes'!$A$3:$A$1002,0)),'설정 Settings'!$C$20),""),"")</f>
      </c>
    </row>
    <row r="587" spans="12:14" x14ac:dyDescent="0.25">
      <c r="L587" s="42">
        <f>IF($A587="","",IF($G587="Y","완료 DONE",IF($F587="","날짜 없음",IF($F587&lt;'설정 Settings'!$C$15,"지남 OVERDUE",IF($F587='설정 Settings'!$C$15,"오늘 TODAY","예정 OPEN")))))</f>
      </c>
      <c r="M587" s="42">
        <f>IF($A587="","",IF($I587="Y","수신거부: 문자·이메일 보내지 않기",IF(OR($E587="SMS",$E587="EMAIL"),IF(OR($H587="",$H587="NONE"),"동의 근거 없음: 전화·방문만",IF($H587="INQUIRY",IF(N($N587)=0,"견적 요청일을 못 찾음: 관련 ID에 견적 ID(Q-…)를 넣었는지 확인",IF('설정 Settings'!$C$15&gt;N($N587),"문의 후 6개월 지남: 다른 동의 근거 필요","OK: 이름·주소·연락처·수신거부 문구 넣기")),IF($H587="REFERRAL","소개 후 첫 메시지만 OK: 소개자 이름 + 이름·주소·연락처·수신거부 문구. 두 번째부터는 다른 동의 근거 필요",IF(AND($H587="REPLY",$D587&lt;&gt;"QUOTE",$D587&lt;&gt;"CALLBACK"),"문의에 대한 답장이 아님: EXPRESS 또는 INQUIRY 동의 필요","OK: 이름·주소·연락처·수신거부 문구 넣기")))),"")))</f>
      </c>
      <c r="N587" s="40">
        <f>IF($H587="INQUIRY",IFERROR(EDATE(INDEX('견적 Quotes'!$B$3:$B$1002,MATCH($C587,'견적 Quotes'!$A$3:$A$1002,0)),'설정 Settings'!$C$20),""),"")</f>
      </c>
    </row>
    <row r="588" spans="12:14" x14ac:dyDescent="0.25">
      <c r="L588" s="42">
        <f>IF($A588="","",IF($G588="Y","완료 DONE",IF($F588="","날짜 없음",IF($F588&lt;'설정 Settings'!$C$15,"지남 OVERDUE",IF($F588='설정 Settings'!$C$15,"오늘 TODAY","예정 OPEN")))))</f>
      </c>
      <c r="M588" s="42">
        <f>IF($A588="","",IF($I588="Y","수신거부: 문자·이메일 보내지 않기",IF(OR($E588="SMS",$E588="EMAIL"),IF(OR($H588="",$H588="NONE"),"동의 근거 없음: 전화·방문만",IF($H588="INQUIRY",IF(N($N588)=0,"견적 요청일을 못 찾음: 관련 ID에 견적 ID(Q-…)를 넣었는지 확인",IF('설정 Settings'!$C$15&gt;N($N588),"문의 후 6개월 지남: 다른 동의 근거 필요","OK: 이름·주소·연락처·수신거부 문구 넣기")),IF($H588="REFERRAL","소개 후 첫 메시지만 OK: 소개자 이름 + 이름·주소·연락처·수신거부 문구. 두 번째부터는 다른 동의 근거 필요",IF(AND($H588="REPLY",$D588&lt;&gt;"QUOTE",$D588&lt;&gt;"CALLBACK"),"문의에 대한 답장이 아님: EXPRESS 또는 INQUIRY 동의 필요","OK: 이름·주소·연락처·수신거부 문구 넣기")))),"")))</f>
      </c>
      <c r="N588" s="40">
        <f>IF($H588="INQUIRY",IFERROR(EDATE(INDEX('견적 Quotes'!$B$3:$B$1002,MATCH($C588,'견적 Quotes'!$A$3:$A$1002,0)),'설정 Settings'!$C$20),""),"")</f>
      </c>
    </row>
    <row r="589" spans="12:14" x14ac:dyDescent="0.25">
      <c r="L589" s="42">
        <f>IF($A589="","",IF($G589="Y","완료 DONE",IF($F589="","날짜 없음",IF($F589&lt;'설정 Settings'!$C$15,"지남 OVERDUE",IF($F589='설정 Settings'!$C$15,"오늘 TODAY","예정 OPEN")))))</f>
      </c>
      <c r="M589" s="42">
        <f>IF($A589="","",IF($I589="Y","수신거부: 문자·이메일 보내지 않기",IF(OR($E589="SMS",$E589="EMAIL"),IF(OR($H589="",$H589="NONE"),"동의 근거 없음: 전화·방문만",IF($H589="INQUIRY",IF(N($N589)=0,"견적 요청일을 못 찾음: 관련 ID에 견적 ID(Q-…)를 넣었는지 확인",IF('설정 Settings'!$C$15&gt;N($N589),"문의 후 6개월 지남: 다른 동의 근거 필요","OK: 이름·주소·연락처·수신거부 문구 넣기")),IF($H589="REFERRAL","소개 후 첫 메시지만 OK: 소개자 이름 + 이름·주소·연락처·수신거부 문구. 두 번째부터는 다른 동의 근거 필요",IF(AND($H589="REPLY",$D589&lt;&gt;"QUOTE",$D589&lt;&gt;"CALLBACK"),"문의에 대한 답장이 아님: EXPRESS 또는 INQUIRY 동의 필요","OK: 이름·주소·연락처·수신거부 문구 넣기")))),"")))</f>
      </c>
      <c r="N589" s="40">
        <f>IF($H589="INQUIRY",IFERROR(EDATE(INDEX('견적 Quotes'!$B$3:$B$1002,MATCH($C589,'견적 Quotes'!$A$3:$A$1002,0)),'설정 Settings'!$C$20),""),"")</f>
      </c>
    </row>
    <row r="590" spans="12:14" x14ac:dyDescent="0.25">
      <c r="L590" s="42">
        <f>IF($A590="","",IF($G590="Y","완료 DONE",IF($F590="","날짜 없음",IF($F590&lt;'설정 Settings'!$C$15,"지남 OVERDUE",IF($F590='설정 Settings'!$C$15,"오늘 TODAY","예정 OPEN")))))</f>
      </c>
      <c r="M590" s="42">
        <f>IF($A590="","",IF($I590="Y","수신거부: 문자·이메일 보내지 않기",IF(OR($E590="SMS",$E590="EMAIL"),IF(OR($H590="",$H590="NONE"),"동의 근거 없음: 전화·방문만",IF($H590="INQUIRY",IF(N($N590)=0,"견적 요청일을 못 찾음: 관련 ID에 견적 ID(Q-…)를 넣었는지 확인",IF('설정 Settings'!$C$15&gt;N($N590),"문의 후 6개월 지남: 다른 동의 근거 필요","OK: 이름·주소·연락처·수신거부 문구 넣기")),IF($H590="REFERRAL","소개 후 첫 메시지만 OK: 소개자 이름 + 이름·주소·연락처·수신거부 문구. 두 번째부터는 다른 동의 근거 필요",IF(AND($H590="REPLY",$D590&lt;&gt;"QUOTE",$D590&lt;&gt;"CALLBACK"),"문의에 대한 답장이 아님: EXPRESS 또는 INQUIRY 동의 필요","OK: 이름·주소·연락처·수신거부 문구 넣기")))),"")))</f>
      </c>
      <c r="N590" s="40">
        <f>IF($H590="INQUIRY",IFERROR(EDATE(INDEX('견적 Quotes'!$B$3:$B$1002,MATCH($C590,'견적 Quotes'!$A$3:$A$1002,0)),'설정 Settings'!$C$20),""),"")</f>
      </c>
    </row>
    <row r="591" spans="12:14" x14ac:dyDescent="0.25">
      <c r="L591" s="42">
        <f>IF($A591="","",IF($G591="Y","완료 DONE",IF($F591="","날짜 없음",IF($F591&lt;'설정 Settings'!$C$15,"지남 OVERDUE",IF($F591='설정 Settings'!$C$15,"오늘 TODAY","예정 OPEN")))))</f>
      </c>
      <c r="M591" s="42">
        <f>IF($A591="","",IF($I591="Y","수신거부: 문자·이메일 보내지 않기",IF(OR($E591="SMS",$E591="EMAIL"),IF(OR($H591="",$H591="NONE"),"동의 근거 없음: 전화·방문만",IF($H591="INQUIRY",IF(N($N591)=0,"견적 요청일을 못 찾음: 관련 ID에 견적 ID(Q-…)를 넣었는지 확인",IF('설정 Settings'!$C$15&gt;N($N591),"문의 후 6개월 지남: 다른 동의 근거 필요","OK: 이름·주소·연락처·수신거부 문구 넣기")),IF($H591="REFERRAL","소개 후 첫 메시지만 OK: 소개자 이름 + 이름·주소·연락처·수신거부 문구. 두 번째부터는 다른 동의 근거 필요",IF(AND($H591="REPLY",$D591&lt;&gt;"QUOTE",$D591&lt;&gt;"CALLBACK"),"문의에 대한 답장이 아님: EXPRESS 또는 INQUIRY 동의 필요","OK: 이름·주소·연락처·수신거부 문구 넣기")))),"")))</f>
      </c>
      <c r="N591" s="40">
        <f>IF($H591="INQUIRY",IFERROR(EDATE(INDEX('견적 Quotes'!$B$3:$B$1002,MATCH($C591,'견적 Quotes'!$A$3:$A$1002,0)),'설정 Settings'!$C$20),""),"")</f>
      </c>
    </row>
    <row r="592" spans="12:14" x14ac:dyDescent="0.25">
      <c r="L592" s="42">
        <f>IF($A592="","",IF($G592="Y","완료 DONE",IF($F592="","날짜 없음",IF($F592&lt;'설정 Settings'!$C$15,"지남 OVERDUE",IF($F592='설정 Settings'!$C$15,"오늘 TODAY","예정 OPEN")))))</f>
      </c>
      <c r="M592" s="42">
        <f>IF($A592="","",IF($I592="Y","수신거부: 문자·이메일 보내지 않기",IF(OR($E592="SMS",$E592="EMAIL"),IF(OR($H592="",$H592="NONE"),"동의 근거 없음: 전화·방문만",IF($H592="INQUIRY",IF(N($N592)=0,"견적 요청일을 못 찾음: 관련 ID에 견적 ID(Q-…)를 넣었는지 확인",IF('설정 Settings'!$C$15&gt;N($N592),"문의 후 6개월 지남: 다른 동의 근거 필요","OK: 이름·주소·연락처·수신거부 문구 넣기")),IF($H592="REFERRAL","소개 후 첫 메시지만 OK: 소개자 이름 + 이름·주소·연락처·수신거부 문구. 두 번째부터는 다른 동의 근거 필요",IF(AND($H592="REPLY",$D592&lt;&gt;"QUOTE",$D592&lt;&gt;"CALLBACK"),"문의에 대한 답장이 아님: EXPRESS 또는 INQUIRY 동의 필요","OK: 이름·주소·연락처·수신거부 문구 넣기")))),"")))</f>
      </c>
      <c r="N592" s="40">
        <f>IF($H592="INQUIRY",IFERROR(EDATE(INDEX('견적 Quotes'!$B$3:$B$1002,MATCH($C592,'견적 Quotes'!$A$3:$A$1002,0)),'설정 Settings'!$C$20),""),"")</f>
      </c>
    </row>
    <row r="593" spans="12:14" x14ac:dyDescent="0.25">
      <c r="L593" s="42">
        <f>IF($A593="","",IF($G593="Y","완료 DONE",IF($F593="","날짜 없음",IF($F593&lt;'설정 Settings'!$C$15,"지남 OVERDUE",IF($F593='설정 Settings'!$C$15,"오늘 TODAY","예정 OPEN")))))</f>
      </c>
      <c r="M593" s="42">
        <f>IF($A593="","",IF($I593="Y","수신거부: 문자·이메일 보내지 않기",IF(OR($E593="SMS",$E593="EMAIL"),IF(OR($H593="",$H593="NONE"),"동의 근거 없음: 전화·방문만",IF($H593="INQUIRY",IF(N($N593)=0,"견적 요청일을 못 찾음: 관련 ID에 견적 ID(Q-…)를 넣었는지 확인",IF('설정 Settings'!$C$15&gt;N($N593),"문의 후 6개월 지남: 다른 동의 근거 필요","OK: 이름·주소·연락처·수신거부 문구 넣기")),IF($H593="REFERRAL","소개 후 첫 메시지만 OK: 소개자 이름 + 이름·주소·연락처·수신거부 문구. 두 번째부터는 다른 동의 근거 필요",IF(AND($H593="REPLY",$D593&lt;&gt;"QUOTE",$D593&lt;&gt;"CALLBACK"),"문의에 대한 답장이 아님: EXPRESS 또는 INQUIRY 동의 필요","OK: 이름·주소·연락처·수신거부 문구 넣기")))),"")))</f>
      </c>
      <c r="N593" s="40">
        <f>IF($H593="INQUIRY",IFERROR(EDATE(INDEX('견적 Quotes'!$B$3:$B$1002,MATCH($C593,'견적 Quotes'!$A$3:$A$1002,0)),'설정 Settings'!$C$20),""),"")</f>
      </c>
    </row>
    <row r="594" spans="12:14" x14ac:dyDescent="0.25">
      <c r="L594" s="42">
        <f>IF($A594="","",IF($G594="Y","완료 DONE",IF($F594="","날짜 없음",IF($F594&lt;'설정 Settings'!$C$15,"지남 OVERDUE",IF($F594='설정 Settings'!$C$15,"오늘 TODAY","예정 OPEN")))))</f>
      </c>
      <c r="M594" s="42">
        <f>IF($A594="","",IF($I594="Y","수신거부: 문자·이메일 보내지 않기",IF(OR($E594="SMS",$E594="EMAIL"),IF(OR($H594="",$H594="NONE"),"동의 근거 없음: 전화·방문만",IF($H594="INQUIRY",IF(N($N594)=0,"견적 요청일을 못 찾음: 관련 ID에 견적 ID(Q-…)를 넣었는지 확인",IF('설정 Settings'!$C$15&gt;N($N594),"문의 후 6개월 지남: 다른 동의 근거 필요","OK: 이름·주소·연락처·수신거부 문구 넣기")),IF($H594="REFERRAL","소개 후 첫 메시지만 OK: 소개자 이름 + 이름·주소·연락처·수신거부 문구. 두 번째부터는 다른 동의 근거 필요",IF(AND($H594="REPLY",$D594&lt;&gt;"QUOTE",$D594&lt;&gt;"CALLBACK"),"문의에 대한 답장이 아님: EXPRESS 또는 INQUIRY 동의 필요","OK: 이름·주소·연락처·수신거부 문구 넣기")))),"")))</f>
      </c>
      <c r="N594" s="40">
        <f>IF($H594="INQUIRY",IFERROR(EDATE(INDEX('견적 Quotes'!$B$3:$B$1002,MATCH($C594,'견적 Quotes'!$A$3:$A$1002,0)),'설정 Settings'!$C$20),""),"")</f>
      </c>
    </row>
    <row r="595" spans="12:14" x14ac:dyDescent="0.25">
      <c r="L595" s="42">
        <f>IF($A595="","",IF($G595="Y","완료 DONE",IF($F595="","날짜 없음",IF($F595&lt;'설정 Settings'!$C$15,"지남 OVERDUE",IF($F595='설정 Settings'!$C$15,"오늘 TODAY","예정 OPEN")))))</f>
      </c>
      <c r="M595" s="42">
        <f>IF($A595="","",IF($I595="Y","수신거부: 문자·이메일 보내지 않기",IF(OR($E595="SMS",$E595="EMAIL"),IF(OR($H595="",$H595="NONE"),"동의 근거 없음: 전화·방문만",IF($H595="INQUIRY",IF(N($N595)=0,"견적 요청일을 못 찾음: 관련 ID에 견적 ID(Q-…)를 넣었는지 확인",IF('설정 Settings'!$C$15&gt;N($N595),"문의 후 6개월 지남: 다른 동의 근거 필요","OK: 이름·주소·연락처·수신거부 문구 넣기")),IF($H595="REFERRAL","소개 후 첫 메시지만 OK: 소개자 이름 + 이름·주소·연락처·수신거부 문구. 두 번째부터는 다른 동의 근거 필요",IF(AND($H595="REPLY",$D595&lt;&gt;"QUOTE",$D595&lt;&gt;"CALLBACK"),"문의에 대한 답장이 아님: EXPRESS 또는 INQUIRY 동의 필요","OK: 이름·주소·연락처·수신거부 문구 넣기")))),"")))</f>
      </c>
      <c r="N595" s="40">
        <f>IF($H595="INQUIRY",IFERROR(EDATE(INDEX('견적 Quotes'!$B$3:$B$1002,MATCH($C595,'견적 Quotes'!$A$3:$A$1002,0)),'설정 Settings'!$C$20),""),"")</f>
      </c>
    </row>
    <row r="596" spans="12:14" x14ac:dyDescent="0.25">
      <c r="L596" s="42">
        <f>IF($A596="","",IF($G596="Y","완료 DONE",IF($F596="","날짜 없음",IF($F596&lt;'설정 Settings'!$C$15,"지남 OVERDUE",IF($F596='설정 Settings'!$C$15,"오늘 TODAY","예정 OPEN")))))</f>
      </c>
      <c r="M596" s="42">
        <f>IF($A596="","",IF($I596="Y","수신거부: 문자·이메일 보내지 않기",IF(OR($E596="SMS",$E596="EMAIL"),IF(OR($H596="",$H596="NONE"),"동의 근거 없음: 전화·방문만",IF($H596="INQUIRY",IF(N($N596)=0,"견적 요청일을 못 찾음: 관련 ID에 견적 ID(Q-…)를 넣었는지 확인",IF('설정 Settings'!$C$15&gt;N($N596),"문의 후 6개월 지남: 다른 동의 근거 필요","OK: 이름·주소·연락처·수신거부 문구 넣기")),IF($H596="REFERRAL","소개 후 첫 메시지만 OK: 소개자 이름 + 이름·주소·연락처·수신거부 문구. 두 번째부터는 다른 동의 근거 필요",IF(AND($H596="REPLY",$D596&lt;&gt;"QUOTE",$D596&lt;&gt;"CALLBACK"),"문의에 대한 답장이 아님: EXPRESS 또는 INQUIRY 동의 필요","OK: 이름·주소·연락처·수신거부 문구 넣기")))),"")))</f>
      </c>
      <c r="N596" s="40">
        <f>IF($H596="INQUIRY",IFERROR(EDATE(INDEX('견적 Quotes'!$B$3:$B$1002,MATCH($C596,'견적 Quotes'!$A$3:$A$1002,0)),'설정 Settings'!$C$20),""),"")</f>
      </c>
    </row>
    <row r="597" spans="12:14" x14ac:dyDescent="0.25">
      <c r="L597" s="42">
        <f>IF($A597="","",IF($G597="Y","완료 DONE",IF($F597="","날짜 없음",IF($F597&lt;'설정 Settings'!$C$15,"지남 OVERDUE",IF($F597='설정 Settings'!$C$15,"오늘 TODAY","예정 OPEN")))))</f>
      </c>
      <c r="M597" s="42">
        <f>IF($A597="","",IF($I597="Y","수신거부: 문자·이메일 보내지 않기",IF(OR($E597="SMS",$E597="EMAIL"),IF(OR($H597="",$H597="NONE"),"동의 근거 없음: 전화·방문만",IF($H597="INQUIRY",IF(N($N597)=0,"견적 요청일을 못 찾음: 관련 ID에 견적 ID(Q-…)를 넣었는지 확인",IF('설정 Settings'!$C$15&gt;N($N597),"문의 후 6개월 지남: 다른 동의 근거 필요","OK: 이름·주소·연락처·수신거부 문구 넣기")),IF($H597="REFERRAL","소개 후 첫 메시지만 OK: 소개자 이름 + 이름·주소·연락처·수신거부 문구. 두 번째부터는 다른 동의 근거 필요",IF(AND($H597="REPLY",$D597&lt;&gt;"QUOTE",$D597&lt;&gt;"CALLBACK"),"문의에 대한 답장이 아님: EXPRESS 또는 INQUIRY 동의 필요","OK: 이름·주소·연락처·수신거부 문구 넣기")))),"")))</f>
      </c>
      <c r="N597" s="40">
        <f>IF($H597="INQUIRY",IFERROR(EDATE(INDEX('견적 Quotes'!$B$3:$B$1002,MATCH($C597,'견적 Quotes'!$A$3:$A$1002,0)),'설정 Settings'!$C$20),""),"")</f>
      </c>
    </row>
    <row r="598" spans="12:14" x14ac:dyDescent="0.25">
      <c r="L598" s="42">
        <f>IF($A598="","",IF($G598="Y","완료 DONE",IF($F598="","날짜 없음",IF($F598&lt;'설정 Settings'!$C$15,"지남 OVERDUE",IF($F598='설정 Settings'!$C$15,"오늘 TODAY","예정 OPEN")))))</f>
      </c>
      <c r="M598" s="42">
        <f>IF($A598="","",IF($I598="Y","수신거부: 문자·이메일 보내지 않기",IF(OR($E598="SMS",$E598="EMAIL"),IF(OR($H598="",$H598="NONE"),"동의 근거 없음: 전화·방문만",IF($H598="INQUIRY",IF(N($N598)=0,"견적 요청일을 못 찾음: 관련 ID에 견적 ID(Q-…)를 넣었는지 확인",IF('설정 Settings'!$C$15&gt;N($N598),"문의 후 6개월 지남: 다른 동의 근거 필요","OK: 이름·주소·연락처·수신거부 문구 넣기")),IF($H598="REFERRAL","소개 후 첫 메시지만 OK: 소개자 이름 + 이름·주소·연락처·수신거부 문구. 두 번째부터는 다른 동의 근거 필요",IF(AND($H598="REPLY",$D598&lt;&gt;"QUOTE",$D598&lt;&gt;"CALLBACK"),"문의에 대한 답장이 아님: EXPRESS 또는 INQUIRY 동의 필요","OK: 이름·주소·연락처·수신거부 문구 넣기")))),"")))</f>
      </c>
      <c r="N598" s="40">
        <f>IF($H598="INQUIRY",IFERROR(EDATE(INDEX('견적 Quotes'!$B$3:$B$1002,MATCH($C598,'견적 Quotes'!$A$3:$A$1002,0)),'설정 Settings'!$C$20),""),"")</f>
      </c>
    </row>
    <row r="599" spans="12:14" x14ac:dyDescent="0.25">
      <c r="L599" s="42">
        <f>IF($A599="","",IF($G599="Y","완료 DONE",IF($F599="","날짜 없음",IF($F599&lt;'설정 Settings'!$C$15,"지남 OVERDUE",IF($F599='설정 Settings'!$C$15,"오늘 TODAY","예정 OPEN")))))</f>
      </c>
      <c r="M599" s="42">
        <f>IF($A599="","",IF($I599="Y","수신거부: 문자·이메일 보내지 않기",IF(OR($E599="SMS",$E599="EMAIL"),IF(OR($H599="",$H599="NONE"),"동의 근거 없음: 전화·방문만",IF($H599="INQUIRY",IF(N($N599)=0,"견적 요청일을 못 찾음: 관련 ID에 견적 ID(Q-…)를 넣었는지 확인",IF('설정 Settings'!$C$15&gt;N($N599),"문의 후 6개월 지남: 다른 동의 근거 필요","OK: 이름·주소·연락처·수신거부 문구 넣기")),IF($H599="REFERRAL","소개 후 첫 메시지만 OK: 소개자 이름 + 이름·주소·연락처·수신거부 문구. 두 번째부터는 다른 동의 근거 필요",IF(AND($H599="REPLY",$D599&lt;&gt;"QUOTE",$D599&lt;&gt;"CALLBACK"),"문의에 대한 답장이 아님: EXPRESS 또는 INQUIRY 동의 필요","OK: 이름·주소·연락처·수신거부 문구 넣기")))),"")))</f>
      </c>
      <c r="N599" s="40">
        <f>IF($H599="INQUIRY",IFERROR(EDATE(INDEX('견적 Quotes'!$B$3:$B$1002,MATCH($C599,'견적 Quotes'!$A$3:$A$1002,0)),'설정 Settings'!$C$20),""),"")</f>
      </c>
    </row>
    <row r="600" spans="12:14" x14ac:dyDescent="0.25">
      <c r="L600" s="42">
        <f>IF($A600="","",IF($G600="Y","완료 DONE",IF($F600="","날짜 없음",IF($F600&lt;'설정 Settings'!$C$15,"지남 OVERDUE",IF($F600='설정 Settings'!$C$15,"오늘 TODAY","예정 OPEN")))))</f>
      </c>
      <c r="M600" s="42">
        <f>IF($A600="","",IF($I600="Y","수신거부: 문자·이메일 보내지 않기",IF(OR($E600="SMS",$E600="EMAIL"),IF(OR($H600="",$H600="NONE"),"동의 근거 없음: 전화·방문만",IF($H600="INQUIRY",IF(N($N600)=0,"견적 요청일을 못 찾음: 관련 ID에 견적 ID(Q-…)를 넣었는지 확인",IF('설정 Settings'!$C$15&gt;N($N600),"문의 후 6개월 지남: 다른 동의 근거 필요","OK: 이름·주소·연락처·수신거부 문구 넣기")),IF($H600="REFERRAL","소개 후 첫 메시지만 OK: 소개자 이름 + 이름·주소·연락처·수신거부 문구. 두 번째부터는 다른 동의 근거 필요",IF(AND($H600="REPLY",$D600&lt;&gt;"QUOTE",$D600&lt;&gt;"CALLBACK"),"문의에 대한 답장이 아님: EXPRESS 또는 INQUIRY 동의 필요","OK: 이름·주소·연락처·수신거부 문구 넣기")))),"")))</f>
      </c>
      <c r="N600" s="40">
        <f>IF($H600="INQUIRY",IFERROR(EDATE(INDEX('견적 Quotes'!$B$3:$B$1002,MATCH($C600,'견적 Quotes'!$A$3:$A$1002,0)),'설정 Settings'!$C$20),""),"")</f>
      </c>
    </row>
    <row r="601" spans="12:14" x14ac:dyDescent="0.25">
      <c r="L601" s="42">
        <f>IF($A601="","",IF($G601="Y","완료 DONE",IF($F601="","날짜 없음",IF($F601&lt;'설정 Settings'!$C$15,"지남 OVERDUE",IF($F601='설정 Settings'!$C$15,"오늘 TODAY","예정 OPEN")))))</f>
      </c>
      <c r="M601" s="42">
        <f>IF($A601="","",IF($I601="Y","수신거부: 문자·이메일 보내지 않기",IF(OR($E601="SMS",$E601="EMAIL"),IF(OR($H601="",$H601="NONE"),"동의 근거 없음: 전화·방문만",IF($H601="INQUIRY",IF(N($N601)=0,"견적 요청일을 못 찾음: 관련 ID에 견적 ID(Q-…)를 넣었는지 확인",IF('설정 Settings'!$C$15&gt;N($N601),"문의 후 6개월 지남: 다른 동의 근거 필요","OK: 이름·주소·연락처·수신거부 문구 넣기")),IF($H601="REFERRAL","소개 후 첫 메시지만 OK: 소개자 이름 + 이름·주소·연락처·수신거부 문구. 두 번째부터는 다른 동의 근거 필요",IF(AND($H601="REPLY",$D601&lt;&gt;"QUOTE",$D601&lt;&gt;"CALLBACK"),"문의에 대한 답장이 아님: EXPRESS 또는 INQUIRY 동의 필요","OK: 이름·주소·연락처·수신거부 문구 넣기")))),"")))</f>
      </c>
      <c r="N601" s="40">
        <f>IF($H601="INQUIRY",IFERROR(EDATE(INDEX('견적 Quotes'!$B$3:$B$1002,MATCH($C601,'견적 Quotes'!$A$3:$A$1002,0)),'설정 Settings'!$C$20),""),"")</f>
      </c>
    </row>
    <row r="602" spans="12:14" x14ac:dyDescent="0.25">
      <c r="L602" s="42">
        <f>IF($A602="","",IF($G602="Y","완료 DONE",IF($F602="","날짜 없음",IF($F602&lt;'설정 Settings'!$C$15,"지남 OVERDUE",IF($F602='설정 Settings'!$C$15,"오늘 TODAY","예정 OPEN")))))</f>
      </c>
      <c r="M602" s="42">
        <f>IF($A602="","",IF($I602="Y","수신거부: 문자·이메일 보내지 않기",IF(OR($E602="SMS",$E602="EMAIL"),IF(OR($H602="",$H602="NONE"),"동의 근거 없음: 전화·방문만",IF($H602="INQUIRY",IF(N($N602)=0,"견적 요청일을 못 찾음: 관련 ID에 견적 ID(Q-…)를 넣었는지 확인",IF('설정 Settings'!$C$15&gt;N($N602),"문의 후 6개월 지남: 다른 동의 근거 필요","OK: 이름·주소·연락처·수신거부 문구 넣기")),IF($H602="REFERRAL","소개 후 첫 메시지만 OK: 소개자 이름 + 이름·주소·연락처·수신거부 문구. 두 번째부터는 다른 동의 근거 필요",IF(AND($H602="REPLY",$D602&lt;&gt;"QUOTE",$D602&lt;&gt;"CALLBACK"),"문의에 대한 답장이 아님: EXPRESS 또는 INQUIRY 동의 필요","OK: 이름·주소·연락처·수신거부 문구 넣기")))),"")))</f>
      </c>
      <c r="N602" s="40">
        <f>IF($H602="INQUIRY",IFERROR(EDATE(INDEX('견적 Quotes'!$B$3:$B$1002,MATCH($C602,'견적 Quotes'!$A$3:$A$1002,0)),'설정 Settings'!$C$20),""),"")</f>
      </c>
    </row>
    <row r="603" spans="12:14" x14ac:dyDescent="0.25">
      <c r="L603" s="42">
        <f>IF($A603="","",IF($G603="Y","완료 DONE",IF($F603="","날짜 없음",IF($F603&lt;'설정 Settings'!$C$15,"지남 OVERDUE",IF($F603='설정 Settings'!$C$15,"오늘 TODAY","예정 OPEN")))))</f>
      </c>
      <c r="M603" s="42">
        <f>IF($A603="","",IF($I603="Y","수신거부: 문자·이메일 보내지 않기",IF(OR($E603="SMS",$E603="EMAIL"),IF(OR($H603="",$H603="NONE"),"동의 근거 없음: 전화·방문만",IF($H603="INQUIRY",IF(N($N603)=0,"견적 요청일을 못 찾음: 관련 ID에 견적 ID(Q-…)를 넣었는지 확인",IF('설정 Settings'!$C$15&gt;N($N603),"문의 후 6개월 지남: 다른 동의 근거 필요","OK: 이름·주소·연락처·수신거부 문구 넣기")),IF($H603="REFERRAL","소개 후 첫 메시지만 OK: 소개자 이름 + 이름·주소·연락처·수신거부 문구. 두 번째부터는 다른 동의 근거 필요",IF(AND($H603="REPLY",$D603&lt;&gt;"QUOTE",$D603&lt;&gt;"CALLBACK"),"문의에 대한 답장이 아님: EXPRESS 또는 INQUIRY 동의 필요","OK: 이름·주소·연락처·수신거부 문구 넣기")))),"")))</f>
      </c>
      <c r="N603" s="40">
        <f>IF($H603="INQUIRY",IFERROR(EDATE(INDEX('견적 Quotes'!$B$3:$B$1002,MATCH($C603,'견적 Quotes'!$A$3:$A$1002,0)),'설정 Settings'!$C$20),""),"")</f>
      </c>
    </row>
    <row r="604" spans="12:14" x14ac:dyDescent="0.25">
      <c r="L604" s="42">
        <f>IF($A604="","",IF($G604="Y","완료 DONE",IF($F604="","날짜 없음",IF($F604&lt;'설정 Settings'!$C$15,"지남 OVERDUE",IF($F604='설정 Settings'!$C$15,"오늘 TODAY","예정 OPEN")))))</f>
      </c>
      <c r="M604" s="42">
        <f>IF($A604="","",IF($I604="Y","수신거부: 문자·이메일 보내지 않기",IF(OR($E604="SMS",$E604="EMAIL"),IF(OR($H604="",$H604="NONE"),"동의 근거 없음: 전화·방문만",IF($H604="INQUIRY",IF(N($N604)=0,"견적 요청일을 못 찾음: 관련 ID에 견적 ID(Q-…)를 넣었는지 확인",IF('설정 Settings'!$C$15&gt;N($N604),"문의 후 6개월 지남: 다른 동의 근거 필요","OK: 이름·주소·연락처·수신거부 문구 넣기")),IF($H604="REFERRAL","소개 후 첫 메시지만 OK: 소개자 이름 + 이름·주소·연락처·수신거부 문구. 두 번째부터는 다른 동의 근거 필요",IF(AND($H604="REPLY",$D604&lt;&gt;"QUOTE",$D604&lt;&gt;"CALLBACK"),"문의에 대한 답장이 아님: EXPRESS 또는 INQUIRY 동의 필요","OK: 이름·주소·연락처·수신거부 문구 넣기")))),"")))</f>
      </c>
      <c r="N604" s="40">
        <f>IF($H604="INQUIRY",IFERROR(EDATE(INDEX('견적 Quotes'!$B$3:$B$1002,MATCH($C604,'견적 Quotes'!$A$3:$A$1002,0)),'설정 Settings'!$C$20),""),"")</f>
      </c>
    </row>
    <row r="605" spans="12:14" x14ac:dyDescent="0.25">
      <c r="L605" s="42">
        <f>IF($A605="","",IF($G605="Y","완료 DONE",IF($F605="","날짜 없음",IF($F605&lt;'설정 Settings'!$C$15,"지남 OVERDUE",IF($F605='설정 Settings'!$C$15,"오늘 TODAY","예정 OPEN")))))</f>
      </c>
      <c r="M605" s="42">
        <f>IF($A605="","",IF($I605="Y","수신거부: 문자·이메일 보내지 않기",IF(OR($E605="SMS",$E605="EMAIL"),IF(OR($H605="",$H605="NONE"),"동의 근거 없음: 전화·방문만",IF($H605="INQUIRY",IF(N($N605)=0,"견적 요청일을 못 찾음: 관련 ID에 견적 ID(Q-…)를 넣었는지 확인",IF('설정 Settings'!$C$15&gt;N($N605),"문의 후 6개월 지남: 다른 동의 근거 필요","OK: 이름·주소·연락처·수신거부 문구 넣기")),IF($H605="REFERRAL","소개 후 첫 메시지만 OK: 소개자 이름 + 이름·주소·연락처·수신거부 문구. 두 번째부터는 다른 동의 근거 필요",IF(AND($H605="REPLY",$D605&lt;&gt;"QUOTE",$D605&lt;&gt;"CALLBACK"),"문의에 대한 답장이 아님: EXPRESS 또는 INQUIRY 동의 필요","OK: 이름·주소·연락처·수신거부 문구 넣기")))),"")))</f>
      </c>
      <c r="N605" s="40">
        <f>IF($H605="INQUIRY",IFERROR(EDATE(INDEX('견적 Quotes'!$B$3:$B$1002,MATCH($C605,'견적 Quotes'!$A$3:$A$1002,0)),'설정 Settings'!$C$20),""),"")</f>
      </c>
    </row>
    <row r="606" spans="12:14" x14ac:dyDescent="0.25">
      <c r="L606" s="42">
        <f>IF($A606="","",IF($G606="Y","완료 DONE",IF($F606="","날짜 없음",IF($F606&lt;'설정 Settings'!$C$15,"지남 OVERDUE",IF($F606='설정 Settings'!$C$15,"오늘 TODAY","예정 OPEN")))))</f>
      </c>
      <c r="M606" s="42">
        <f>IF($A606="","",IF($I606="Y","수신거부: 문자·이메일 보내지 않기",IF(OR($E606="SMS",$E606="EMAIL"),IF(OR($H606="",$H606="NONE"),"동의 근거 없음: 전화·방문만",IF($H606="INQUIRY",IF(N($N606)=0,"견적 요청일을 못 찾음: 관련 ID에 견적 ID(Q-…)를 넣었는지 확인",IF('설정 Settings'!$C$15&gt;N($N606),"문의 후 6개월 지남: 다른 동의 근거 필요","OK: 이름·주소·연락처·수신거부 문구 넣기")),IF($H606="REFERRAL","소개 후 첫 메시지만 OK: 소개자 이름 + 이름·주소·연락처·수신거부 문구. 두 번째부터는 다른 동의 근거 필요",IF(AND($H606="REPLY",$D606&lt;&gt;"QUOTE",$D606&lt;&gt;"CALLBACK"),"문의에 대한 답장이 아님: EXPRESS 또는 INQUIRY 동의 필요","OK: 이름·주소·연락처·수신거부 문구 넣기")))),"")))</f>
      </c>
      <c r="N606" s="40">
        <f>IF($H606="INQUIRY",IFERROR(EDATE(INDEX('견적 Quotes'!$B$3:$B$1002,MATCH($C606,'견적 Quotes'!$A$3:$A$1002,0)),'설정 Settings'!$C$20),""),"")</f>
      </c>
    </row>
    <row r="607" spans="12:14" x14ac:dyDescent="0.25">
      <c r="L607" s="42">
        <f>IF($A607="","",IF($G607="Y","완료 DONE",IF($F607="","날짜 없음",IF($F607&lt;'설정 Settings'!$C$15,"지남 OVERDUE",IF($F607='설정 Settings'!$C$15,"오늘 TODAY","예정 OPEN")))))</f>
      </c>
      <c r="M607" s="42">
        <f>IF($A607="","",IF($I607="Y","수신거부: 문자·이메일 보내지 않기",IF(OR($E607="SMS",$E607="EMAIL"),IF(OR($H607="",$H607="NONE"),"동의 근거 없음: 전화·방문만",IF($H607="INQUIRY",IF(N($N607)=0,"견적 요청일을 못 찾음: 관련 ID에 견적 ID(Q-…)를 넣었는지 확인",IF('설정 Settings'!$C$15&gt;N($N607),"문의 후 6개월 지남: 다른 동의 근거 필요","OK: 이름·주소·연락처·수신거부 문구 넣기")),IF($H607="REFERRAL","소개 후 첫 메시지만 OK: 소개자 이름 + 이름·주소·연락처·수신거부 문구. 두 번째부터는 다른 동의 근거 필요",IF(AND($H607="REPLY",$D607&lt;&gt;"QUOTE",$D607&lt;&gt;"CALLBACK"),"문의에 대한 답장이 아님: EXPRESS 또는 INQUIRY 동의 필요","OK: 이름·주소·연락처·수신거부 문구 넣기")))),"")))</f>
      </c>
      <c r="N607" s="40">
        <f>IF($H607="INQUIRY",IFERROR(EDATE(INDEX('견적 Quotes'!$B$3:$B$1002,MATCH($C607,'견적 Quotes'!$A$3:$A$1002,0)),'설정 Settings'!$C$20),""),"")</f>
      </c>
    </row>
    <row r="608" spans="12:14" x14ac:dyDescent="0.25">
      <c r="L608" s="42">
        <f>IF($A608="","",IF($G608="Y","완료 DONE",IF($F608="","날짜 없음",IF($F608&lt;'설정 Settings'!$C$15,"지남 OVERDUE",IF($F608='설정 Settings'!$C$15,"오늘 TODAY","예정 OPEN")))))</f>
      </c>
      <c r="M608" s="42">
        <f>IF($A608="","",IF($I608="Y","수신거부: 문자·이메일 보내지 않기",IF(OR($E608="SMS",$E608="EMAIL"),IF(OR($H608="",$H608="NONE"),"동의 근거 없음: 전화·방문만",IF($H608="INQUIRY",IF(N($N608)=0,"견적 요청일을 못 찾음: 관련 ID에 견적 ID(Q-…)를 넣었는지 확인",IF('설정 Settings'!$C$15&gt;N($N608),"문의 후 6개월 지남: 다른 동의 근거 필요","OK: 이름·주소·연락처·수신거부 문구 넣기")),IF($H608="REFERRAL","소개 후 첫 메시지만 OK: 소개자 이름 + 이름·주소·연락처·수신거부 문구. 두 번째부터는 다른 동의 근거 필요",IF(AND($H608="REPLY",$D608&lt;&gt;"QUOTE",$D608&lt;&gt;"CALLBACK"),"문의에 대한 답장이 아님: EXPRESS 또는 INQUIRY 동의 필요","OK: 이름·주소·연락처·수신거부 문구 넣기")))),"")))</f>
      </c>
      <c r="N608" s="40">
        <f>IF($H608="INQUIRY",IFERROR(EDATE(INDEX('견적 Quotes'!$B$3:$B$1002,MATCH($C608,'견적 Quotes'!$A$3:$A$1002,0)),'설정 Settings'!$C$20),""),"")</f>
      </c>
    </row>
    <row r="609" spans="12:14" x14ac:dyDescent="0.25">
      <c r="L609" s="42">
        <f>IF($A609="","",IF($G609="Y","완료 DONE",IF($F609="","날짜 없음",IF($F609&lt;'설정 Settings'!$C$15,"지남 OVERDUE",IF($F609='설정 Settings'!$C$15,"오늘 TODAY","예정 OPEN")))))</f>
      </c>
      <c r="M609" s="42">
        <f>IF($A609="","",IF($I609="Y","수신거부: 문자·이메일 보내지 않기",IF(OR($E609="SMS",$E609="EMAIL"),IF(OR($H609="",$H609="NONE"),"동의 근거 없음: 전화·방문만",IF($H609="INQUIRY",IF(N($N609)=0,"견적 요청일을 못 찾음: 관련 ID에 견적 ID(Q-…)를 넣었는지 확인",IF('설정 Settings'!$C$15&gt;N($N609),"문의 후 6개월 지남: 다른 동의 근거 필요","OK: 이름·주소·연락처·수신거부 문구 넣기")),IF($H609="REFERRAL","소개 후 첫 메시지만 OK: 소개자 이름 + 이름·주소·연락처·수신거부 문구. 두 번째부터는 다른 동의 근거 필요",IF(AND($H609="REPLY",$D609&lt;&gt;"QUOTE",$D609&lt;&gt;"CALLBACK"),"문의에 대한 답장이 아님: EXPRESS 또는 INQUIRY 동의 필요","OK: 이름·주소·연락처·수신거부 문구 넣기")))),"")))</f>
      </c>
      <c r="N609" s="40">
        <f>IF($H609="INQUIRY",IFERROR(EDATE(INDEX('견적 Quotes'!$B$3:$B$1002,MATCH($C609,'견적 Quotes'!$A$3:$A$1002,0)),'설정 Settings'!$C$20),""),"")</f>
      </c>
    </row>
    <row r="610" spans="12:14" x14ac:dyDescent="0.25">
      <c r="L610" s="42">
        <f>IF($A610="","",IF($G610="Y","완료 DONE",IF($F610="","날짜 없음",IF($F610&lt;'설정 Settings'!$C$15,"지남 OVERDUE",IF($F610='설정 Settings'!$C$15,"오늘 TODAY","예정 OPEN")))))</f>
      </c>
      <c r="M610" s="42">
        <f>IF($A610="","",IF($I610="Y","수신거부: 문자·이메일 보내지 않기",IF(OR($E610="SMS",$E610="EMAIL"),IF(OR($H610="",$H610="NONE"),"동의 근거 없음: 전화·방문만",IF($H610="INQUIRY",IF(N($N610)=0,"견적 요청일을 못 찾음: 관련 ID에 견적 ID(Q-…)를 넣었는지 확인",IF('설정 Settings'!$C$15&gt;N($N610),"문의 후 6개월 지남: 다른 동의 근거 필요","OK: 이름·주소·연락처·수신거부 문구 넣기")),IF($H610="REFERRAL","소개 후 첫 메시지만 OK: 소개자 이름 + 이름·주소·연락처·수신거부 문구. 두 번째부터는 다른 동의 근거 필요",IF(AND($H610="REPLY",$D610&lt;&gt;"QUOTE",$D610&lt;&gt;"CALLBACK"),"문의에 대한 답장이 아님: EXPRESS 또는 INQUIRY 동의 필요","OK: 이름·주소·연락처·수신거부 문구 넣기")))),"")))</f>
      </c>
      <c r="N610" s="40">
        <f>IF($H610="INQUIRY",IFERROR(EDATE(INDEX('견적 Quotes'!$B$3:$B$1002,MATCH($C610,'견적 Quotes'!$A$3:$A$1002,0)),'설정 Settings'!$C$20),""),"")</f>
      </c>
    </row>
    <row r="611" spans="12:14" x14ac:dyDescent="0.25">
      <c r="L611" s="42">
        <f>IF($A611="","",IF($G611="Y","완료 DONE",IF($F611="","날짜 없음",IF($F611&lt;'설정 Settings'!$C$15,"지남 OVERDUE",IF($F611='설정 Settings'!$C$15,"오늘 TODAY","예정 OPEN")))))</f>
      </c>
      <c r="M611" s="42">
        <f>IF($A611="","",IF($I611="Y","수신거부: 문자·이메일 보내지 않기",IF(OR($E611="SMS",$E611="EMAIL"),IF(OR($H611="",$H611="NONE"),"동의 근거 없음: 전화·방문만",IF($H611="INQUIRY",IF(N($N611)=0,"견적 요청일을 못 찾음: 관련 ID에 견적 ID(Q-…)를 넣었는지 확인",IF('설정 Settings'!$C$15&gt;N($N611),"문의 후 6개월 지남: 다른 동의 근거 필요","OK: 이름·주소·연락처·수신거부 문구 넣기")),IF($H611="REFERRAL","소개 후 첫 메시지만 OK: 소개자 이름 + 이름·주소·연락처·수신거부 문구. 두 번째부터는 다른 동의 근거 필요",IF(AND($H611="REPLY",$D611&lt;&gt;"QUOTE",$D611&lt;&gt;"CALLBACK"),"문의에 대한 답장이 아님: EXPRESS 또는 INQUIRY 동의 필요","OK: 이름·주소·연락처·수신거부 문구 넣기")))),"")))</f>
      </c>
      <c r="N611" s="40">
        <f>IF($H611="INQUIRY",IFERROR(EDATE(INDEX('견적 Quotes'!$B$3:$B$1002,MATCH($C611,'견적 Quotes'!$A$3:$A$1002,0)),'설정 Settings'!$C$20),""),"")</f>
      </c>
    </row>
    <row r="612" spans="12:14" x14ac:dyDescent="0.25">
      <c r="L612" s="42">
        <f>IF($A612="","",IF($G612="Y","완료 DONE",IF($F612="","날짜 없음",IF($F612&lt;'설정 Settings'!$C$15,"지남 OVERDUE",IF($F612='설정 Settings'!$C$15,"오늘 TODAY","예정 OPEN")))))</f>
      </c>
      <c r="M612" s="42">
        <f>IF($A612="","",IF($I612="Y","수신거부: 문자·이메일 보내지 않기",IF(OR($E612="SMS",$E612="EMAIL"),IF(OR($H612="",$H612="NONE"),"동의 근거 없음: 전화·방문만",IF($H612="INQUIRY",IF(N($N612)=0,"견적 요청일을 못 찾음: 관련 ID에 견적 ID(Q-…)를 넣었는지 확인",IF('설정 Settings'!$C$15&gt;N($N612),"문의 후 6개월 지남: 다른 동의 근거 필요","OK: 이름·주소·연락처·수신거부 문구 넣기")),IF($H612="REFERRAL","소개 후 첫 메시지만 OK: 소개자 이름 + 이름·주소·연락처·수신거부 문구. 두 번째부터는 다른 동의 근거 필요",IF(AND($H612="REPLY",$D612&lt;&gt;"QUOTE",$D612&lt;&gt;"CALLBACK"),"문의에 대한 답장이 아님: EXPRESS 또는 INQUIRY 동의 필요","OK: 이름·주소·연락처·수신거부 문구 넣기")))),"")))</f>
      </c>
      <c r="N612" s="40">
        <f>IF($H612="INQUIRY",IFERROR(EDATE(INDEX('견적 Quotes'!$B$3:$B$1002,MATCH($C612,'견적 Quotes'!$A$3:$A$1002,0)),'설정 Settings'!$C$20),""),"")</f>
      </c>
    </row>
    <row r="613" spans="12:14" x14ac:dyDescent="0.25">
      <c r="L613" s="42">
        <f>IF($A613="","",IF($G613="Y","완료 DONE",IF($F613="","날짜 없음",IF($F613&lt;'설정 Settings'!$C$15,"지남 OVERDUE",IF($F613='설정 Settings'!$C$15,"오늘 TODAY","예정 OPEN")))))</f>
      </c>
      <c r="M613" s="42">
        <f>IF($A613="","",IF($I613="Y","수신거부: 문자·이메일 보내지 않기",IF(OR($E613="SMS",$E613="EMAIL"),IF(OR($H613="",$H613="NONE"),"동의 근거 없음: 전화·방문만",IF($H613="INQUIRY",IF(N($N613)=0,"견적 요청일을 못 찾음: 관련 ID에 견적 ID(Q-…)를 넣었는지 확인",IF('설정 Settings'!$C$15&gt;N($N613),"문의 후 6개월 지남: 다른 동의 근거 필요","OK: 이름·주소·연락처·수신거부 문구 넣기")),IF($H613="REFERRAL","소개 후 첫 메시지만 OK: 소개자 이름 + 이름·주소·연락처·수신거부 문구. 두 번째부터는 다른 동의 근거 필요",IF(AND($H613="REPLY",$D613&lt;&gt;"QUOTE",$D613&lt;&gt;"CALLBACK"),"문의에 대한 답장이 아님: EXPRESS 또는 INQUIRY 동의 필요","OK: 이름·주소·연락처·수신거부 문구 넣기")))),"")))</f>
      </c>
      <c r="N613" s="40">
        <f>IF($H613="INQUIRY",IFERROR(EDATE(INDEX('견적 Quotes'!$B$3:$B$1002,MATCH($C613,'견적 Quotes'!$A$3:$A$1002,0)),'설정 Settings'!$C$20),""),"")</f>
      </c>
    </row>
    <row r="614" spans="12:14" x14ac:dyDescent="0.25">
      <c r="L614" s="42">
        <f>IF($A614="","",IF($G614="Y","완료 DONE",IF($F614="","날짜 없음",IF($F614&lt;'설정 Settings'!$C$15,"지남 OVERDUE",IF($F614='설정 Settings'!$C$15,"오늘 TODAY","예정 OPEN")))))</f>
      </c>
      <c r="M614" s="42">
        <f>IF($A614="","",IF($I614="Y","수신거부: 문자·이메일 보내지 않기",IF(OR($E614="SMS",$E614="EMAIL"),IF(OR($H614="",$H614="NONE"),"동의 근거 없음: 전화·방문만",IF($H614="INQUIRY",IF(N($N614)=0,"견적 요청일을 못 찾음: 관련 ID에 견적 ID(Q-…)를 넣었는지 확인",IF('설정 Settings'!$C$15&gt;N($N614),"문의 후 6개월 지남: 다른 동의 근거 필요","OK: 이름·주소·연락처·수신거부 문구 넣기")),IF($H614="REFERRAL","소개 후 첫 메시지만 OK: 소개자 이름 + 이름·주소·연락처·수신거부 문구. 두 번째부터는 다른 동의 근거 필요",IF(AND($H614="REPLY",$D614&lt;&gt;"QUOTE",$D614&lt;&gt;"CALLBACK"),"문의에 대한 답장이 아님: EXPRESS 또는 INQUIRY 동의 필요","OK: 이름·주소·연락처·수신거부 문구 넣기")))),"")))</f>
      </c>
      <c r="N614" s="40">
        <f>IF($H614="INQUIRY",IFERROR(EDATE(INDEX('견적 Quotes'!$B$3:$B$1002,MATCH($C614,'견적 Quotes'!$A$3:$A$1002,0)),'설정 Settings'!$C$20),""),"")</f>
      </c>
    </row>
    <row r="615" spans="12:14" x14ac:dyDescent="0.25">
      <c r="L615" s="42">
        <f>IF($A615="","",IF($G615="Y","완료 DONE",IF($F615="","날짜 없음",IF($F615&lt;'설정 Settings'!$C$15,"지남 OVERDUE",IF($F615='설정 Settings'!$C$15,"오늘 TODAY","예정 OPEN")))))</f>
      </c>
      <c r="M615" s="42">
        <f>IF($A615="","",IF($I615="Y","수신거부: 문자·이메일 보내지 않기",IF(OR($E615="SMS",$E615="EMAIL"),IF(OR($H615="",$H615="NONE"),"동의 근거 없음: 전화·방문만",IF($H615="INQUIRY",IF(N($N615)=0,"견적 요청일을 못 찾음: 관련 ID에 견적 ID(Q-…)를 넣었는지 확인",IF('설정 Settings'!$C$15&gt;N($N615),"문의 후 6개월 지남: 다른 동의 근거 필요","OK: 이름·주소·연락처·수신거부 문구 넣기")),IF($H615="REFERRAL","소개 후 첫 메시지만 OK: 소개자 이름 + 이름·주소·연락처·수신거부 문구. 두 번째부터는 다른 동의 근거 필요",IF(AND($H615="REPLY",$D615&lt;&gt;"QUOTE",$D615&lt;&gt;"CALLBACK"),"문의에 대한 답장이 아님: EXPRESS 또는 INQUIRY 동의 필요","OK: 이름·주소·연락처·수신거부 문구 넣기")))),"")))</f>
      </c>
      <c r="N615" s="40">
        <f>IF($H615="INQUIRY",IFERROR(EDATE(INDEX('견적 Quotes'!$B$3:$B$1002,MATCH($C615,'견적 Quotes'!$A$3:$A$1002,0)),'설정 Settings'!$C$20),""),"")</f>
      </c>
    </row>
    <row r="616" spans="12:14" x14ac:dyDescent="0.25">
      <c r="L616" s="42">
        <f>IF($A616="","",IF($G616="Y","완료 DONE",IF($F616="","날짜 없음",IF($F616&lt;'설정 Settings'!$C$15,"지남 OVERDUE",IF($F616='설정 Settings'!$C$15,"오늘 TODAY","예정 OPEN")))))</f>
      </c>
      <c r="M616" s="42">
        <f>IF($A616="","",IF($I616="Y","수신거부: 문자·이메일 보내지 않기",IF(OR($E616="SMS",$E616="EMAIL"),IF(OR($H616="",$H616="NONE"),"동의 근거 없음: 전화·방문만",IF($H616="INQUIRY",IF(N($N616)=0,"견적 요청일을 못 찾음: 관련 ID에 견적 ID(Q-…)를 넣었는지 확인",IF('설정 Settings'!$C$15&gt;N($N616),"문의 후 6개월 지남: 다른 동의 근거 필요","OK: 이름·주소·연락처·수신거부 문구 넣기")),IF($H616="REFERRAL","소개 후 첫 메시지만 OK: 소개자 이름 + 이름·주소·연락처·수신거부 문구. 두 번째부터는 다른 동의 근거 필요",IF(AND($H616="REPLY",$D616&lt;&gt;"QUOTE",$D616&lt;&gt;"CALLBACK"),"문의에 대한 답장이 아님: EXPRESS 또는 INQUIRY 동의 필요","OK: 이름·주소·연락처·수신거부 문구 넣기")))),"")))</f>
      </c>
      <c r="N616" s="40">
        <f>IF($H616="INQUIRY",IFERROR(EDATE(INDEX('견적 Quotes'!$B$3:$B$1002,MATCH($C616,'견적 Quotes'!$A$3:$A$1002,0)),'설정 Settings'!$C$20),""),"")</f>
      </c>
    </row>
    <row r="617" spans="12:14" x14ac:dyDescent="0.25">
      <c r="L617" s="42">
        <f>IF($A617="","",IF($G617="Y","완료 DONE",IF($F617="","날짜 없음",IF($F617&lt;'설정 Settings'!$C$15,"지남 OVERDUE",IF($F617='설정 Settings'!$C$15,"오늘 TODAY","예정 OPEN")))))</f>
      </c>
      <c r="M617" s="42">
        <f>IF($A617="","",IF($I617="Y","수신거부: 문자·이메일 보내지 않기",IF(OR($E617="SMS",$E617="EMAIL"),IF(OR($H617="",$H617="NONE"),"동의 근거 없음: 전화·방문만",IF($H617="INQUIRY",IF(N($N617)=0,"견적 요청일을 못 찾음: 관련 ID에 견적 ID(Q-…)를 넣었는지 확인",IF('설정 Settings'!$C$15&gt;N($N617),"문의 후 6개월 지남: 다른 동의 근거 필요","OK: 이름·주소·연락처·수신거부 문구 넣기")),IF($H617="REFERRAL","소개 후 첫 메시지만 OK: 소개자 이름 + 이름·주소·연락처·수신거부 문구. 두 번째부터는 다른 동의 근거 필요",IF(AND($H617="REPLY",$D617&lt;&gt;"QUOTE",$D617&lt;&gt;"CALLBACK"),"문의에 대한 답장이 아님: EXPRESS 또는 INQUIRY 동의 필요","OK: 이름·주소·연락처·수신거부 문구 넣기")))),"")))</f>
      </c>
      <c r="N617" s="40">
        <f>IF($H617="INQUIRY",IFERROR(EDATE(INDEX('견적 Quotes'!$B$3:$B$1002,MATCH($C617,'견적 Quotes'!$A$3:$A$1002,0)),'설정 Settings'!$C$20),""),"")</f>
      </c>
    </row>
    <row r="618" spans="12:14" x14ac:dyDescent="0.25">
      <c r="L618" s="42">
        <f>IF($A618="","",IF($G618="Y","완료 DONE",IF($F618="","날짜 없음",IF($F618&lt;'설정 Settings'!$C$15,"지남 OVERDUE",IF($F618='설정 Settings'!$C$15,"오늘 TODAY","예정 OPEN")))))</f>
      </c>
      <c r="M618" s="42">
        <f>IF($A618="","",IF($I618="Y","수신거부: 문자·이메일 보내지 않기",IF(OR($E618="SMS",$E618="EMAIL"),IF(OR($H618="",$H618="NONE"),"동의 근거 없음: 전화·방문만",IF($H618="INQUIRY",IF(N($N618)=0,"견적 요청일을 못 찾음: 관련 ID에 견적 ID(Q-…)를 넣었는지 확인",IF('설정 Settings'!$C$15&gt;N($N618),"문의 후 6개월 지남: 다른 동의 근거 필요","OK: 이름·주소·연락처·수신거부 문구 넣기")),IF($H618="REFERRAL","소개 후 첫 메시지만 OK: 소개자 이름 + 이름·주소·연락처·수신거부 문구. 두 번째부터는 다른 동의 근거 필요",IF(AND($H618="REPLY",$D618&lt;&gt;"QUOTE",$D618&lt;&gt;"CALLBACK"),"문의에 대한 답장이 아님: EXPRESS 또는 INQUIRY 동의 필요","OK: 이름·주소·연락처·수신거부 문구 넣기")))),"")))</f>
      </c>
      <c r="N618" s="40">
        <f>IF($H618="INQUIRY",IFERROR(EDATE(INDEX('견적 Quotes'!$B$3:$B$1002,MATCH($C618,'견적 Quotes'!$A$3:$A$1002,0)),'설정 Settings'!$C$20),""),"")</f>
      </c>
    </row>
    <row r="619" spans="12:14" x14ac:dyDescent="0.25">
      <c r="L619" s="42">
        <f>IF($A619="","",IF($G619="Y","완료 DONE",IF($F619="","날짜 없음",IF($F619&lt;'설정 Settings'!$C$15,"지남 OVERDUE",IF($F619='설정 Settings'!$C$15,"오늘 TODAY","예정 OPEN")))))</f>
      </c>
      <c r="M619" s="42">
        <f>IF($A619="","",IF($I619="Y","수신거부: 문자·이메일 보내지 않기",IF(OR($E619="SMS",$E619="EMAIL"),IF(OR($H619="",$H619="NONE"),"동의 근거 없음: 전화·방문만",IF($H619="INQUIRY",IF(N($N619)=0,"견적 요청일을 못 찾음: 관련 ID에 견적 ID(Q-…)를 넣었는지 확인",IF('설정 Settings'!$C$15&gt;N($N619),"문의 후 6개월 지남: 다른 동의 근거 필요","OK: 이름·주소·연락처·수신거부 문구 넣기")),IF($H619="REFERRAL","소개 후 첫 메시지만 OK: 소개자 이름 + 이름·주소·연락처·수신거부 문구. 두 번째부터는 다른 동의 근거 필요",IF(AND($H619="REPLY",$D619&lt;&gt;"QUOTE",$D619&lt;&gt;"CALLBACK"),"문의에 대한 답장이 아님: EXPRESS 또는 INQUIRY 동의 필요","OK: 이름·주소·연락처·수신거부 문구 넣기")))),"")))</f>
      </c>
      <c r="N619" s="40">
        <f>IF($H619="INQUIRY",IFERROR(EDATE(INDEX('견적 Quotes'!$B$3:$B$1002,MATCH($C619,'견적 Quotes'!$A$3:$A$1002,0)),'설정 Settings'!$C$20),""),"")</f>
      </c>
    </row>
    <row r="620" spans="12:14" x14ac:dyDescent="0.25">
      <c r="L620" s="42">
        <f>IF($A620="","",IF($G620="Y","완료 DONE",IF($F620="","날짜 없음",IF($F620&lt;'설정 Settings'!$C$15,"지남 OVERDUE",IF($F620='설정 Settings'!$C$15,"오늘 TODAY","예정 OPEN")))))</f>
      </c>
      <c r="M620" s="42">
        <f>IF($A620="","",IF($I620="Y","수신거부: 문자·이메일 보내지 않기",IF(OR($E620="SMS",$E620="EMAIL"),IF(OR($H620="",$H620="NONE"),"동의 근거 없음: 전화·방문만",IF($H620="INQUIRY",IF(N($N620)=0,"견적 요청일을 못 찾음: 관련 ID에 견적 ID(Q-…)를 넣었는지 확인",IF('설정 Settings'!$C$15&gt;N($N620),"문의 후 6개월 지남: 다른 동의 근거 필요","OK: 이름·주소·연락처·수신거부 문구 넣기")),IF($H620="REFERRAL","소개 후 첫 메시지만 OK: 소개자 이름 + 이름·주소·연락처·수신거부 문구. 두 번째부터는 다른 동의 근거 필요",IF(AND($H620="REPLY",$D620&lt;&gt;"QUOTE",$D620&lt;&gt;"CALLBACK"),"문의에 대한 답장이 아님: EXPRESS 또는 INQUIRY 동의 필요","OK: 이름·주소·연락처·수신거부 문구 넣기")))),"")))</f>
      </c>
      <c r="N620" s="40">
        <f>IF($H620="INQUIRY",IFERROR(EDATE(INDEX('견적 Quotes'!$B$3:$B$1002,MATCH($C620,'견적 Quotes'!$A$3:$A$1002,0)),'설정 Settings'!$C$20),""),"")</f>
      </c>
    </row>
    <row r="621" spans="12:14" x14ac:dyDescent="0.25">
      <c r="L621" s="42">
        <f>IF($A621="","",IF($G621="Y","완료 DONE",IF($F621="","날짜 없음",IF($F621&lt;'설정 Settings'!$C$15,"지남 OVERDUE",IF($F621='설정 Settings'!$C$15,"오늘 TODAY","예정 OPEN")))))</f>
      </c>
      <c r="M621" s="42">
        <f>IF($A621="","",IF($I621="Y","수신거부: 문자·이메일 보내지 않기",IF(OR($E621="SMS",$E621="EMAIL"),IF(OR($H621="",$H621="NONE"),"동의 근거 없음: 전화·방문만",IF($H621="INQUIRY",IF(N($N621)=0,"견적 요청일을 못 찾음: 관련 ID에 견적 ID(Q-…)를 넣었는지 확인",IF('설정 Settings'!$C$15&gt;N($N621),"문의 후 6개월 지남: 다른 동의 근거 필요","OK: 이름·주소·연락처·수신거부 문구 넣기")),IF($H621="REFERRAL","소개 후 첫 메시지만 OK: 소개자 이름 + 이름·주소·연락처·수신거부 문구. 두 번째부터는 다른 동의 근거 필요",IF(AND($H621="REPLY",$D621&lt;&gt;"QUOTE",$D621&lt;&gt;"CALLBACK"),"문의에 대한 답장이 아님: EXPRESS 또는 INQUIRY 동의 필요","OK: 이름·주소·연락처·수신거부 문구 넣기")))),"")))</f>
      </c>
      <c r="N621" s="40">
        <f>IF($H621="INQUIRY",IFERROR(EDATE(INDEX('견적 Quotes'!$B$3:$B$1002,MATCH($C621,'견적 Quotes'!$A$3:$A$1002,0)),'설정 Settings'!$C$20),""),"")</f>
      </c>
    </row>
    <row r="622" spans="12:14" x14ac:dyDescent="0.25">
      <c r="L622" s="42">
        <f>IF($A622="","",IF($G622="Y","완료 DONE",IF($F622="","날짜 없음",IF($F622&lt;'설정 Settings'!$C$15,"지남 OVERDUE",IF($F622='설정 Settings'!$C$15,"오늘 TODAY","예정 OPEN")))))</f>
      </c>
      <c r="M622" s="42">
        <f>IF($A622="","",IF($I622="Y","수신거부: 문자·이메일 보내지 않기",IF(OR($E622="SMS",$E622="EMAIL"),IF(OR($H622="",$H622="NONE"),"동의 근거 없음: 전화·방문만",IF($H622="INQUIRY",IF(N($N622)=0,"견적 요청일을 못 찾음: 관련 ID에 견적 ID(Q-…)를 넣었는지 확인",IF('설정 Settings'!$C$15&gt;N($N622),"문의 후 6개월 지남: 다른 동의 근거 필요","OK: 이름·주소·연락처·수신거부 문구 넣기")),IF($H622="REFERRAL","소개 후 첫 메시지만 OK: 소개자 이름 + 이름·주소·연락처·수신거부 문구. 두 번째부터는 다른 동의 근거 필요",IF(AND($H622="REPLY",$D622&lt;&gt;"QUOTE",$D622&lt;&gt;"CALLBACK"),"문의에 대한 답장이 아님: EXPRESS 또는 INQUIRY 동의 필요","OK: 이름·주소·연락처·수신거부 문구 넣기")))),"")))</f>
      </c>
      <c r="N622" s="40">
        <f>IF($H622="INQUIRY",IFERROR(EDATE(INDEX('견적 Quotes'!$B$3:$B$1002,MATCH($C622,'견적 Quotes'!$A$3:$A$1002,0)),'설정 Settings'!$C$20),""),"")</f>
      </c>
    </row>
    <row r="623" spans="12:14" x14ac:dyDescent="0.25">
      <c r="L623" s="42">
        <f>IF($A623="","",IF($G623="Y","완료 DONE",IF($F623="","날짜 없음",IF($F623&lt;'설정 Settings'!$C$15,"지남 OVERDUE",IF($F623='설정 Settings'!$C$15,"오늘 TODAY","예정 OPEN")))))</f>
      </c>
      <c r="M623" s="42">
        <f>IF($A623="","",IF($I623="Y","수신거부: 문자·이메일 보내지 않기",IF(OR($E623="SMS",$E623="EMAIL"),IF(OR($H623="",$H623="NONE"),"동의 근거 없음: 전화·방문만",IF($H623="INQUIRY",IF(N($N623)=0,"견적 요청일을 못 찾음: 관련 ID에 견적 ID(Q-…)를 넣었는지 확인",IF('설정 Settings'!$C$15&gt;N($N623),"문의 후 6개월 지남: 다른 동의 근거 필요","OK: 이름·주소·연락처·수신거부 문구 넣기")),IF($H623="REFERRAL","소개 후 첫 메시지만 OK: 소개자 이름 + 이름·주소·연락처·수신거부 문구. 두 번째부터는 다른 동의 근거 필요",IF(AND($H623="REPLY",$D623&lt;&gt;"QUOTE",$D623&lt;&gt;"CALLBACK"),"문의에 대한 답장이 아님: EXPRESS 또는 INQUIRY 동의 필요","OK: 이름·주소·연락처·수신거부 문구 넣기")))),"")))</f>
      </c>
      <c r="N623" s="40">
        <f>IF($H623="INQUIRY",IFERROR(EDATE(INDEX('견적 Quotes'!$B$3:$B$1002,MATCH($C623,'견적 Quotes'!$A$3:$A$1002,0)),'설정 Settings'!$C$20),""),"")</f>
      </c>
    </row>
    <row r="624" spans="12:14" x14ac:dyDescent="0.25">
      <c r="L624" s="42">
        <f>IF($A624="","",IF($G624="Y","완료 DONE",IF($F624="","날짜 없음",IF($F624&lt;'설정 Settings'!$C$15,"지남 OVERDUE",IF($F624='설정 Settings'!$C$15,"오늘 TODAY","예정 OPEN")))))</f>
      </c>
      <c r="M624" s="42">
        <f>IF($A624="","",IF($I624="Y","수신거부: 문자·이메일 보내지 않기",IF(OR($E624="SMS",$E624="EMAIL"),IF(OR($H624="",$H624="NONE"),"동의 근거 없음: 전화·방문만",IF($H624="INQUIRY",IF(N($N624)=0,"견적 요청일을 못 찾음: 관련 ID에 견적 ID(Q-…)를 넣었는지 확인",IF('설정 Settings'!$C$15&gt;N($N624),"문의 후 6개월 지남: 다른 동의 근거 필요","OK: 이름·주소·연락처·수신거부 문구 넣기")),IF($H624="REFERRAL","소개 후 첫 메시지만 OK: 소개자 이름 + 이름·주소·연락처·수신거부 문구. 두 번째부터는 다른 동의 근거 필요",IF(AND($H624="REPLY",$D624&lt;&gt;"QUOTE",$D624&lt;&gt;"CALLBACK"),"문의에 대한 답장이 아님: EXPRESS 또는 INQUIRY 동의 필요","OK: 이름·주소·연락처·수신거부 문구 넣기")))),"")))</f>
      </c>
      <c r="N624" s="40">
        <f>IF($H624="INQUIRY",IFERROR(EDATE(INDEX('견적 Quotes'!$B$3:$B$1002,MATCH($C624,'견적 Quotes'!$A$3:$A$1002,0)),'설정 Settings'!$C$20),""),"")</f>
      </c>
    </row>
    <row r="625" spans="12:14" x14ac:dyDescent="0.25">
      <c r="L625" s="42">
        <f>IF($A625="","",IF($G625="Y","완료 DONE",IF($F625="","날짜 없음",IF($F625&lt;'설정 Settings'!$C$15,"지남 OVERDUE",IF($F625='설정 Settings'!$C$15,"오늘 TODAY","예정 OPEN")))))</f>
      </c>
      <c r="M625" s="42">
        <f>IF($A625="","",IF($I625="Y","수신거부: 문자·이메일 보내지 않기",IF(OR($E625="SMS",$E625="EMAIL"),IF(OR($H625="",$H625="NONE"),"동의 근거 없음: 전화·방문만",IF($H625="INQUIRY",IF(N($N625)=0,"견적 요청일을 못 찾음: 관련 ID에 견적 ID(Q-…)를 넣었는지 확인",IF('설정 Settings'!$C$15&gt;N($N625),"문의 후 6개월 지남: 다른 동의 근거 필요","OK: 이름·주소·연락처·수신거부 문구 넣기")),IF($H625="REFERRAL","소개 후 첫 메시지만 OK: 소개자 이름 + 이름·주소·연락처·수신거부 문구. 두 번째부터는 다른 동의 근거 필요",IF(AND($H625="REPLY",$D625&lt;&gt;"QUOTE",$D625&lt;&gt;"CALLBACK"),"문의에 대한 답장이 아님: EXPRESS 또는 INQUIRY 동의 필요","OK: 이름·주소·연락처·수신거부 문구 넣기")))),"")))</f>
      </c>
      <c r="N625" s="40">
        <f>IF($H625="INQUIRY",IFERROR(EDATE(INDEX('견적 Quotes'!$B$3:$B$1002,MATCH($C625,'견적 Quotes'!$A$3:$A$1002,0)),'설정 Settings'!$C$20),""),"")</f>
      </c>
    </row>
    <row r="626" spans="12:14" x14ac:dyDescent="0.25">
      <c r="L626" s="42">
        <f>IF($A626="","",IF($G626="Y","완료 DONE",IF($F626="","날짜 없음",IF($F626&lt;'설정 Settings'!$C$15,"지남 OVERDUE",IF($F626='설정 Settings'!$C$15,"오늘 TODAY","예정 OPEN")))))</f>
      </c>
      <c r="M626" s="42">
        <f>IF($A626="","",IF($I626="Y","수신거부: 문자·이메일 보내지 않기",IF(OR($E626="SMS",$E626="EMAIL"),IF(OR($H626="",$H626="NONE"),"동의 근거 없음: 전화·방문만",IF($H626="INQUIRY",IF(N($N626)=0,"견적 요청일을 못 찾음: 관련 ID에 견적 ID(Q-…)를 넣었는지 확인",IF('설정 Settings'!$C$15&gt;N($N626),"문의 후 6개월 지남: 다른 동의 근거 필요","OK: 이름·주소·연락처·수신거부 문구 넣기")),IF($H626="REFERRAL","소개 후 첫 메시지만 OK: 소개자 이름 + 이름·주소·연락처·수신거부 문구. 두 번째부터는 다른 동의 근거 필요",IF(AND($H626="REPLY",$D626&lt;&gt;"QUOTE",$D626&lt;&gt;"CALLBACK"),"문의에 대한 답장이 아님: EXPRESS 또는 INQUIRY 동의 필요","OK: 이름·주소·연락처·수신거부 문구 넣기")))),"")))</f>
      </c>
      <c r="N626" s="40">
        <f>IF($H626="INQUIRY",IFERROR(EDATE(INDEX('견적 Quotes'!$B$3:$B$1002,MATCH($C626,'견적 Quotes'!$A$3:$A$1002,0)),'설정 Settings'!$C$20),""),"")</f>
      </c>
    </row>
    <row r="627" spans="12:14" x14ac:dyDescent="0.25">
      <c r="L627" s="42">
        <f>IF($A627="","",IF($G627="Y","완료 DONE",IF($F627="","날짜 없음",IF($F627&lt;'설정 Settings'!$C$15,"지남 OVERDUE",IF($F627='설정 Settings'!$C$15,"오늘 TODAY","예정 OPEN")))))</f>
      </c>
      <c r="M627" s="42">
        <f>IF($A627="","",IF($I627="Y","수신거부: 문자·이메일 보내지 않기",IF(OR($E627="SMS",$E627="EMAIL"),IF(OR($H627="",$H627="NONE"),"동의 근거 없음: 전화·방문만",IF($H627="INQUIRY",IF(N($N627)=0,"견적 요청일을 못 찾음: 관련 ID에 견적 ID(Q-…)를 넣었는지 확인",IF('설정 Settings'!$C$15&gt;N($N627),"문의 후 6개월 지남: 다른 동의 근거 필요","OK: 이름·주소·연락처·수신거부 문구 넣기")),IF($H627="REFERRAL","소개 후 첫 메시지만 OK: 소개자 이름 + 이름·주소·연락처·수신거부 문구. 두 번째부터는 다른 동의 근거 필요",IF(AND($H627="REPLY",$D627&lt;&gt;"QUOTE",$D627&lt;&gt;"CALLBACK"),"문의에 대한 답장이 아님: EXPRESS 또는 INQUIRY 동의 필요","OK: 이름·주소·연락처·수신거부 문구 넣기")))),"")))</f>
      </c>
      <c r="N627" s="40">
        <f>IF($H627="INQUIRY",IFERROR(EDATE(INDEX('견적 Quotes'!$B$3:$B$1002,MATCH($C627,'견적 Quotes'!$A$3:$A$1002,0)),'설정 Settings'!$C$20),""),"")</f>
      </c>
    </row>
    <row r="628" spans="12:14" x14ac:dyDescent="0.25">
      <c r="L628" s="42">
        <f>IF($A628="","",IF($G628="Y","완료 DONE",IF($F628="","날짜 없음",IF($F628&lt;'설정 Settings'!$C$15,"지남 OVERDUE",IF($F628='설정 Settings'!$C$15,"오늘 TODAY","예정 OPEN")))))</f>
      </c>
      <c r="M628" s="42">
        <f>IF($A628="","",IF($I628="Y","수신거부: 문자·이메일 보내지 않기",IF(OR($E628="SMS",$E628="EMAIL"),IF(OR($H628="",$H628="NONE"),"동의 근거 없음: 전화·방문만",IF($H628="INQUIRY",IF(N($N628)=0,"견적 요청일을 못 찾음: 관련 ID에 견적 ID(Q-…)를 넣었는지 확인",IF('설정 Settings'!$C$15&gt;N($N628),"문의 후 6개월 지남: 다른 동의 근거 필요","OK: 이름·주소·연락처·수신거부 문구 넣기")),IF($H628="REFERRAL","소개 후 첫 메시지만 OK: 소개자 이름 + 이름·주소·연락처·수신거부 문구. 두 번째부터는 다른 동의 근거 필요",IF(AND($H628="REPLY",$D628&lt;&gt;"QUOTE",$D628&lt;&gt;"CALLBACK"),"문의에 대한 답장이 아님: EXPRESS 또는 INQUIRY 동의 필요","OK: 이름·주소·연락처·수신거부 문구 넣기")))),"")))</f>
      </c>
      <c r="N628" s="40">
        <f>IF($H628="INQUIRY",IFERROR(EDATE(INDEX('견적 Quotes'!$B$3:$B$1002,MATCH($C628,'견적 Quotes'!$A$3:$A$1002,0)),'설정 Settings'!$C$20),""),"")</f>
      </c>
    </row>
    <row r="629" spans="12:14" x14ac:dyDescent="0.25">
      <c r="L629" s="42">
        <f>IF($A629="","",IF($G629="Y","완료 DONE",IF($F629="","날짜 없음",IF($F629&lt;'설정 Settings'!$C$15,"지남 OVERDUE",IF($F629='설정 Settings'!$C$15,"오늘 TODAY","예정 OPEN")))))</f>
      </c>
      <c r="M629" s="42">
        <f>IF($A629="","",IF($I629="Y","수신거부: 문자·이메일 보내지 않기",IF(OR($E629="SMS",$E629="EMAIL"),IF(OR($H629="",$H629="NONE"),"동의 근거 없음: 전화·방문만",IF($H629="INQUIRY",IF(N($N629)=0,"견적 요청일을 못 찾음: 관련 ID에 견적 ID(Q-…)를 넣었는지 확인",IF('설정 Settings'!$C$15&gt;N($N629),"문의 후 6개월 지남: 다른 동의 근거 필요","OK: 이름·주소·연락처·수신거부 문구 넣기")),IF($H629="REFERRAL","소개 후 첫 메시지만 OK: 소개자 이름 + 이름·주소·연락처·수신거부 문구. 두 번째부터는 다른 동의 근거 필요",IF(AND($H629="REPLY",$D629&lt;&gt;"QUOTE",$D629&lt;&gt;"CALLBACK"),"문의에 대한 답장이 아님: EXPRESS 또는 INQUIRY 동의 필요","OK: 이름·주소·연락처·수신거부 문구 넣기")))),"")))</f>
      </c>
      <c r="N629" s="40">
        <f>IF($H629="INQUIRY",IFERROR(EDATE(INDEX('견적 Quotes'!$B$3:$B$1002,MATCH($C629,'견적 Quotes'!$A$3:$A$1002,0)),'설정 Settings'!$C$20),""),"")</f>
      </c>
    </row>
    <row r="630" spans="12:14" x14ac:dyDescent="0.25">
      <c r="L630" s="42">
        <f>IF($A630="","",IF($G630="Y","완료 DONE",IF($F630="","날짜 없음",IF($F630&lt;'설정 Settings'!$C$15,"지남 OVERDUE",IF($F630='설정 Settings'!$C$15,"오늘 TODAY","예정 OPEN")))))</f>
      </c>
      <c r="M630" s="42">
        <f>IF($A630="","",IF($I630="Y","수신거부: 문자·이메일 보내지 않기",IF(OR($E630="SMS",$E630="EMAIL"),IF(OR($H630="",$H630="NONE"),"동의 근거 없음: 전화·방문만",IF($H630="INQUIRY",IF(N($N630)=0,"견적 요청일을 못 찾음: 관련 ID에 견적 ID(Q-…)를 넣었는지 확인",IF('설정 Settings'!$C$15&gt;N($N630),"문의 후 6개월 지남: 다른 동의 근거 필요","OK: 이름·주소·연락처·수신거부 문구 넣기")),IF($H630="REFERRAL","소개 후 첫 메시지만 OK: 소개자 이름 + 이름·주소·연락처·수신거부 문구. 두 번째부터는 다른 동의 근거 필요",IF(AND($H630="REPLY",$D630&lt;&gt;"QUOTE",$D630&lt;&gt;"CALLBACK"),"문의에 대한 답장이 아님: EXPRESS 또는 INQUIRY 동의 필요","OK: 이름·주소·연락처·수신거부 문구 넣기")))),"")))</f>
      </c>
      <c r="N630" s="40">
        <f>IF($H630="INQUIRY",IFERROR(EDATE(INDEX('견적 Quotes'!$B$3:$B$1002,MATCH($C630,'견적 Quotes'!$A$3:$A$1002,0)),'설정 Settings'!$C$20),""),"")</f>
      </c>
    </row>
    <row r="631" spans="12:14" x14ac:dyDescent="0.25">
      <c r="L631" s="42">
        <f>IF($A631="","",IF($G631="Y","완료 DONE",IF($F631="","날짜 없음",IF($F631&lt;'설정 Settings'!$C$15,"지남 OVERDUE",IF($F631='설정 Settings'!$C$15,"오늘 TODAY","예정 OPEN")))))</f>
      </c>
      <c r="M631" s="42">
        <f>IF($A631="","",IF($I631="Y","수신거부: 문자·이메일 보내지 않기",IF(OR($E631="SMS",$E631="EMAIL"),IF(OR($H631="",$H631="NONE"),"동의 근거 없음: 전화·방문만",IF($H631="INQUIRY",IF(N($N631)=0,"견적 요청일을 못 찾음: 관련 ID에 견적 ID(Q-…)를 넣었는지 확인",IF('설정 Settings'!$C$15&gt;N($N631),"문의 후 6개월 지남: 다른 동의 근거 필요","OK: 이름·주소·연락처·수신거부 문구 넣기")),IF($H631="REFERRAL","소개 후 첫 메시지만 OK: 소개자 이름 + 이름·주소·연락처·수신거부 문구. 두 번째부터는 다른 동의 근거 필요",IF(AND($H631="REPLY",$D631&lt;&gt;"QUOTE",$D631&lt;&gt;"CALLBACK"),"문의에 대한 답장이 아님: EXPRESS 또는 INQUIRY 동의 필요","OK: 이름·주소·연락처·수신거부 문구 넣기")))),"")))</f>
      </c>
      <c r="N631" s="40">
        <f>IF($H631="INQUIRY",IFERROR(EDATE(INDEX('견적 Quotes'!$B$3:$B$1002,MATCH($C631,'견적 Quotes'!$A$3:$A$1002,0)),'설정 Settings'!$C$20),""),"")</f>
      </c>
    </row>
    <row r="632" spans="12:14" x14ac:dyDescent="0.25">
      <c r="L632" s="42">
        <f>IF($A632="","",IF($G632="Y","완료 DONE",IF($F632="","날짜 없음",IF($F632&lt;'설정 Settings'!$C$15,"지남 OVERDUE",IF($F632='설정 Settings'!$C$15,"오늘 TODAY","예정 OPEN")))))</f>
      </c>
      <c r="M632" s="42">
        <f>IF($A632="","",IF($I632="Y","수신거부: 문자·이메일 보내지 않기",IF(OR($E632="SMS",$E632="EMAIL"),IF(OR($H632="",$H632="NONE"),"동의 근거 없음: 전화·방문만",IF($H632="INQUIRY",IF(N($N632)=0,"견적 요청일을 못 찾음: 관련 ID에 견적 ID(Q-…)를 넣었는지 확인",IF('설정 Settings'!$C$15&gt;N($N632),"문의 후 6개월 지남: 다른 동의 근거 필요","OK: 이름·주소·연락처·수신거부 문구 넣기")),IF($H632="REFERRAL","소개 후 첫 메시지만 OK: 소개자 이름 + 이름·주소·연락처·수신거부 문구. 두 번째부터는 다른 동의 근거 필요",IF(AND($H632="REPLY",$D632&lt;&gt;"QUOTE",$D632&lt;&gt;"CALLBACK"),"문의에 대한 답장이 아님: EXPRESS 또는 INQUIRY 동의 필요","OK: 이름·주소·연락처·수신거부 문구 넣기")))),"")))</f>
      </c>
      <c r="N632" s="40">
        <f>IF($H632="INQUIRY",IFERROR(EDATE(INDEX('견적 Quotes'!$B$3:$B$1002,MATCH($C632,'견적 Quotes'!$A$3:$A$1002,0)),'설정 Settings'!$C$20),""),"")</f>
      </c>
    </row>
    <row r="633" spans="12:14" x14ac:dyDescent="0.25">
      <c r="L633" s="42">
        <f>IF($A633="","",IF($G633="Y","완료 DONE",IF($F633="","날짜 없음",IF($F633&lt;'설정 Settings'!$C$15,"지남 OVERDUE",IF($F633='설정 Settings'!$C$15,"오늘 TODAY","예정 OPEN")))))</f>
      </c>
      <c r="M633" s="42">
        <f>IF($A633="","",IF($I633="Y","수신거부: 문자·이메일 보내지 않기",IF(OR($E633="SMS",$E633="EMAIL"),IF(OR($H633="",$H633="NONE"),"동의 근거 없음: 전화·방문만",IF($H633="INQUIRY",IF(N($N633)=0,"견적 요청일을 못 찾음: 관련 ID에 견적 ID(Q-…)를 넣었는지 확인",IF('설정 Settings'!$C$15&gt;N($N633),"문의 후 6개월 지남: 다른 동의 근거 필요","OK: 이름·주소·연락처·수신거부 문구 넣기")),IF($H633="REFERRAL","소개 후 첫 메시지만 OK: 소개자 이름 + 이름·주소·연락처·수신거부 문구. 두 번째부터는 다른 동의 근거 필요",IF(AND($H633="REPLY",$D633&lt;&gt;"QUOTE",$D633&lt;&gt;"CALLBACK"),"문의에 대한 답장이 아님: EXPRESS 또는 INQUIRY 동의 필요","OK: 이름·주소·연락처·수신거부 문구 넣기")))),"")))</f>
      </c>
      <c r="N633" s="40">
        <f>IF($H633="INQUIRY",IFERROR(EDATE(INDEX('견적 Quotes'!$B$3:$B$1002,MATCH($C633,'견적 Quotes'!$A$3:$A$1002,0)),'설정 Settings'!$C$20),""),"")</f>
      </c>
    </row>
    <row r="634" spans="12:14" x14ac:dyDescent="0.25">
      <c r="L634" s="42">
        <f>IF($A634="","",IF($G634="Y","완료 DONE",IF($F634="","날짜 없음",IF($F634&lt;'설정 Settings'!$C$15,"지남 OVERDUE",IF($F634='설정 Settings'!$C$15,"오늘 TODAY","예정 OPEN")))))</f>
      </c>
      <c r="M634" s="42">
        <f>IF($A634="","",IF($I634="Y","수신거부: 문자·이메일 보내지 않기",IF(OR($E634="SMS",$E634="EMAIL"),IF(OR($H634="",$H634="NONE"),"동의 근거 없음: 전화·방문만",IF($H634="INQUIRY",IF(N($N634)=0,"견적 요청일을 못 찾음: 관련 ID에 견적 ID(Q-…)를 넣었는지 확인",IF('설정 Settings'!$C$15&gt;N($N634),"문의 후 6개월 지남: 다른 동의 근거 필요","OK: 이름·주소·연락처·수신거부 문구 넣기")),IF($H634="REFERRAL","소개 후 첫 메시지만 OK: 소개자 이름 + 이름·주소·연락처·수신거부 문구. 두 번째부터는 다른 동의 근거 필요",IF(AND($H634="REPLY",$D634&lt;&gt;"QUOTE",$D634&lt;&gt;"CALLBACK"),"문의에 대한 답장이 아님: EXPRESS 또는 INQUIRY 동의 필요","OK: 이름·주소·연락처·수신거부 문구 넣기")))),"")))</f>
      </c>
      <c r="N634" s="40">
        <f>IF($H634="INQUIRY",IFERROR(EDATE(INDEX('견적 Quotes'!$B$3:$B$1002,MATCH($C634,'견적 Quotes'!$A$3:$A$1002,0)),'설정 Settings'!$C$20),""),"")</f>
      </c>
    </row>
    <row r="635" spans="12:14" x14ac:dyDescent="0.25">
      <c r="L635" s="42">
        <f>IF($A635="","",IF($G635="Y","완료 DONE",IF($F635="","날짜 없음",IF($F635&lt;'설정 Settings'!$C$15,"지남 OVERDUE",IF($F635='설정 Settings'!$C$15,"오늘 TODAY","예정 OPEN")))))</f>
      </c>
      <c r="M635" s="42">
        <f>IF($A635="","",IF($I635="Y","수신거부: 문자·이메일 보내지 않기",IF(OR($E635="SMS",$E635="EMAIL"),IF(OR($H635="",$H635="NONE"),"동의 근거 없음: 전화·방문만",IF($H635="INQUIRY",IF(N($N635)=0,"견적 요청일을 못 찾음: 관련 ID에 견적 ID(Q-…)를 넣었는지 확인",IF('설정 Settings'!$C$15&gt;N($N635),"문의 후 6개월 지남: 다른 동의 근거 필요","OK: 이름·주소·연락처·수신거부 문구 넣기")),IF($H635="REFERRAL","소개 후 첫 메시지만 OK: 소개자 이름 + 이름·주소·연락처·수신거부 문구. 두 번째부터는 다른 동의 근거 필요",IF(AND($H635="REPLY",$D635&lt;&gt;"QUOTE",$D635&lt;&gt;"CALLBACK"),"문의에 대한 답장이 아님: EXPRESS 또는 INQUIRY 동의 필요","OK: 이름·주소·연락처·수신거부 문구 넣기")))),"")))</f>
      </c>
      <c r="N635" s="40">
        <f>IF($H635="INQUIRY",IFERROR(EDATE(INDEX('견적 Quotes'!$B$3:$B$1002,MATCH($C635,'견적 Quotes'!$A$3:$A$1002,0)),'설정 Settings'!$C$20),""),"")</f>
      </c>
    </row>
    <row r="636" spans="12:14" x14ac:dyDescent="0.25">
      <c r="L636" s="42">
        <f>IF($A636="","",IF($G636="Y","완료 DONE",IF($F636="","날짜 없음",IF($F636&lt;'설정 Settings'!$C$15,"지남 OVERDUE",IF($F636='설정 Settings'!$C$15,"오늘 TODAY","예정 OPEN")))))</f>
      </c>
      <c r="M636" s="42">
        <f>IF($A636="","",IF($I636="Y","수신거부: 문자·이메일 보내지 않기",IF(OR($E636="SMS",$E636="EMAIL"),IF(OR($H636="",$H636="NONE"),"동의 근거 없음: 전화·방문만",IF($H636="INQUIRY",IF(N($N636)=0,"견적 요청일을 못 찾음: 관련 ID에 견적 ID(Q-…)를 넣었는지 확인",IF('설정 Settings'!$C$15&gt;N($N636),"문의 후 6개월 지남: 다른 동의 근거 필요","OK: 이름·주소·연락처·수신거부 문구 넣기")),IF($H636="REFERRAL","소개 후 첫 메시지만 OK: 소개자 이름 + 이름·주소·연락처·수신거부 문구. 두 번째부터는 다른 동의 근거 필요",IF(AND($H636="REPLY",$D636&lt;&gt;"QUOTE",$D636&lt;&gt;"CALLBACK"),"문의에 대한 답장이 아님: EXPRESS 또는 INQUIRY 동의 필요","OK: 이름·주소·연락처·수신거부 문구 넣기")))),"")))</f>
      </c>
      <c r="N636" s="40">
        <f>IF($H636="INQUIRY",IFERROR(EDATE(INDEX('견적 Quotes'!$B$3:$B$1002,MATCH($C636,'견적 Quotes'!$A$3:$A$1002,0)),'설정 Settings'!$C$20),""),"")</f>
      </c>
    </row>
    <row r="637" spans="12:14" x14ac:dyDescent="0.25">
      <c r="L637" s="42">
        <f>IF($A637="","",IF($G637="Y","완료 DONE",IF($F637="","날짜 없음",IF($F637&lt;'설정 Settings'!$C$15,"지남 OVERDUE",IF($F637='설정 Settings'!$C$15,"오늘 TODAY","예정 OPEN")))))</f>
      </c>
      <c r="M637" s="42">
        <f>IF($A637="","",IF($I637="Y","수신거부: 문자·이메일 보내지 않기",IF(OR($E637="SMS",$E637="EMAIL"),IF(OR($H637="",$H637="NONE"),"동의 근거 없음: 전화·방문만",IF($H637="INQUIRY",IF(N($N637)=0,"견적 요청일을 못 찾음: 관련 ID에 견적 ID(Q-…)를 넣었는지 확인",IF('설정 Settings'!$C$15&gt;N($N637),"문의 후 6개월 지남: 다른 동의 근거 필요","OK: 이름·주소·연락처·수신거부 문구 넣기")),IF($H637="REFERRAL","소개 후 첫 메시지만 OK: 소개자 이름 + 이름·주소·연락처·수신거부 문구. 두 번째부터는 다른 동의 근거 필요",IF(AND($H637="REPLY",$D637&lt;&gt;"QUOTE",$D637&lt;&gt;"CALLBACK"),"문의에 대한 답장이 아님: EXPRESS 또는 INQUIRY 동의 필요","OK: 이름·주소·연락처·수신거부 문구 넣기")))),"")))</f>
      </c>
      <c r="N637" s="40">
        <f>IF($H637="INQUIRY",IFERROR(EDATE(INDEX('견적 Quotes'!$B$3:$B$1002,MATCH($C637,'견적 Quotes'!$A$3:$A$1002,0)),'설정 Settings'!$C$20),""),"")</f>
      </c>
    </row>
    <row r="638" spans="12:14" x14ac:dyDescent="0.25">
      <c r="L638" s="42">
        <f>IF($A638="","",IF($G638="Y","완료 DONE",IF($F638="","날짜 없음",IF($F638&lt;'설정 Settings'!$C$15,"지남 OVERDUE",IF($F638='설정 Settings'!$C$15,"오늘 TODAY","예정 OPEN")))))</f>
      </c>
      <c r="M638" s="42">
        <f>IF($A638="","",IF($I638="Y","수신거부: 문자·이메일 보내지 않기",IF(OR($E638="SMS",$E638="EMAIL"),IF(OR($H638="",$H638="NONE"),"동의 근거 없음: 전화·방문만",IF($H638="INQUIRY",IF(N($N638)=0,"견적 요청일을 못 찾음: 관련 ID에 견적 ID(Q-…)를 넣었는지 확인",IF('설정 Settings'!$C$15&gt;N($N638),"문의 후 6개월 지남: 다른 동의 근거 필요","OK: 이름·주소·연락처·수신거부 문구 넣기")),IF($H638="REFERRAL","소개 후 첫 메시지만 OK: 소개자 이름 + 이름·주소·연락처·수신거부 문구. 두 번째부터는 다른 동의 근거 필요",IF(AND($H638="REPLY",$D638&lt;&gt;"QUOTE",$D638&lt;&gt;"CALLBACK"),"문의에 대한 답장이 아님: EXPRESS 또는 INQUIRY 동의 필요","OK: 이름·주소·연락처·수신거부 문구 넣기")))),"")))</f>
      </c>
      <c r="N638" s="40">
        <f>IF($H638="INQUIRY",IFERROR(EDATE(INDEX('견적 Quotes'!$B$3:$B$1002,MATCH($C638,'견적 Quotes'!$A$3:$A$1002,0)),'설정 Settings'!$C$20),""),"")</f>
      </c>
    </row>
    <row r="639" spans="12:14" x14ac:dyDescent="0.25">
      <c r="L639" s="42">
        <f>IF($A639="","",IF($G639="Y","완료 DONE",IF($F639="","날짜 없음",IF($F639&lt;'설정 Settings'!$C$15,"지남 OVERDUE",IF($F639='설정 Settings'!$C$15,"오늘 TODAY","예정 OPEN")))))</f>
      </c>
      <c r="M639" s="42">
        <f>IF($A639="","",IF($I639="Y","수신거부: 문자·이메일 보내지 않기",IF(OR($E639="SMS",$E639="EMAIL"),IF(OR($H639="",$H639="NONE"),"동의 근거 없음: 전화·방문만",IF($H639="INQUIRY",IF(N($N639)=0,"견적 요청일을 못 찾음: 관련 ID에 견적 ID(Q-…)를 넣었는지 확인",IF('설정 Settings'!$C$15&gt;N($N639),"문의 후 6개월 지남: 다른 동의 근거 필요","OK: 이름·주소·연락처·수신거부 문구 넣기")),IF($H639="REFERRAL","소개 후 첫 메시지만 OK: 소개자 이름 + 이름·주소·연락처·수신거부 문구. 두 번째부터는 다른 동의 근거 필요",IF(AND($H639="REPLY",$D639&lt;&gt;"QUOTE",$D639&lt;&gt;"CALLBACK"),"문의에 대한 답장이 아님: EXPRESS 또는 INQUIRY 동의 필요","OK: 이름·주소·연락처·수신거부 문구 넣기")))),"")))</f>
      </c>
      <c r="N639" s="40">
        <f>IF($H639="INQUIRY",IFERROR(EDATE(INDEX('견적 Quotes'!$B$3:$B$1002,MATCH($C639,'견적 Quotes'!$A$3:$A$1002,0)),'설정 Settings'!$C$20),""),"")</f>
      </c>
    </row>
    <row r="640" spans="12:14" x14ac:dyDescent="0.25">
      <c r="L640" s="42">
        <f>IF($A640="","",IF($G640="Y","완료 DONE",IF($F640="","날짜 없음",IF($F640&lt;'설정 Settings'!$C$15,"지남 OVERDUE",IF($F640='설정 Settings'!$C$15,"오늘 TODAY","예정 OPEN")))))</f>
      </c>
      <c r="M640" s="42">
        <f>IF($A640="","",IF($I640="Y","수신거부: 문자·이메일 보내지 않기",IF(OR($E640="SMS",$E640="EMAIL"),IF(OR($H640="",$H640="NONE"),"동의 근거 없음: 전화·방문만",IF($H640="INQUIRY",IF(N($N640)=0,"견적 요청일을 못 찾음: 관련 ID에 견적 ID(Q-…)를 넣었는지 확인",IF('설정 Settings'!$C$15&gt;N($N640),"문의 후 6개월 지남: 다른 동의 근거 필요","OK: 이름·주소·연락처·수신거부 문구 넣기")),IF($H640="REFERRAL","소개 후 첫 메시지만 OK: 소개자 이름 + 이름·주소·연락처·수신거부 문구. 두 번째부터는 다른 동의 근거 필요",IF(AND($H640="REPLY",$D640&lt;&gt;"QUOTE",$D640&lt;&gt;"CALLBACK"),"문의에 대한 답장이 아님: EXPRESS 또는 INQUIRY 동의 필요","OK: 이름·주소·연락처·수신거부 문구 넣기")))),"")))</f>
      </c>
      <c r="N640" s="40">
        <f>IF($H640="INQUIRY",IFERROR(EDATE(INDEX('견적 Quotes'!$B$3:$B$1002,MATCH($C640,'견적 Quotes'!$A$3:$A$1002,0)),'설정 Settings'!$C$20),""),"")</f>
      </c>
    </row>
    <row r="641" spans="12:14" x14ac:dyDescent="0.25">
      <c r="L641" s="42">
        <f>IF($A641="","",IF($G641="Y","완료 DONE",IF($F641="","날짜 없음",IF($F641&lt;'설정 Settings'!$C$15,"지남 OVERDUE",IF($F641='설정 Settings'!$C$15,"오늘 TODAY","예정 OPEN")))))</f>
      </c>
      <c r="M641" s="42">
        <f>IF($A641="","",IF($I641="Y","수신거부: 문자·이메일 보내지 않기",IF(OR($E641="SMS",$E641="EMAIL"),IF(OR($H641="",$H641="NONE"),"동의 근거 없음: 전화·방문만",IF($H641="INQUIRY",IF(N($N641)=0,"견적 요청일을 못 찾음: 관련 ID에 견적 ID(Q-…)를 넣었는지 확인",IF('설정 Settings'!$C$15&gt;N($N641),"문의 후 6개월 지남: 다른 동의 근거 필요","OK: 이름·주소·연락처·수신거부 문구 넣기")),IF($H641="REFERRAL","소개 후 첫 메시지만 OK: 소개자 이름 + 이름·주소·연락처·수신거부 문구. 두 번째부터는 다른 동의 근거 필요",IF(AND($H641="REPLY",$D641&lt;&gt;"QUOTE",$D641&lt;&gt;"CALLBACK"),"문의에 대한 답장이 아님: EXPRESS 또는 INQUIRY 동의 필요","OK: 이름·주소·연락처·수신거부 문구 넣기")))),"")))</f>
      </c>
      <c r="N641" s="40">
        <f>IF($H641="INQUIRY",IFERROR(EDATE(INDEX('견적 Quotes'!$B$3:$B$1002,MATCH($C641,'견적 Quotes'!$A$3:$A$1002,0)),'설정 Settings'!$C$20),""),"")</f>
      </c>
    </row>
    <row r="642" spans="12:14" x14ac:dyDescent="0.25">
      <c r="L642" s="42">
        <f>IF($A642="","",IF($G642="Y","완료 DONE",IF($F642="","날짜 없음",IF($F642&lt;'설정 Settings'!$C$15,"지남 OVERDUE",IF($F642='설정 Settings'!$C$15,"오늘 TODAY","예정 OPEN")))))</f>
      </c>
      <c r="M642" s="42">
        <f>IF($A642="","",IF($I642="Y","수신거부: 문자·이메일 보내지 않기",IF(OR($E642="SMS",$E642="EMAIL"),IF(OR($H642="",$H642="NONE"),"동의 근거 없음: 전화·방문만",IF($H642="INQUIRY",IF(N($N642)=0,"견적 요청일을 못 찾음: 관련 ID에 견적 ID(Q-…)를 넣었는지 확인",IF('설정 Settings'!$C$15&gt;N($N642),"문의 후 6개월 지남: 다른 동의 근거 필요","OK: 이름·주소·연락처·수신거부 문구 넣기")),IF($H642="REFERRAL","소개 후 첫 메시지만 OK: 소개자 이름 + 이름·주소·연락처·수신거부 문구. 두 번째부터는 다른 동의 근거 필요",IF(AND($H642="REPLY",$D642&lt;&gt;"QUOTE",$D642&lt;&gt;"CALLBACK"),"문의에 대한 답장이 아님: EXPRESS 또는 INQUIRY 동의 필요","OK: 이름·주소·연락처·수신거부 문구 넣기")))),"")))</f>
      </c>
      <c r="N642" s="40">
        <f>IF($H642="INQUIRY",IFERROR(EDATE(INDEX('견적 Quotes'!$B$3:$B$1002,MATCH($C642,'견적 Quotes'!$A$3:$A$1002,0)),'설정 Settings'!$C$20),""),"")</f>
      </c>
    </row>
    <row r="643" spans="12:14" x14ac:dyDescent="0.25">
      <c r="L643" s="42">
        <f>IF($A643="","",IF($G643="Y","완료 DONE",IF($F643="","날짜 없음",IF($F643&lt;'설정 Settings'!$C$15,"지남 OVERDUE",IF($F643='설정 Settings'!$C$15,"오늘 TODAY","예정 OPEN")))))</f>
      </c>
      <c r="M643" s="42">
        <f>IF($A643="","",IF($I643="Y","수신거부: 문자·이메일 보내지 않기",IF(OR($E643="SMS",$E643="EMAIL"),IF(OR($H643="",$H643="NONE"),"동의 근거 없음: 전화·방문만",IF($H643="INQUIRY",IF(N($N643)=0,"견적 요청일을 못 찾음: 관련 ID에 견적 ID(Q-…)를 넣었는지 확인",IF('설정 Settings'!$C$15&gt;N($N643),"문의 후 6개월 지남: 다른 동의 근거 필요","OK: 이름·주소·연락처·수신거부 문구 넣기")),IF($H643="REFERRAL","소개 후 첫 메시지만 OK: 소개자 이름 + 이름·주소·연락처·수신거부 문구. 두 번째부터는 다른 동의 근거 필요",IF(AND($H643="REPLY",$D643&lt;&gt;"QUOTE",$D643&lt;&gt;"CALLBACK"),"문의에 대한 답장이 아님: EXPRESS 또는 INQUIRY 동의 필요","OK: 이름·주소·연락처·수신거부 문구 넣기")))),"")))</f>
      </c>
      <c r="N643" s="40">
        <f>IF($H643="INQUIRY",IFERROR(EDATE(INDEX('견적 Quotes'!$B$3:$B$1002,MATCH($C643,'견적 Quotes'!$A$3:$A$1002,0)),'설정 Settings'!$C$20),""),"")</f>
      </c>
    </row>
    <row r="644" spans="12:14" x14ac:dyDescent="0.25">
      <c r="L644" s="42">
        <f>IF($A644="","",IF($G644="Y","완료 DONE",IF($F644="","날짜 없음",IF($F644&lt;'설정 Settings'!$C$15,"지남 OVERDUE",IF($F644='설정 Settings'!$C$15,"오늘 TODAY","예정 OPEN")))))</f>
      </c>
      <c r="M644" s="42">
        <f>IF($A644="","",IF($I644="Y","수신거부: 문자·이메일 보내지 않기",IF(OR($E644="SMS",$E644="EMAIL"),IF(OR($H644="",$H644="NONE"),"동의 근거 없음: 전화·방문만",IF($H644="INQUIRY",IF(N($N644)=0,"견적 요청일을 못 찾음: 관련 ID에 견적 ID(Q-…)를 넣었는지 확인",IF('설정 Settings'!$C$15&gt;N($N644),"문의 후 6개월 지남: 다른 동의 근거 필요","OK: 이름·주소·연락처·수신거부 문구 넣기")),IF($H644="REFERRAL","소개 후 첫 메시지만 OK: 소개자 이름 + 이름·주소·연락처·수신거부 문구. 두 번째부터는 다른 동의 근거 필요",IF(AND($H644="REPLY",$D644&lt;&gt;"QUOTE",$D644&lt;&gt;"CALLBACK"),"문의에 대한 답장이 아님: EXPRESS 또는 INQUIRY 동의 필요","OK: 이름·주소·연락처·수신거부 문구 넣기")))),"")))</f>
      </c>
      <c r="N644" s="40">
        <f>IF($H644="INQUIRY",IFERROR(EDATE(INDEX('견적 Quotes'!$B$3:$B$1002,MATCH($C644,'견적 Quotes'!$A$3:$A$1002,0)),'설정 Settings'!$C$20),""),"")</f>
      </c>
    </row>
    <row r="645" spans="12:14" x14ac:dyDescent="0.25">
      <c r="L645" s="42">
        <f>IF($A645="","",IF($G645="Y","완료 DONE",IF($F645="","날짜 없음",IF($F645&lt;'설정 Settings'!$C$15,"지남 OVERDUE",IF($F645='설정 Settings'!$C$15,"오늘 TODAY","예정 OPEN")))))</f>
      </c>
      <c r="M645" s="42">
        <f>IF($A645="","",IF($I645="Y","수신거부: 문자·이메일 보내지 않기",IF(OR($E645="SMS",$E645="EMAIL"),IF(OR($H645="",$H645="NONE"),"동의 근거 없음: 전화·방문만",IF($H645="INQUIRY",IF(N($N645)=0,"견적 요청일을 못 찾음: 관련 ID에 견적 ID(Q-…)를 넣었는지 확인",IF('설정 Settings'!$C$15&gt;N($N645),"문의 후 6개월 지남: 다른 동의 근거 필요","OK: 이름·주소·연락처·수신거부 문구 넣기")),IF($H645="REFERRAL","소개 후 첫 메시지만 OK: 소개자 이름 + 이름·주소·연락처·수신거부 문구. 두 번째부터는 다른 동의 근거 필요",IF(AND($H645="REPLY",$D645&lt;&gt;"QUOTE",$D645&lt;&gt;"CALLBACK"),"문의에 대한 답장이 아님: EXPRESS 또는 INQUIRY 동의 필요","OK: 이름·주소·연락처·수신거부 문구 넣기")))),"")))</f>
      </c>
      <c r="N645" s="40">
        <f>IF($H645="INQUIRY",IFERROR(EDATE(INDEX('견적 Quotes'!$B$3:$B$1002,MATCH($C645,'견적 Quotes'!$A$3:$A$1002,0)),'설정 Settings'!$C$20),""),"")</f>
      </c>
    </row>
    <row r="646" spans="12:14" x14ac:dyDescent="0.25">
      <c r="L646" s="42">
        <f>IF($A646="","",IF($G646="Y","완료 DONE",IF($F646="","날짜 없음",IF($F646&lt;'설정 Settings'!$C$15,"지남 OVERDUE",IF($F646='설정 Settings'!$C$15,"오늘 TODAY","예정 OPEN")))))</f>
      </c>
      <c r="M646" s="42">
        <f>IF($A646="","",IF($I646="Y","수신거부: 문자·이메일 보내지 않기",IF(OR($E646="SMS",$E646="EMAIL"),IF(OR($H646="",$H646="NONE"),"동의 근거 없음: 전화·방문만",IF($H646="INQUIRY",IF(N($N646)=0,"견적 요청일을 못 찾음: 관련 ID에 견적 ID(Q-…)를 넣었는지 확인",IF('설정 Settings'!$C$15&gt;N($N646),"문의 후 6개월 지남: 다른 동의 근거 필요","OK: 이름·주소·연락처·수신거부 문구 넣기")),IF($H646="REFERRAL","소개 후 첫 메시지만 OK: 소개자 이름 + 이름·주소·연락처·수신거부 문구. 두 번째부터는 다른 동의 근거 필요",IF(AND($H646="REPLY",$D646&lt;&gt;"QUOTE",$D646&lt;&gt;"CALLBACK"),"문의에 대한 답장이 아님: EXPRESS 또는 INQUIRY 동의 필요","OK: 이름·주소·연락처·수신거부 문구 넣기")))),"")))</f>
      </c>
      <c r="N646" s="40">
        <f>IF($H646="INQUIRY",IFERROR(EDATE(INDEX('견적 Quotes'!$B$3:$B$1002,MATCH($C646,'견적 Quotes'!$A$3:$A$1002,0)),'설정 Settings'!$C$20),""),"")</f>
      </c>
    </row>
    <row r="647" spans="12:14" x14ac:dyDescent="0.25">
      <c r="L647" s="42">
        <f>IF($A647="","",IF($G647="Y","완료 DONE",IF($F647="","날짜 없음",IF($F647&lt;'설정 Settings'!$C$15,"지남 OVERDUE",IF($F647='설정 Settings'!$C$15,"오늘 TODAY","예정 OPEN")))))</f>
      </c>
      <c r="M647" s="42">
        <f>IF($A647="","",IF($I647="Y","수신거부: 문자·이메일 보내지 않기",IF(OR($E647="SMS",$E647="EMAIL"),IF(OR($H647="",$H647="NONE"),"동의 근거 없음: 전화·방문만",IF($H647="INQUIRY",IF(N($N647)=0,"견적 요청일을 못 찾음: 관련 ID에 견적 ID(Q-…)를 넣었는지 확인",IF('설정 Settings'!$C$15&gt;N($N647),"문의 후 6개월 지남: 다른 동의 근거 필요","OK: 이름·주소·연락처·수신거부 문구 넣기")),IF($H647="REFERRAL","소개 후 첫 메시지만 OK: 소개자 이름 + 이름·주소·연락처·수신거부 문구. 두 번째부터는 다른 동의 근거 필요",IF(AND($H647="REPLY",$D647&lt;&gt;"QUOTE",$D647&lt;&gt;"CALLBACK"),"문의에 대한 답장이 아님: EXPRESS 또는 INQUIRY 동의 필요","OK: 이름·주소·연락처·수신거부 문구 넣기")))),"")))</f>
      </c>
      <c r="N647" s="40">
        <f>IF($H647="INQUIRY",IFERROR(EDATE(INDEX('견적 Quotes'!$B$3:$B$1002,MATCH($C647,'견적 Quotes'!$A$3:$A$1002,0)),'설정 Settings'!$C$20),""),"")</f>
      </c>
    </row>
    <row r="648" spans="12:14" x14ac:dyDescent="0.25">
      <c r="L648" s="42">
        <f>IF($A648="","",IF($G648="Y","완료 DONE",IF($F648="","날짜 없음",IF($F648&lt;'설정 Settings'!$C$15,"지남 OVERDUE",IF($F648='설정 Settings'!$C$15,"오늘 TODAY","예정 OPEN")))))</f>
      </c>
      <c r="M648" s="42">
        <f>IF($A648="","",IF($I648="Y","수신거부: 문자·이메일 보내지 않기",IF(OR($E648="SMS",$E648="EMAIL"),IF(OR($H648="",$H648="NONE"),"동의 근거 없음: 전화·방문만",IF($H648="INQUIRY",IF(N($N648)=0,"견적 요청일을 못 찾음: 관련 ID에 견적 ID(Q-…)를 넣었는지 확인",IF('설정 Settings'!$C$15&gt;N($N648),"문의 후 6개월 지남: 다른 동의 근거 필요","OK: 이름·주소·연락처·수신거부 문구 넣기")),IF($H648="REFERRAL","소개 후 첫 메시지만 OK: 소개자 이름 + 이름·주소·연락처·수신거부 문구. 두 번째부터는 다른 동의 근거 필요",IF(AND($H648="REPLY",$D648&lt;&gt;"QUOTE",$D648&lt;&gt;"CALLBACK"),"문의에 대한 답장이 아님: EXPRESS 또는 INQUIRY 동의 필요","OK: 이름·주소·연락처·수신거부 문구 넣기")))),"")))</f>
      </c>
      <c r="N648" s="40">
        <f>IF($H648="INQUIRY",IFERROR(EDATE(INDEX('견적 Quotes'!$B$3:$B$1002,MATCH($C648,'견적 Quotes'!$A$3:$A$1002,0)),'설정 Settings'!$C$20),""),"")</f>
      </c>
    </row>
    <row r="649" spans="12:14" x14ac:dyDescent="0.25">
      <c r="L649" s="42">
        <f>IF($A649="","",IF($G649="Y","완료 DONE",IF($F649="","날짜 없음",IF($F649&lt;'설정 Settings'!$C$15,"지남 OVERDUE",IF($F649='설정 Settings'!$C$15,"오늘 TODAY","예정 OPEN")))))</f>
      </c>
      <c r="M649" s="42">
        <f>IF($A649="","",IF($I649="Y","수신거부: 문자·이메일 보내지 않기",IF(OR($E649="SMS",$E649="EMAIL"),IF(OR($H649="",$H649="NONE"),"동의 근거 없음: 전화·방문만",IF($H649="INQUIRY",IF(N($N649)=0,"견적 요청일을 못 찾음: 관련 ID에 견적 ID(Q-…)를 넣었는지 확인",IF('설정 Settings'!$C$15&gt;N($N649),"문의 후 6개월 지남: 다른 동의 근거 필요","OK: 이름·주소·연락처·수신거부 문구 넣기")),IF($H649="REFERRAL","소개 후 첫 메시지만 OK: 소개자 이름 + 이름·주소·연락처·수신거부 문구. 두 번째부터는 다른 동의 근거 필요",IF(AND($H649="REPLY",$D649&lt;&gt;"QUOTE",$D649&lt;&gt;"CALLBACK"),"문의에 대한 답장이 아님: EXPRESS 또는 INQUIRY 동의 필요","OK: 이름·주소·연락처·수신거부 문구 넣기")))),"")))</f>
      </c>
      <c r="N649" s="40">
        <f>IF($H649="INQUIRY",IFERROR(EDATE(INDEX('견적 Quotes'!$B$3:$B$1002,MATCH($C649,'견적 Quotes'!$A$3:$A$1002,0)),'설정 Settings'!$C$20),""),"")</f>
      </c>
    </row>
    <row r="650" spans="12:14" x14ac:dyDescent="0.25">
      <c r="L650" s="42">
        <f>IF($A650="","",IF($G650="Y","완료 DONE",IF($F650="","날짜 없음",IF($F650&lt;'설정 Settings'!$C$15,"지남 OVERDUE",IF($F650='설정 Settings'!$C$15,"오늘 TODAY","예정 OPEN")))))</f>
      </c>
      <c r="M650" s="42">
        <f>IF($A650="","",IF($I650="Y","수신거부: 문자·이메일 보내지 않기",IF(OR($E650="SMS",$E650="EMAIL"),IF(OR($H650="",$H650="NONE"),"동의 근거 없음: 전화·방문만",IF($H650="INQUIRY",IF(N($N650)=0,"견적 요청일을 못 찾음: 관련 ID에 견적 ID(Q-…)를 넣었는지 확인",IF('설정 Settings'!$C$15&gt;N($N650),"문의 후 6개월 지남: 다른 동의 근거 필요","OK: 이름·주소·연락처·수신거부 문구 넣기")),IF($H650="REFERRAL","소개 후 첫 메시지만 OK: 소개자 이름 + 이름·주소·연락처·수신거부 문구. 두 번째부터는 다른 동의 근거 필요",IF(AND($H650="REPLY",$D650&lt;&gt;"QUOTE",$D650&lt;&gt;"CALLBACK"),"문의에 대한 답장이 아님: EXPRESS 또는 INQUIRY 동의 필요","OK: 이름·주소·연락처·수신거부 문구 넣기")))),"")))</f>
      </c>
      <c r="N650" s="40">
        <f>IF($H650="INQUIRY",IFERROR(EDATE(INDEX('견적 Quotes'!$B$3:$B$1002,MATCH($C650,'견적 Quotes'!$A$3:$A$1002,0)),'설정 Settings'!$C$20),""),"")</f>
      </c>
    </row>
    <row r="651" spans="12:14" x14ac:dyDescent="0.25">
      <c r="L651" s="42">
        <f>IF($A651="","",IF($G651="Y","완료 DONE",IF($F651="","날짜 없음",IF($F651&lt;'설정 Settings'!$C$15,"지남 OVERDUE",IF($F651='설정 Settings'!$C$15,"오늘 TODAY","예정 OPEN")))))</f>
      </c>
      <c r="M651" s="42">
        <f>IF($A651="","",IF($I651="Y","수신거부: 문자·이메일 보내지 않기",IF(OR($E651="SMS",$E651="EMAIL"),IF(OR($H651="",$H651="NONE"),"동의 근거 없음: 전화·방문만",IF($H651="INQUIRY",IF(N($N651)=0,"견적 요청일을 못 찾음: 관련 ID에 견적 ID(Q-…)를 넣었는지 확인",IF('설정 Settings'!$C$15&gt;N($N651),"문의 후 6개월 지남: 다른 동의 근거 필요","OK: 이름·주소·연락처·수신거부 문구 넣기")),IF($H651="REFERRAL","소개 후 첫 메시지만 OK: 소개자 이름 + 이름·주소·연락처·수신거부 문구. 두 번째부터는 다른 동의 근거 필요",IF(AND($H651="REPLY",$D651&lt;&gt;"QUOTE",$D651&lt;&gt;"CALLBACK"),"문의에 대한 답장이 아님: EXPRESS 또는 INQUIRY 동의 필요","OK: 이름·주소·연락처·수신거부 문구 넣기")))),"")))</f>
      </c>
      <c r="N651" s="40">
        <f>IF($H651="INQUIRY",IFERROR(EDATE(INDEX('견적 Quotes'!$B$3:$B$1002,MATCH($C651,'견적 Quotes'!$A$3:$A$1002,0)),'설정 Settings'!$C$20),""),"")</f>
      </c>
    </row>
    <row r="652" spans="12:14" x14ac:dyDescent="0.25">
      <c r="L652" s="42">
        <f>IF($A652="","",IF($G652="Y","완료 DONE",IF($F652="","날짜 없음",IF($F652&lt;'설정 Settings'!$C$15,"지남 OVERDUE",IF($F652='설정 Settings'!$C$15,"오늘 TODAY","예정 OPEN")))))</f>
      </c>
      <c r="M652" s="42">
        <f>IF($A652="","",IF($I652="Y","수신거부: 문자·이메일 보내지 않기",IF(OR($E652="SMS",$E652="EMAIL"),IF(OR($H652="",$H652="NONE"),"동의 근거 없음: 전화·방문만",IF($H652="INQUIRY",IF(N($N652)=0,"견적 요청일을 못 찾음: 관련 ID에 견적 ID(Q-…)를 넣었는지 확인",IF('설정 Settings'!$C$15&gt;N($N652),"문의 후 6개월 지남: 다른 동의 근거 필요","OK: 이름·주소·연락처·수신거부 문구 넣기")),IF($H652="REFERRAL","소개 후 첫 메시지만 OK: 소개자 이름 + 이름·주소·연락처·수신거부 문구. 두 번째부터는 다른 동의 근거 필요",IF(AND($H652="REPLY",$D652&lt;&gt;"QUOTE",$D652&lt;&gt;"CALLBACK"),"문의에 대한 답장이 아님: EXPRESS 또는 INQUIRY 동의 필요","OK: 이름·주소·연락처·수신거부 문구 넣기")))),"")))</f>
      </c>
      <c r="N652" s="40">
        <f>IF($H652="INQUIRY",IFERROR(EDATE(INDEX('견적 Quotes'!$B$3:$B$1002,MATCH($C652,'견적 Quotes'!$A$3:$A$1002,0)),'설정 Settings'!$C$20),""),"")</f>
      </c>
    </row>
    <row r="653" spans="12:14" x14ac:dyDescent="0.25">
      <c r="L653" s="42">
        <f>IF($A653="","",IF($G653="Y","완료 DONE",IF($F653="","날짜 없음",IF($F653&lt;'설정 Settings'!$C$15,"지남 OVERDUE",IF($F653='설정 Settings'!$C$15,"오늘 TODAY","예정 OPEN")))))</f>
      </c>
      <c r="M653" s="42">
        <f>IF($A653="","",IF($I653="Y","수신거부: 문자·이메일 보내지 않기",IF(OR($E653="SMS",$E653="EMAIL"),IF(OR($H653="",$H653="NONE"),"동의 근거 없음: 전화·방문만",IF($H653="INQUIRY",IF(N($N653)=0,"견적 요청일을 못 찾음: 관련 ID에 견적 ID(Q-…)를 넣었는지 확인",IF('설정 Settings'!$C$15&gt;N($N653),"문의 후 6개월 지남: 다른 동의 근거 필요","OK: 이름·주소·연락처·수신거부 문구 넣기")),IF($H653="REFERRAL","소개 후 첫 메시지만 OK: 소개자 이름 + 이름·주소·연락처·수신거부 문구. 두 번째부터는 다른 동의 근거 필요",IF(AND($H653="REPLY",$D653&lt;&gt;"QUOTE",$D653&lt;&gt;"CALLBACK"),"문의에 대한 답장이 아님: EXPRESS 또는 INQUIRY 동의 필요","OK: 이름·주소·연락처·수신거부 문구 넣기")))),"")))</f>
      </c>
      <c r="N653" s="40">
        <f>IF($H653="INQUIRY",IFERROR(EDATE(INDEX('견적 Quotes'!$B$3:$B$1002,MATCH($C653,'견적 Quotes'!$A$3:$A$1002,0)),'설정 Settings'!$C$20),""),"")</f>
      </c>
    </row>
    <row r="654" spans="12:14" x14ac:dyDescent="0.25">
      <c r="L654" s="42">
        <f>IF($A654="","",IF($G654="Y","완료 DONE",IF($F654="","날짜 없음",IF($F654&lt;'설정 Settings'!$C$15,"지남 OVERDUE",IF($F654='설정 Settings'!$C$15,"오늘 TODAY","예정 OPEN")))))</f>
      </c>
      <c r="M654" s="42">
        <f>IF($A654="","",IF($I654="Y","수신거부: 문자·이메일 보내지 않기",IF(OR($E654="SMS",$E654="EMAIL"),IF(OR($H654="",$H654="NONE"),"동의 근거 없음: 전화·방문만",IF($H654="INQUIRY",IF(N($N654)=0,"견적 요청일을 못 찾음: 관련 ID에 견적 ID(Q-…)를 넣었는지 확인",IF('설정 Settings'!$C$15&gt;N($N654),"문의 후 6개월 지남: 다른 동의 근거 필요","OK: 이름·주소·연락처·수신거부 문구 넣기")),IF($H654="REFERRAL","소개 후 첫 메시지만 OK: 소개자 이름 + 이름·주소·연락처·수신거부 문구. 두 번째부터는 다른 동의 근거 필요",IF(AND($H654="REPLY",$D654&lt;&gt;"QUOTE",$D654&lt;&gt;"CALLBACK"),"문의에 대한 답장이 아님: EXPRESS 또는 INQUIRY 동의 필요","OK: 이름·주소·연락처·수신거부 문구 넣기")))),"")))</f>
      </c>
      <c r="N654" s="40">
        <f>IF($H654="INQUIRY",IFERROR(EDATE(INDEX('견적 Quotes'!$B$3:$B$1002,MATCH($C654,'견적 Quotes'!$A$3:$A$1002,0)),'설정 Settings'!$C$20),""),"")</f>
      </c>
    </row>
    <row r="655" spans="12:14" x14ac:dyDescent="0.25">
      <c r="L655" s="42">
        <f>IF($A655="","",IF($G655="Y","완료 DONE",IF($F655="","날짜 없음",IF($F655&lt;'설정 Settings'!$C$15,"지남 OVERDUE",IF($F655='설정 Settings'!$C$15,"오늘 TODAY","예정 OPEN")))))</f>
      </c>
      <c r="M655" s="42">
        <f>IF($A655="","",IF($I655="Y","수신거부: 문자·이메일 보내지 않기",IF(OR($E655="SMS",$E655="EMAIL"),IF(OR($H655="",$H655="NONE"),"동의 근거 없음: 전화·방문만",IF($H655="INQUIRY",IF(N($N655)=0,"견적 요청일을 못 찾음: 관련 ID에 견적 ID(Q-…)를 넣었는지 확인",IF('설정 Settings'!$C$15&gt;N($N655),"문의 후 6개월 지남: 다른 동의 근거 필요","OK: 이름·주소·연락처·수신거부 문구 넣기")),IF($H655="REFERRAL","소개 후 첫 메시지만 OK: 소개자 이름 + 이름·주소·연락처·수신거부 문구. 두 번째부터는 다른 동의 근거 필요",IF(AND($H655="REPLY",$D655&lt;&gt;"QUOTE",$D655&lt;&gt;"CALLBACK"),"문의에 대한 답장이 아님: EXPRESS 또는 INQUIRY 동의 필요","OK: 이름·주소·연락처·수신거부 문구 넣기")))),"")))</f>
      </c>
      <c r="N655" s="40">
        <f>IF($H655="INQUIRY",IFERROR(EDATE(INDEX('견적 Quotes'!$B$3:$B$1002,MATCH($C655,'견적 Quotes'!$A$3:$A$1002,0)),'설정 Settings'!$C$20),""),"")</f>
      </c>
    </row>
    <row r="656" spans="12:14" x14ac:dyDescent="0.25">
      <c r="L656" s="42">
        <f>IF($A656="","",IF($G656="Y","완료 DONE",IF($F656="","날짜 없음",IF($F656&lt;'설정 Settings'!$C$15,"지남 OVERDUE",IF($F656='설정 Settings'!$C$15,"오늘 TODAY","예정 OPEN")))))</f>
      </c>
      <c r="M656" s="42">
        <f>IF($A656="","",IF($I656="Y","수신거부: 문자·이메일 보내지 않기",IF(OR($E656="SMS",$E656="EMAIL"),IF(OR($H656="",$H656="NONE"),"동의 근거 없음: 전화·방문만",IF($H656="INQUIRY",IF(N($N656)=0,"견적 요청일을 못 찾음: 관련 ID에 견적 ID(Q-…)를 넣었는지 확인",IF('설정 Settings'!$C$15&gt;N($N656),"문의 후 6개월 지남: 다른 동의 근거 필요","OK: 이름·주소·연락처·수신거부 문구 넣기")),IF($H656="REFERRAL","소개 후 첫 메시지만 OK: 소개자 이름 + 이름·주소·연락처·수신거부 문구. 두 번째부터는 다른 동의 근거 필요",IF(AND($H656="REPLY",$D656&lt;&gt;"QUOTE",$D656&lt;&gt;"CALLBACK"),"문의에 대한 답장이 아님: EXPRESS 또는 INQUIRY 동의 필요","OK: 이름·주소·연락처·수신거부 문구 넣기")))),"")))</f>
      </c>
      <c r="N656" s="40">
        <f>IF($H656="INQUIRY",IFERROR(EDATE(INDEX('견적 Quotes'!$B$3:$B$1002,MATCH($C656,'견적 Quotes'!$A$3:$A$1002,0)),'설정 Settings'!$C$20),""),"")</f>
      </c>
    </row>
    <row r="657" spans="12:14" x14ac:dyDescent="0.25">
      <c r="L657" s="42">
        <f>IF($A657="","",IF($G657="Y","완료 DONE",IF($F657="","날짜 없음",IF($F657&lt;'설정 Settings'!$C$15,"지남 OVERDUE",IF($F657='설정 Settings'!$C$15,"오늘 TODAY","예정 OPEN")))))</f>
      </c>
      <c r="M657" s="42">
        <f>IF($A657="","",IF($I657="Y","수신거부: 문자·이메일 보내지 않기",IF(OR($E657="SMS",$E657="EMAIL"),IF(OR($H657="",$H657="NONE"),"동의 근거 없음: 전화·방문만",IF($H657="INQUIRY",IF(N($N657)=0,"견적 요청일을 못 찾음: 관련 ID에 견적 ID(Q-…)를 넣었는지 확인",IF('설정 Settings'!$C$15&gt;N($N657),"문의 후 6개월 지남: 다른 동의 근거 필요","OK: 이름·주소·연락처·수신거부 문구 넣기")),IF($H657="REFERRAL","소개 후 첫 메시지만 OK: 소개자 이름 + 이름·주소·연락처·수신거부 문구. 두 번째부터는 다른 동의 근거 필요",IF(AND($H657="REPLY",$D657&lt;&gt;"QUOTE",$D657&lt;&gt;"CALLBACK"),"문의에 대한 답장이 아님: EXPRESS 또는 INQUIRY 동의 필요","OK: 이름·주소·연락처·수신거부 문구 넣기")))),"")))</f>
      </c>
      <c r="N657" s="40">
        <f>IF($H657="INQUIRY",IFERROR(EDATE(INDEX('견적 Quotes'!$B$3:$B$1002,MATCH($C657,'견적 Quotes'!$A$3:$A$1002,0)),'설정 Settings'!$C$20),""),"")</f>
      </c>
    </row>
    <row r="658" spans="12:14" x14ac:dyDescent="0.25">
      <c r="L658" s="42">
        <f>IF($A658="","",IF($G658="Y","완료 DONE",IF($F658="","날짜 없음",IF($F658&lt;'설정 Settings'!$C$15,"지남 OVERDUE",IF($F658='설정 Settings'!$C$15,"오늘 TODAY","예정 OPEN")))))</f>
      </c>
      <c r="M658" s="42">
        <f>IF($A658="","",IF($I658="Y","수신거부: 문자·이메일 보내지 않기",IF(OR($E658="SMS",$E658="EMAIL"),IF(OR($H658="",$H658="NONE"),"동의 근거 없음: 전화·방문만",IF($H658="INQUIRY",IF(N($N658)=0,"견적 요청일을 못 찾음: 관련 ID에 견적 ID(Q-…)를 넣었는지 확인",IF('설정 Settings'!$C$15&gt;N($N658),"문의 후 6개월 지남: 다른 동의 근거 필요","OK: 이름·주소·연락처·수신거부 문구 넣기")),IF($H658="REFERRAL","소개 후 첫 메시지만 OK: 소개자 이름 + 이름·주소·연락처·수신거부 문구. 두 번째부터는 다른 동의 근거 필요",IF(AND($H658="REPLY",$D658&lt;&gt;"QUOTE",$D658&lt;&gt;"CALLBACK"),"문의에 대한 답장이 아님: EXPRESS 또는 INQUIRY 동의 필요","OK: 이름·주소·연락처·수신거부 문구 넣기")))),"")))</f>
      </c>
      <c r="N658" s="40">
        <f>IF($H658="INQUIRY",IFERROR(EDATE(INDEX('견적 Quotes'!$B$3:$B$1002,MATCH($C658,'견적 Quotes'!$A$3:$A$1002,0)),'설정 Settings'!$C$20),""),"")</f>
      </c>
    </row>
    <row r="659" spans="12:14" x14ac:dyDescent="0.25">
      <c r="L659" s="42">
        <f>IF($A659="","",IF($G659="Y","완료 DONE",IF($F659="","날짜 없음",IF($F659&lt;'설정 Settings'!$C$15,"지남 OVERDUE",IF($F659='설정 Settings'!$C$15,"오늘 TODAY","예정 OPEN")))))</f>
      </c>
      <c r="M659" s="42">
        <f>IF($A659="","",IF($I659="Y","수신거부: 문자·이메일 보내지 않기",IF(OR($E659="SMS",$E659="EMAIL"),IF(OR($H659="",$H659="NONE"),"동의 근거 없음: 전화·방문만",IF($H659="INQUIRY",IF(N($N659)=0,"견적 요청일을 못 찾음: 관련 ID에 견적 ID(Q-…)를 넣었는지 확인",IF('설정 Settings'!$C$15&gt;N($N659),"문의 후 6개월 지남: 다른 동의 근거 필요","OK: 이름·주소·연락처·수신거부 문구 넣기")),IF($H659="REFERRAL","소개 후 첫 메시지만 OK: 소개자 이름 + 이름·주소·연락처·수신거부 문구. 두 번째부터는 다른 동의 근거 필요",IF(AND($H659="REPLY",$D659&lt;&gt;"QUOTE",$D659&lt;&gt;"CALLBACK"),"문의에 대한 답장이 아님: EXPRESS 또는 INQUIRY 동의 필요","OK: 이름·주소·연락처·수신거부 문구 넣기")))),"")))</f>
      </c>
      <c r="N659" s="40">
        <f>IF($H659="INQUIRY",IFERROR(EDATE(INDEX('견적 Quotes'!$B$3:$B$1002,MATCH($C659,'견적 Quotes'!$A$3:$A$1002,0)),'설정 Settings'!$C$20),""),"")</f>
      </c>
    </row>
    <row r="660" spans="12:14" x14ac:dyDescent="0.25">
      <c r="L660" s="42">
        <f>IF($A660="","",IF($G660="Y","완료 DONE",IF($F660="","날짜 없음",IF($F660&lt;'설정 Settings'!$C$15,"지남 OVERDUE",IF($F660='설정 Settings'!$C$15,"오늘 TODAY","예정 OPEN")))))</f>
      </c>
      <c r="M660" s="42">
        <f>IF($A660="","",IF($I660="Y","수신거부: 문자·이메일 보내지 않기",IF(OR($E660="SMS",$E660="EMAIL"),IF(OR($H660="",$H660="NONE"),"동의 근거 없음: 전화·방문만",IF($H660="INQUIRY",IF(N($N660)=0,"견적 요청일을 못 찾음: 관련 ID에 견적 ID(Q-…)를 넣었는지 확인",IF('설정 Settings'!$C$15&gt;N($N660),"문의 후 6개월 지남: 다른 동의 근거 필요","OK: 이름·주소·연락처·수신거부 문구 넣기")),IF($H660="REFERRAL","소개 후 첫 메시지만 OK: 소개자 이름 + 이름·주소·연락처·수신거부 문구. 두 번째부터는 다른 동의 근거 필요",IF(AND($H660="REPLY",$D660&lt;&gt;"QUOTE",$D660&lt;&gt;"CALLBACK"),"문의에 대한 답장이 아님: EXPRESS 또는 INQUIRY 동의 필요","OK: 이름·주소·연락처·수신거부 문구 넣기")))),"")))</f>
      </c>
      <c r="N660" s="40">
        <f>IF($H660="INQUIRY",IFERROR(EDATE(INDEX('견적 Quotes'!$B$3:$B$1002,MATCH($C660,'견적 Quotes'!$A$3:$A$1002,0)),'설정 Settings'!$C$20),""),"")</f>
      </c>
    </row>
    <row r="661" spans="12:14" x14ac:dyDescent="0.25">
      <c r="L661" s="42">
        <f>IF($A661="","",IF($G661="Y","완료 DONE",IF($F661="","날짜 없음",IF($F661&lt;'설정 Settings'!$C$15,"지남 OVERDUE",IF($F661='설정 Settings'!$C$15,"오늘 TODAY","예정 OPEN")))))</f>
      </c>
      <c r="M661" s="42">
        <f>IF($A661="","",IF($I661="Y","수신거부: 문자·이메일 보내지 않기",IF(OR($E661="SMS",$E661="EMAIL"),IF(OR($H661="",$H661="NONE"),"동의 근거 없음: 전화·방문만",IF($H661="INQUIRY",IF(N($N661)=0,"견적 요청일을 못 찾음: 관련 ID에 견적 ID(Q-…)를 넣었는지 확인",IF('설정 Settings'!$C$15&gt;N($N661),"문의 후 6개월 지남: 다른 동의 근거 필요","OK: 이름·주소·연락처·수신거부 문구 넣기")),IF($H661="REFERRAL","소개 후 첫 메시지만 OK: 소개자 이름 + 이름·주소·연락처·수신거부 문구. 두 번째부터는 다른 동의 근거 필요",IF(AND($H661="REPLY",$D661&lt;&gt;"QUOTE",$D661&lt;&gt;"CALLBACK"),"문의에 대한 답장이 아님: EXPRESS 또는 INQUIRY 동의 필요","OK: 이름·주소·연락처·수신거부 문구 넣기")))),"")))</f>
      </c>
      <c r="N661" s="40">
        <f>IF($H661="INQUIRY",IFERROR(EDATE(INDEX('견적 Quotes'!$B$3:$B$1002,MATCH($C661,'견적 Quotes'!$A$3:$A$1002,0)),'설정 Settings'!$C$20),""),"")</f>
      </c>
    </row>
    <row r="662" spans="12:14" x14ac:dyDescent="0.25">
      <c r="L662" s="42">
        <f>IF($A662="","",IF($G662="Y","완료 DONE",IF($F662="","날짜 없음",IF($F662&lt;'설정 Settings'!$C$15,"지남 OVERDUE",IF($F662='설정 Settings'!$C$15,"오늘 TODAY","예정 OPEN")))))</f>
      </c>
      <c r="M662" s="42">
        <f>IF($A662="","",IF($I662="Y","수신거부: 문자·이메일 보내지 않기",IF(OR($E662="SMS",$E662="EMAIL"),IF(OR($H662="",$H662="NONE"),"동의 근거 없음: 전화·방문만",IF($H662="INQUIRY",IF(N($N662)=0,"견적 요청일을 못 찾음: 관련 ID에 견적 ID(Q-…)를 넣었는지 확인",IF('설정 Settings'!$C$15&gt;N($N662),"문의 후 6개월 지남: 다른 동의 근거 필요","OK: 이름·주소·연락처·수신거부 문구 넣기")),IF($H662="REFERRAL","소개 후 첫 메시지만 OK: 소개자 이름 + 이름·주소·연락처·수신거부 문구. 두 번째부터는 다른 동의 근거 필요",IF(AND($H662="REPLY",$D662&lt;&gt;"QUOTE",$D662&lt;&gt;"CALLBACK"),"문의에 대한 답장이 아님: EXPRESS 또는 INQUIRY 동의 필요","OK: 이름·주소·연락처·수신거부 문구 넣기")))),"")))</f>
      </c>
      <c r="N662" s="40">
        <f>IF($H662="INQUIRY",IFERROR(EDATE(INDEX('견적 Quotes'!$B$3:$B$1002,MATCH($C662,'견적 Quotes'!$A$3:$A$1002,0)),'설정 Settings'!$C$20),""),"")</f>
      </c>
    </row>
    <row r="663" spans="12:14" x14ac:dyDescent="0.25">
      <c r="L663" s="42">
        <f>IF($A663="","",IF($G663="Y","완료 DONE",IF($F663="","날짜 없음",IF($F663&lt;'설정 Settings'!$C$15,"지남 OVERDUE",IF($F663='설정 Settings'!$C$15,"오늘 TODAY","예정 OPEN")))))</f>
      </c>
      <c r="M663" s="42">
        <f>IF($A663="","",IF($I663="Y","수신거부: 문자·이메일 보내지 않기",IF(OR($E663="SMS",$E663="EMAIL"),IF(OR($H663="",$H663="NONE"),"동의 근거 없음: 전화·방문만",IF($H663="INQUIRY",IF(N($N663)=0,"견적 요청일을 못 찾음: 관련 ID에 견적 ID(Q-…)를 넣었는지 확인",IF('설정 Settings'!$C$15&gt;N($N663),"문의 후 6개월 지남: 다른 동의 근거 필요","OK: 이름·주소·연락처·수신거부 문구 넣기")),IF($H663="REFERRAL","소개 후 첫 메시지만 OK: 소개자 이름 + 이름·주소·연락처·수신거부 문구. 두 번째부터는 다른 동의 근거 필요",IF(AND($H663="REPLY",$D663&lt;&gt;"QUOTE",$D663&lt;&gt;"CALLBACK"),"문의에 대한 답장이 아님: EXPRESS 또는 INQUIRY 동의 필요","OK: 이름·주소·연락처·수신거부 문구 넣기")))),"")))</f>
      </c>
      <c r="N663" s="40">
        <f>IF($H663="INQUIRY",IFERROR(EDATE(INDEX('견적 Quotes'!$B$3:$B$1002,MATCH($C663,'견적 Quotes'!$A$3:$A$1002,0)),'설정 Settings'!$C$20),""),"")</f>
      </c>
    </row>
    <row r="664" spans="12:14" x14ac:dyDescent="0.25">
      <c r="L664" s="42">
        <f>IF($A664="","",IF($G664="Y","완료 DONE",IF($F664="","날짜 없음",IF($F664&lt;'설정 Settings'!$C$15,"지남 OVERDUE",IF($F664='설정 Settings'!$C$15,"오늘 TODAY","예정 OPEN")))))</f>
      </c>
      <c r="M664" s="42">
        <f>IF($A664="","",IF($I664="Y","수신거부: 문자·이메일 보내지 않기",IF(OR($E664="SMS",$E664="EMAIL"),IF(OR($H664="",$H664="NONE"),"동의 근거 없음: 전화·방문만",IF($H664="INQUIRY",IF(N($N664)=0,"견적 요청일을 못 찾음: 관련 ID에 견적 ID(Q-…)를 넣었는지 확인",IF('설정 Settings'!$C$15&gt;N($N664),"문의 후 6개월 지남: 다른 동의 근거 필요","OK: 이름·주소·연락처·수신거부 문구 넣기")),IF($H664="REFERRAL","소개 후 첫 메시지만 OK: 소개자 이름 + 이름·주소·연락처·수신거부 문구. 두 번째부터는 다른 동의 근거 필요",IF(AND($H664="REPLY",$D664&lt;&gt;"QUOTE",$D664&lt;&gt;"CALLBACK"),"문의에 대한 답장이 아님: EXPRESS 또는 INQUIRY 동의 필요","OK: 이름·주소·연락처·수신거부 문구 넣기")))),"")))</f>
      </c>
      <c r="N664" s="40">
        <f>IF($H664="INQUIRY",IFERROR(EDATE(INDEX('견적 Quotes'!$B$3:$B$1002,MATCH($C664,'견적 Quotes'!$A$3:$A$1002,0)),'설정 Settings'!$C$20),""),"")</f>
      </c>
    </row>
    <row r="665" spans="12:14" x14ac:dyDescent="0.25">
      <c r="L665" s="42">
        <f>IF($A665="","",IF($G665="Y","완료 DONE",IF($F665="","날짜 없음",IF($F665&lt;'설정 Settings'!$C$15,"지남 OVERDUE",IF($F665='설정 Settings'!$C$15,"오늘 TODAY","예정 OPEN")))))</f>
      </c>
      <c r="M665" s="42">
        <f>IF($A665="","",IF($I665="Y","수신거부: 문자·이메일 보내지 않기",IF(OR($E665="SMS",$E665="EMAIL"),IF(OR($H665="",$H665="NONE"),"동의 근거 없음: 전화·방문만",IF($H665="INQUIRY",IF(N($N665)=0,"견적 요청일을 못 찾음: 관련 ID에 견적 ID(Q-…)를 넣었는지 확인",IF('설정 Settings'!$C$15&gt;N($N665),"문의 후 6개월 지남: 다른 동의 근거 필요","OK: 이름·주소·연락처·수신거부 문구 넣기")),IF($H665="REFERRAL","소개 후 첫 메시지만 OK: 소개자 이름 + 이름·주소·연락처·수신거부 문구. 두 번째부터는 다른 동의 근거 필요",IF(AND($H665="REPLY",$D665&lt;&gt;"QUOTE",$D665&lt;&gt;"CALLBACK"),"문의에 대한 답장이 아님: EXPRESS 또는 INQUIRY 동의 필요","OK: 이름·주소·연락처·수신거부 문구 넣기")))),"")))</f>
      </c>
      <c r="N665" s="40">
        <f>IF($H665="INQUIRY",IFERROR(EDATE(INDEX('견적 Quotes'!$B$3:$B$1002,MATCH($C665,'견적 Quotes'!$A$3:$A$1002,0)),'설정 Settings'!$C$20),""),"")</f>
      </c>
    </row>
    <row r="666" spans="12:14" x14ac:dyDescent="0.25">
      <c r="L666" s="42">
        <f>IF($A666="","",IF($G666="Y","완료 DONE",IF($F666="","날짜 없음",IF($F666&lt;'설정 Settings'!$C$15,"지남 OVERDUE",IF($F666='설정 Settings'!$C$15,"오늘 TODAY","예정 OPEN")))))</f>
      </c>
      <c r="M666" s="42">
        <f>IF($A666="","",IF($I666="Y","수신거부: 문자·이메일 보내지 않기",IF(OR($E666="SMS",$E666="EMAIL"),IF(OR($H666="",$H666="NONE"),"동의 근거 없음: 전화·방문만",IF($H666="INQUIRY",IF(N($N666)=0,"견적 요청일을 못 찾음: 관련 ID에 견적 ID(Q-…)를 넣었는지 확인",IF('설정 Settings'!$C$15&gt;N($N666),"문의 후 6개월 지남: 다른 동의 근거 필요","OK: 이름·주소·연락처·수신거부 문구 넣기")),IF($H666="REFERRAL","소개 후 첫 메시지만 OK: 소개자 이름 + 이름·주소·연락처·수신거부 문구. 두 번째부터는 다른 동의 근거 필요",IF(AND($H666="REPLY",$D666&lt;&gt;"QUOTE",$D666&lt;&gt;"CALLBACK"),"문의에 대한 답장이 아님: EXPRESS 또는 INQUIRY 동의 필요","OK: 이름·주소·연락처·수신거부 문구 넣기")))),"")))</f>
      </c>
      <c r="N666" s="40">
        <f>IF($H666="INQUIRY",IFERROR(EDATE(INDEX('견적 Quotes'!$B$3:$B$1002,MATCH($C666,'견적 Quotes'!$A$3:$A$1002,0)),'설정 Settings'!$C$20),""),"")</f>
      </c>
    </row>
    <row r="667" spans="12:14" x14ac:dyDescent="0.25">
      <c r="L667" s="42">
        <f>IF($A667="","",IF($G667="Y","완료 DONE",IF($F667="","날짜 없음",IF($F667&lt;'설정 Settings'!$C$15,"지남 OVERDUE",IF($F667='설정 Settings'!$C$15,"오늘 TODAY","예정 OPEN")))))</f>
      </c>
      <c r="M667" s="42">
        <f>IF($A667="","",IF($I667="Y","수신거부: 문자·이메일 보내지 않기",IF(OR($E667="SMS",$E667="EMAIL"),IF(OR($H667="",$H667="NONE"),"동의 근거 없음: 전화·방문만",IF($H667="INQUIRY",IF(N($N667)=0,"견적 요청일을 못 찾음: 관련 ID에 견적 ID(Q-…)를 넣었는지 확인",IF('설정 Settings'!$C$15&gt;N($N667),"문의 후 6개월 지남: 다른 동의 근거 필요","OK: 이름·주소·연락처·수신거부 문구 넣기")),IF($H667="REFERRAL","소개 후 첫 메시지만 OK: 소개자 이름 + 이름·주소·연락처·수신거부 문구. 두 번째부터는 다른 동의 근거 필요",IF(AND($H667="REPLY",$D667&lt;&gt;"QUOTE",$D667&lt;&gt;"CALLBACK"),"문의에 대한 답장이 아님: EXPRESS 또는 INQUIRY 동의 필요","OK: 이름·주소·연락처·수신거부 문구 넣기")))),"")))</f>
      </c>
      <c r="N667" s="40">
        <f>IF($H667="INQUIRY",IFERROR(EDATE(INDEX('견적 Quotes'!$B$3:$B$1002,MATCH($C667,'견적 Quotes'!$A$3:$A$1002,0)),'설정 Settings'!$C$20),""),"")</f>
      </c>
    </row>
    <row r="668" spans="12:14" x14ac:dyDescent="0.25">
      <c r="L668" s="42">
        <f>IF($A668="","",IF($G668="Y","완료 DONE",IF($F668="","날짜 없음",IF($F668&lt;'설정 Settings'!$C$15,"지남 OVERDUE",IF($F668='설정 Settings'!$C$15,"오늘 TODAY","예정 OPEN")))))</f>
      </c>
      <c r="M668" s="42">
        <f>IF($A668="","",IF($I668="Y","수신거부: 문자·이메일 보내지 않기",IF(OR($E668="SMS",$E668="EMAIL"),IF(OR($H668="",$H668="NONE"),"동의 근거 없음: 전화·방문만",IF($H668="INQUIRY",IF(N($N668)=0,"견적 요청일을 못 찾음: 관련 ID에 견적 ID(Q-…)를 넣었는지 확인",IF('설정 Settings'!$C$15&gt;N($N668),"문의 후 6개월 지남: 다른 동의 근거 필요","OK: 이름·주소·연락처·수신거부 문구 넣기")),IF($H668="REFERRAL","소개 후 첫 메시지만 OK: 소개자 이름 + 이름·주소·연락처·수신거부 문구. 두 번째부터는 다른 동의 근거 필요",IF(AND($H668="REPLY",$D668&lt;&gt;"QUOTE",$D668&lt;&gt;"CALLBACK"),"문의에 대한 답장이 아님: EXPRESS 또는 INQUIRY 동의 필요","OK: 이름·주소·연락처·수신거부 문구 넣기")))),"")))</f>
      </c>
      <c r="N668" s="40">
        <f>IF($H668="INQUIRY",IFERROR(EDATE(INDEX('견적 Quotes'!$B$3:$B$1002,MATCH($C668,'견적 Quotes'!$A$3:$A$1002,0)),'설정 Settings'!$C$20),""),"")</f>
      </c>
    </row>
    <row r="669" spans="12:14" x14ac:dyDescent="0.25">
      <c r="L669" s="42">
        <f>IF($A669="","",IF($G669="Y","완료 DONE",IF($F669="","날짜 없음",IF($F669&lt;'설정 Settings'!$C$15,"지남 OVERDUE",IF($F669='설정 Settings'!$C$15,"오늘 TODAY","예정 OPEN")))))</f>
      </c>
      <c r="M669" s="42">
        <f>IF($A669="","",IF($I669="Y","수신거부: 문자·이메일 보내지 않기",IF(OR($E669="SMS",$E669="EMAIL"),IF(OR($H669="",$H669="NONE"),"동의 근거 없음: 전화·방문만",IF($H669="INQUIRY",IF(N($N669)=0,"견적 요청일을 못 찾음: 관련 ID에 견적 ID(Q-…)를 넣었는지 확인",IF('설정 Settings'!$C$15&gt;N($N669),"문의 후 6개월 지남: 다른 동의 근거 필요","OK: 이름·주소·연락처·수신거부 문구 넣기")),IF($H669="REFERRAL","소개 후 첫 메시지만 OK: 소개자 이름 + 이름·주소·연락처·수신거부 문구. 두 번째부터는 다른 동의 근거 필요",IF(AND($H669="REPLY",$D669&lt;&gt;"QUOTE",$D669&lt;&gt;"CALLBACK"),"문의에 대한 답장이 아님: EXPRESS 또는 INQUIRY 동의 필요","OK: 이름·주소·연락처·수신거부 문구 넣기")))),"")))</f>
      </c>
      <c r="N669" s="40">
        <f>IF($H669="INQUIRY",IFERROR(EDATE(INDEX('견적 Quotes'!$B$3:$B$1002,MATCH($C669,'견적 Quotes'!$A$3:$A$1002,0)),'설정 Settings'!$C$20),""),"")</f>
      </c>
    </row>
    <row r="670" spans="12:14" x14ac:dyDescent="0.25">
      <c r="L670" s="42">
        <f>IF($A670="","",IF($G670="Y","완료 DONE",IF($F670="","날짜 없음",IF($F670&lt;'설정 Settings'!$C$15,"지남 OVERDUE",IF($F670='설정 Settings'!$C$15,"오늘 TODAY","예정 OPEN")))))</f>
      </c>
      <c r="M670" s="42">
        <f>IF($A670="","",IF($I670="Y","수신거부: 문자·이메일 보내지 않기",IF(OR($E670="SMS",$E670="EMAIL"),IF(OR($H670="",$H670="NONE"),"동의 근거 없음: 전화·방문만",IF($H670="INQUIRY",IF(N($N670)=0,"견적 요청일을 못 찾음: 관련 ID에 견적 ID(Q-…)를 넣었는지 확인",IF('설정 Settings'!$C$15&gt;N($N670),"문의 후 6개월 지남: 다른 동의 근거 필요","OK: 이름·주소·연락처·수신거부 문구 넣기")),IF($H670="REFERRAL","소개 후 첫 메시지만 OK: 소개자 이름 + 이름·주소·연락처·수신거부 문구. 두 번째부터는 다른 동의 근거 필요",IF(AND($H670="REPLY",$D670&lt;&gt;"QUOTE",$D670&lt;&gt;"CALLBACK"),"문의에 대한 답장이 아님: EXPRESS 또는 INQUIRY 동의 필요","OK: 이름·주소·연락처·수신거부 문구 넣기")))),"")))</f>
      </c>
      <c r="N670" s="40">
        <f>IF($H670="INQUIRY",IFERROR(EDATE(INDEX('견적 Quotes'!$B$3:$B$1002,MATCH($C670,'견적 Quotes'!$A$3:$A$1002,0)),'설정 Settings'!$C$20),""),"")</f>
      </c>
    </row>
    <row r="671" spans="12:14" x14ac:dyDescent="0.25">
      <c r="L671" s="42">
        <f>IF($A671="","",IF($G671="Y","완료 DONE",IF($F671="","날짜 없음",IF($F671&lt;'설정 Settings'!$C$15,"지남 OVERDUE",IF($F671='설정 Settings'!$C$15,"오늘 TODAY","예정 OPEN")))))</f>
      </c>
      <c r="M671" s="42">
        <f>IF($A671="","",IF($I671="Y","수신거부: 문자·이메일 보내지 않기",IF(OR($E671="SMS",$E671="EMAIL"),IF(OR($H671="",$H671="NONE"),"동의 근거 없음: 전화·방문만",IF($H671="INQUIRY",IF(N($N671)=0,"견적 요청일을 못 찾음: 관련 ID에 견적 ID(Q-…)를 넣었는지 확인",IF('설정 Settings'!$C$15&gt;N($N671),"문의 후 6개월 지남: 다른 동의 근거 필요","OK: 이름·주소·연락처·수신거부 문구 넣기")),IF($H671="REFERRAL","소개 후 첫 메시지만 OK: 소개자 이름 + 이름·주소·연락처·수신거부 문구. 두 번째부터는 다른 동의 근거 필요",IF(AND($H671="REPLY",$D671&lt;&gt;"QUOTE",$D671&lt;&gt;"CALLBACK"),"문의에 대한 답장이 아님: EXPRESS 또는 INQUIRY 동의 필요","OK: 이름·주소·연락처·수신거부 문구 넣기")))),"")))</f>
      </c>
      <c r="N671" s="40">
        <f>IF($H671="INQUIRY",IFERROR(EDATE(INDEX('견적 Quotes'!$B$3:$B$1002,MATCH($C671,'견적 Quotes'!$A$3:$A$1002,0)),'설정 Settings'!$C$20),""),"")</f>
      </c>
    </row>
    <row r="672" spans="12:14" x14ac:dyDescent="0.25">
      <c r="L672" s="42">
        <f>IF($A672="","",IF($G672="Y","완료 DONE",IF($F672="","날짜 없음",IF($F672&lt;'설정 Settings'!$C$15,"지남 OVERDUE",IF($F672='설정 Settings'!$C$15,"오늘 TODAY","예정 OPEN")))))</f>
      </c>
      <c r="M672" s="42">
        <f>IF($A672="","",IF($I672="Y","수신거부: 문자·이메일 보내지 않기",IF(OR($E672="SMS",$E672="EMAIL"),IF(OR($H672="",$H672="NONE"),"동의 근거 없음: 전화·방문만",IF($H672="INQUIRY",IF(N($N672)=0,"견적 요청일을 못 찾음: 관련 ID에 견적 ID(Q-…)를 넣었는지 확인",IF('설정 Settings'!$C$15&gt;N($N672),"문의 후 6개월 지남: 다른 동의 근거 필요","OK: 이름·주소·연락처·수신거부 문구 넣기")),IF($H672="REFERRAL","소개 후 첫 메시지만 OK: 소개자 이름 + 이름·주소·연락처·수신거부 문구. 두 번째부터는 다른 동의 근거 필요",IF(AND($H672="REPLY",$D672&lt;&gt;"QUOTE",$D672&lt;&gt;"CALLBACK"),"문의에 대한 답장이 아님: EXPRESS 또는 INQUIRY 동의 필요","OK: 이름·주소·연락처·수신거부 문구 넣기")))),"")))</f>
      </c>
      <c r="N672" s="40">
        <f>IF($H672="INQUIRY",IFERROR(EDATE(INDEX('견적 Quotes'!$B$3:$B$1002,MATCH($C672,'견적 Quotes'!$A$3:$A$1002,0)),'설정 Settings'!$C$20),""),"")</f>
      </c>
    </row>
    <row r="673" spans="12:14" x14ac:dyDescent="0.25">
      <c r="L673" s="42">
        <f>IF($A673="","",IF($G673="Y","완료 DONE",IF($F673="","날짜 없음",IF($F673&lt;'설정 Settings'!$C$15,"지남 OVERDUE",IF($F673='설정 Settings'!$C$15,"오늘 TODAY","예정 OPEN")))))</f>
      </c>
      <c r="M673" s="42">
        <f>IF($A673="","",IF($I673="Y","수신거부: 문자·이메일 보내지 않기",IF(OR($E673="SMS",$E673="EMAIL"),IF(OR($H673="",$H673="NONE"),"동의 근거 없음: 전화·방문만",IF($H673="INQUIRY",IF(N($N673)=0,"견적 요청일을 못 찾음: 관련 ID에 견적 ID(Q-…)를 넣었는지 확인",IF('설정 Settings'!$C$15&gt;N($N673),"문의 후 6개월 지남: 다른 동의 근거 필요","OK: 이름·주소·연락처·수신거부 문구 넣기")),IF($H673="REFERRAL","소개 후 첫 메시지만 OK: 소개자 이름 + 이름·주소·연락처·수신거부 문구. 두 번째부터는 다른 동의 근거 필요",IF(AND($H673="REPLY",$D673&lt;&gt;"QUOTE",$D673&lt;&gt;"CALLBACK"),"문의에 대한 답장이 아님: EXPRESS 또는 INQUIRY 동의 필요","OK: 이름·주소·연락처·수신거부 문구 넣기")))),"")))</f>
      </c>
      <c r="N673" s="40">
        <f>IF($H673="INQUIRY",IFERROR(EDATE(INDEX('견적 Quotes'!$B$3:$B$1002,MATCH($C673,'견적 Quotes'!$A$3:$A$1002,0)),'설정 Settings'!$C$20),""),"")</f>
      </c>
    </row>
    <row r="674" spans="12:14" x14ac:dyDescent="0.25">
      <c r="L674" s="42">
        <f>IF($A674="","",IF($G674="Y","완료 DONE",IF($F674="","날짜 없음",IF($F674&lt;'설정 Settings'!$C$15,"지남 OVERDUE",IF($F674='설정 Settings'!$C$15,"오늘 TODAY","예정 OPEN")))))</f>
      </c>
      <c r="M674" s="42">
        <f>IF($A674="","",IF($I674="Y","수신거부: 문자·이메일 보내지 않기",IF(OR($E674="SMS",$E674="EMAIL"),IF(OR($H674="",$H674="NONE"),"동의 근거 없음: 전화·방문만",IF($H674="INQUIRY",IF(N($N674)=0,"견적 요청일을 못 찾음: 관련 ID에 견적 ID(Q-…)를 넣었는지 확인",IF('설정 Settings'!$C$15&gt;N($N674),"문의 후 6개월 지남: 다른 동의 근거 필요","OK: 이름·주소·연락처·수신거부 문구 넣기")),IF($H674="REFERRAL","소개 후 첫 메시지만 OK: 소개자 이름 + 이름·주소·연락처·수신거부 문구. 두 번째부터는 다른 동의 근거 필요",IF(AND($H674="REPLY",$D674&lt;&gt;"QUOTE",$D674&lt;&gt;"CALLBACK"),"문의에 대한 답장이 아님: EXPRESS 또는 INQUIRY 동의 필요","OK: 이름·주소·연락처·수신거부 문구 넣기")))),"")))</f>
      </c>
      <c r="N674" s="40">
        <f>IF($H674="INQUIRY",IFERROR(EDATE(INDEX('견적 Quotes'!$B$3:$B$1002,MATCH($C674,'견적 Quotes'!$A$3:$A$1002,0)),'설정 Settings'!$C$20),""),"")</f>
      </c>
    </row>
    <row r="675" spans="12:14" x14ac:dyDescent="0.25">
      <c r="L675" s="42">
        <f>IF($A675="","",IF($G675="Y","완료 DONE",IF($F675="","날짜 없음",IF($F675&lt;'설정 Settings'!$C$15,"지남 OVERDUE",IF($F675='설정 Settings'!$C$15,"오늘 TODAY","예정 OPEN")))))</f>
      </c>
      <c r="M675" s="42">
        <f>IF($A675="","",IF($I675="Y","수신거부: 문자·이메일 보내지 않기",IF(OR($E675="SMS",$E675="EMAIL"),IF(OR($H675="",$H675="NONE"),"동의 근거 없음: 전화·방문만",IF($H675="INQUIRY",IF(N($N675)=0,"견적 요청일을 못 찾음: 관련 ID에 견적 ID(Q-…)를 넣었는지 확인",IF('설정 Settings'!$C$15&gt;N($N675),"문의 후 6개월 지남: 다른 동의 근거 필요","OK: 이름·주소·연락처·수신거부 문구 넣기")),IF($H675="REFERRAL","소개 후 첫 메시지만 OK: 소개자 이름 + 이름·주소·연락처·수신거부 문구. 두 번째부터는 다른 동의 근거 필요",IF(AND($H675="REPLY",$D675&lt;&gt;"QUOTE",$D675&lt;&gt;"CALLBACK"),"문의에 대한 답장이 아님: EXPRESS 또는 INQUIRY 동의 필요","OK: 이름·주소·연락처·수신거부 문구 넣기")))),"")))</f>
      </c>
      <c r="N675" s="40">
        <f>IF($H675="INQUIRY",IFERROR(EDATE(INDEX('견적 Quotes'!$B$3:$B$1002,MATCH($C675,'견적 Quotes'!$A$3:$A$1002,0)),'설정 Settings'!$C$20),""),"")</f>
      </c>
    </row>
    <row r="676" spans="12:14" x14ac:dyDescent="0.25">
      <c r="L676" s="42">
        <f>IF($A676="","",IF($G676="Y","완료 DONE",IF($F676="","날짜 없음",IF($F676&lt;'설정 Settings'!$C$15,"지남 OVERDUE",IF($F676='설정 Settings'!$C$15,"오늘 TODAY","예정 OPEN")))))</f>
      </c>
      <c r="M676" s="42">
        <f>IF($A676="","",IF($I676="Y","수신거부: 문자·이메일 보내지 않기",IF(OR($E676="SMS",$E676="EMAIL"),IF(OR($H676="",$H676="NONE"),"동의 근거 없음: 전화·방문만",IF($H676="INQUIRY",IF(N($N676)=0,"견적 요청일을 못 찾음: 관련 ID에 견적 ID(Q-…)를 넣었는지 확인",IF('설정 Settings'!$C$15&gt;N($N676),"문의 후 6개월 지남: 다른 동의 근거 필요","OK: 이름·주소·연락처·수신거부 문구 넣기")),IF($H676="REFERRAL","소개 후 첫 메시지만 OK: 소개자 이름 + 이름·주소·연락처·수신거부 문구. 두 번째부터는 다른 동의 근거 필요",IF(AND($H676="REPLY",$D676&lt;&gt;"QUOTE",$D676&lt;&gt;"CALLBACK"),"문의에 대한 답장이 아님: EXPRESS 또는 INQUIRY 동의 필요","OK: 이름·주소·연락처·수신거부 문구 넣기")))),"")))</f>
      </c>
      <c r="N676" s="40">
        <f>IF($H676="INQUIRY",IFERROR(EDATE(INDEX('견적 Quotes'!$B$3:$B$1002,MATCH($C676,'견적 Quotes'!$A$3:$A$1002,0)),'설정 Settings'!$C$20),""),"")</f>
      </c>
    </row>
    <row r="677" spans="12:14" x14ac:dyDescent="0.25">
      <c r="L677" s="42">
        <f>IF($A677="","",IF($G677="Y","완료 DONE",IF($F677="","날짜 없음",IF($F677&lt;'설정 Settings'!$C$15,"지남 OVERDUE",IF($F677='설정 Settings'!$C$15,"오늘 TODAY","예정 OPEN")))))</f>
      </c>
      <c r="M677" s="42">
        <f>IF($A677="","",IF($I677="Y","수신거부: 문자·이메일 보내지 않기",IF(OR($E677="SMS",$E677="EMAIL"),IF(OR($H677="",$H677="NONE"),"동의 근거 없음: 전화·방문만",IF($H677="INQUIRY",IF(N($N677)=0,"견적 요청일을 못 찾음: 관련 ID에 견적 ID(Q-…)를 넣었는지 확인",IF('설정 Settings'!$C$15&gt;N($N677),"문의 후 6개월 지남: 다른 동의 근거 필요","OK: 이름·주소·연락처·수신거부 문구 넣기")),IF($H677="REFERRAL","소개 후 첫 메시지만 OK: 소개자 이름 + 이름·주소·연락처·수신거부 문구. 두 번째부터는 다른 동의 근거 필요",IF(AND($H677="REPLY",$D677&lt;&gt;"QUOTE",$D677&lt;&gt;"CALLBACK"),"문의에 대한 답장이 아님: EXPRESS 또는 INQUIRY 동의 필요","OK: 이름·주소·연락처·수신거부 문구 넣기")))),"")))</f>
      </c>
      <c r="N677" s="40">
        <f>IF($H677="INQUIRY",IFERROR(EDATE(INDEX('견적 Quotes'!$B$3:$B$1002,MATCH($C677,'견적 Quotes'!$A$3:$A$1002,0)),'설정 Settings'!$C$20),""),"")</f>
      </c>
    </row>
    <row r="678" spans="12:14" x14ac:dyDescent="0.25">
      <c r="L678" s="42">
        <f>IF($A678="","",IF($G678="Y","완료 DONE",IF($F678="","날짜 없음",IF($F678&lt;'설정 Settings'!$C$15,"지남 OVERDUE",IF($F678='설정 Settings'!$C$15,"오늘 TODAY","예정 OPEN")))))</f>
      </c>
      <c r="M678" s="42">
        <f>IF($A678="","",IF($I678="Y","수신거부: 문자·이메일 보내지 않기",IF(OR($E678="SMS",$E678="EMAIL"),IF(OR($H678="",$H678="NONE"),"동의 근거 없음: 전화·방문만",IF($H678="INQUIRY",IF(N($N678)=0,"견적 요청일을 못 찾음: 관련 ID에 견적 ID(Q-…)를 넣었는지 확인",IF('설정 Settings'!$C$15&gt;N($N678),"문의 후 6개월 지남: 다른 동의 근거 필요","OK: 이름·주소·연락처·수신거부 문구 넣기")),IF($H678="REFERRAL","소개 후 첫 메시지만 OK: 소개자 이름 + 이름·주소·연락처·수신거부 문구. 두 번째부터는 다른 동의 근거 필요",IF(AND($H678="REPLY",$D678&lt;&gt;"QUOTE",$D678&lt;&gt;"CALLBACK"),"문의에 대한 답장이 아님: EXPRESS 또는 INQUIRY 동의 필요","OK: 이름·주소·연락처·수신거부 문구 넣기")))),"")))</f>
      </c>
      <c r="N678" s="40">
        <f>IF($H678="INQUIRY",IFERROR(EDATE(INDEX('견적 Quotes'!$B$3:$B$1002,MATCH($C678,'견적 Quotes'!$A$3:$A$1002,0)),'설정 Settings'!$C$20),""),"")</f>
      </c>
    </row>
    <row r="679" spans="12:14" x14ac:dyDescent="0.25">
      <c r="L679" s="42">
        <f>IF($A679="","",IF($G679="Y","완료 DONE",IF($F679="","날짜 없음",IF($F679&lt;'설정 Settings'!$C$15,"지남 OVERDUE",IF($F679='설정 Settings'!$C$15,"오늘 TODAY","예정 OPEN")))))</f>
      </c>
      <c r="M679" s="42">
        <f>IF($A679="","",IF($I679="Y","수신거부: 문자·이메일 보내지 않기",IF(OR($E679="SMS",$E679="EMAIL"),IF(OR($H679="",$H679="NONE"),"동의 근거 없음: 전화·방문만",IF($H679="INQUIRY",IF(N($N679)=0,"견적 요청일을 못 찾음: 관련 ID에 견적 ID(Q-…)를 넣었는지 확인",IF('설정 Settings'!$C$15&gt;N($N679),"문의 후 6개월 지남: 다른 동의 근거 필요","OK: 이름·주소·연락처·수신거부 문구 넣기")),IF($H679="REFERRAL","소개 후 첫 메시지만 OK: 소개자 이름 + 이름·주소·연락처·수신거부 문구. 두 번째부터는 다른 동의 근거 필요",IF(AND($H679="REPLY",$D679&lt;&gt;"QUOTE",$D679&lt;&gt;"CALLBACK"),"문의에 대한 답장이 아님: EXPRESS 또는 INQUIRY 동의 필요","OK: 이름·주소·연락처·수신거부 문구 넣기")))),"")))</f>
      </c>
      <c r="N679" s="40">
        <f>IF($H679="INQUIRY",IFERROR(EDATE(INDEX('견적 Quotes'!$B$3:$B$1002,MATCH($C679,'견적 Quotes'!$A$3:$A$1002,0)),'설정 Settings'!$C$20),""),"")</f>
      </c>
    </row>
    <row r="680" spans="12:14" x14ac:dyDescent="0.25">
      <c r="L680" s="42">
        <f>IF($A680="","",IF($G680="Y","완료 DONE",IF($F680="","날짜 없음",IF($F680&lt;'설정 Settings'!$C$15,"지남 OVERDUE",IF($F680='설정 Settings'!$C$15,"오늘 TODAY","예정 OPEN")))))</f>
      </c>
      <c r="M680" s="42">
        <f>IF($A680="","",IF($I680="Y","수신거부: 문자·이메일 보내지 않기",IF(OR($E680="SMS",$E680="EMAIL"),IF(OR($H680="",$H680="NONE"),"동의 근거 없음: 전화·방문만",IF($H680="INQUIRY",IF(N($N680)=0,"견적 요청일을 못 찾음: 관련 ID에 견적 ID(Q-…)를 넣었는지 확인",IF('설정 Settings'!$C$15&gt;N($N680),"문의 후 6개월 지남: 다른 동의 근거 필요","OK: 이름·주소·연락처·수신거부 문구 넣기")),IF($H680="REFERRAL","소개 후 첫 메시지만 OK: 소개자 이름 + 이름·주소·연락처·수신거부 문구. 두 번째부터는 다른 동의 근거 필요",IF(AND($H680="REPLY",$D680&lt;&gt;"QUOTE",$D680&lt;&gt;"CALLBACK"),"문의에 대한 답장이 아님: EXPRESS 또는 INQUIRY 동의 필요","OK: 이름·주소·연락처·수신거부 문구 넣기")))),"")))</f>
      </c>
      <c r="N680" s="40">
        <f>IF($H680="INQUIRY",IFERROR(EDATE(INDEX('견적 Quotes'!$B$3:$B$1002,MATCH($C680,'견적 Quotes'!$A$3:$A$1002,0)),'설정 Settings'!$C$20),""),"")</f>
      </c>
    </row>
    <row r="681" spans="12:14" x14ac:dyDescent="0.25">
      <c r="L681" s="42">
        <f>IF($A681="","",IF($G681="Y","완료 DONE",IF($F681="","날짜 없음",IF($F681&lt;'설정 Settings'!$C$15,"지남 OVERDUE",IF($F681='설정 Settings'!$C$15,"오늘 TODAY","예정 OPEN")))))</f>
      </c>
      <c r="M681" s="42">
        <f>IF($A681="","",IF($I681="Y","수신거부: 문자·이메일 보내지 않기",IF(OR($E681="SMS",$E681="EMAIL"),IF(OR($H681="",$H681="NONE"),"동의 근거 없음: 전화·방문만",IF($H681="INQUIRY",IF(N($N681)=0,"견적 요청일을 못 찾음: 관련 ID에 견적 ID(Q-…)를 넣었는지 확인",IF('설정 Settings'!$C$15&gt;N($N681),"문의 후 6개월 지남: 다른 동의 근거 필요","OK: 이름·주소·연락처·수신거부 문구 넣기")),IF($H681="REFERRAL","소개 후 첫 메시지만 OK: 소개자 이름 + 이름·주소·연락처·수신거부 문구. 두 번째부터는 다른 동의 근거 필요",IF(AND($H681="REPLY",$D681&lt;&gt;"QUOTE",$D681&lt;&gt;"CALLBACK"),"문의에 대한 답장이 아님: EXPRESS 또는 INQUIRY 동의 필요","OK: 이름·주소·연락처·수신거부 문구 넣기")))),"")))</f>
      </c>
      <c r="N681" s="40">
        <f>IF($H681="INQUIRY",IFERROR(EDATE(INDEX('견적 Quotes'!$B$3:$B$1002,MATCH($C681,'견적 Quotes'!$A$3:$A$1002,0)),'설정 Settings'!$C$20),""),"")</f>
      </c>
    </row>
    <row r="682" spans="12:14" x14ac:dyDescent="0.25">
      <c r="L682" s="42">
        <f>IF($A682="","",IF($G682="Y","완료 DONE",IF($F682="","날짜 없음",IF($F682&lt;'설정 Settings'!$C$15,"지남 OVERDUE",IF($F682='설정 Settings'!$C$15,"오늘 TODAY","예정 OPEN")))))</f>
      </c>
      <c r="M682" s="42">
        <f>IF($A682="","",IF($I682="Y","수신거부: 문자·이메일 보내지 않기",IF(OR($E682="SMS",$E682="EMAIL"),IF(OR($H682="",$H682="NONE"),"동의 근거 없음: 전화·방문만",IF($H682="INQUIRY",IF(N($N682)=0,"견적 요청일을 못 찾음: 관련 ID에 견적 ID(Q-…)를 넣었는지 확인",IF('설정 Settings'!$C$15&gt;N($N682),"문의 후 6개월 지남: 다른 동의 근거 필요","OK: 이름·주소·연락처·수신거부 문구 넣기")),IF($H682="REFERRAL","소개 후 첫 메시지만 OK: 소개자 이름 + 이름·주소·연락처·수신거부 문구. 두 번째부터는 다른 동의 근거 필요",IF(AND($H682="REPLY",$D682&lt;&gt;"QUOTE",$D682&lt;&gt;"CALLBACK"),"문의에 대한 답장이 아님: EXPRESS 또는 INQUIRY 동의 필요","OK: 이름·주소·연락처·수신거부 문구 넣기")))),"")))</f>
      </c>
      <c r="N682" s="40">
        <f>IF($H682="INQUIRY",IFERROR(EDATE(INDEX('견적 Quotes'!$B$3:$B$1002,MATCH($C682,'견적 Quotes'!$A$3:$A$1002,0)),'설정 Settings'!$C$20),""),"")</f>
      </c>
    </row>
    <row r="683" spans="12:14" x14ac:dyDescent="0.25">
      <c r="L683" s="42">
        <f>IF($A683="","",IF($G683="Y","완료 DONE",IF($F683="","날짜 없음",IF($F683&lt;'설정 Settings'!$C$15,"지남 OVERDUE",IF($F683='설정 Settings'!$C$15,"오늘 TODAY","예정 OPEN")))))</f>
      </c>
      <c r="M683" s="42">
        <f>IF($A683="","",IF($I683="Y","수신거부: 문자·이메일 보내지 않기",IF(OR($E683="SMS",$E683="EMAIL"),IF(OR($H683="",$H683="NONE"),"동의 근거 없음: 전화·방문만",IF($H683="INQUIRY",IF(N($N683)=0,"견적 요청일을 못 찾음: 관련 ID에 견적 ID(Q-…)를 넣었는지 확인",IF('설정 Settings'!$C$15&gt;N($N683),"문의 후 6개월 지남: 다른 동의 근거 필요","OK: 이름·주소·연락처·수신거부 문구 넣기")),IF($H683="REFERRAL","소개 후 첫 메시지만 OK: 소개자 이름 + 이름·주소·연락처·수신거부 문구. 두 번째부터는 다른 동의 근거 필요",IF(AND($H683="REPLY",$D683&lt;&gt;"QUOTE",$D683&lt;&gt;"CALLBACK"),"문의에 대한 답장이 아님: EXPRESS 또는 INQUIRY 동의 필요","OK: 이름·주소·연락처·수신거부 문구 넣기")))),"")))</f>
      </c>
      <c r="N683" s="40">
        <f>IF($H683="INQUIRY",IFERROR(EDATE(INDEX('견적 Quotes'!$B$3:$B$1002,MATCH($C683,'견적 Quotes'!$A$3:$A$1002,0)),'설정 Settings'!$C$20),""),"")</f>
      </c>
    </row>
    <row r="684" spans="12:14" x14ac:dyDescent="0.25">
      <c r="L684" s="42">
        <f>IF($A684="","",IF($G684="Y","완료 DONE",IF($F684="","날짜 없음",IF($F684&lt;'설정 Settings'!$C$15,"지남 OVERDUE",IF($F684='설정 Settings'!$C$15,"오늘 TODAY","예정 OPEN")))))</f>
      </c>
      <c r="M684" s="42">
        <f>IF($A684="","",IF($I684="Y","수신거부: 문자·이메일 보내지 않기",IF(OR($E684="SMS",$E684="EMAIL"),IF(OR($H684="",$H684="NONE"),"동의 근거 없음: 전화·방문만",IF($H684="INQUIRY",IF(N($N684)=0,"견적 요청일을 못 찾음: 관련 ID에 견적 ID(Q-…)를 넣었는지 확인",IF('설정 Settings'!$C$15&gt;N($N684),"문의 후 6개월 지남: 다른 동의 근거 필요","OK: 이름·주소·연락처·수신거부 문구 넣기")),IF($H684="REFERRAL","소개 후 첫 메시지만 OK: 소개자 이름 + 이름·주소·연락처·수신거부 문구. 두 번째부터는 다른 동의 근거 필요",IF(AND($H684="REPLY",$D684&lt;&gt;"QUOTE",$D684&lt;&gt;"CALLBACK"),"문의에 대한 답장이 아님: EXPRESS 또는 INQUIRY 동의 필요","OK: 이름·주소·연락처·수신거부 문구 넣기")))),"")))</f>
      </c>
      <c r="N684" s="40">
        <f>IF($H684="INQUIRY",IFERROR(EDATE(INDEX('견적 Quotes'!$B$3:$B$1002,MATCH($C684,'견적 Quotes'!$A$3:$A$1002,0)),'설정 Settings'!$C$20),""),"")</f>
      </c>
    </row>
    <row r="685" spans="12:14" x14ac:dyDescent="0.25">
      <c r="L685" s="42">
        <f>IF($A685="","",IF($G685="Y","완료 DONE",IF($F685="","날짜 없음",IF($F685&lt;'설정 Settings'!$C$15,"지남 OVERDUE",IF($F685='설정 Settings'!$C$15,"오늘 TODAY","예정 OPEN")))))</f>
      </c>
      <c r="M685" s="42">
        <f>IF($A685="","",IF($I685="Y","수신거부: 문자·이메일 보내지 않기",IF(OR($E685="SMS",$E685="EMAIL"),IF(OR($H685="",$H685="NONE"),"동의 근거 없음: 전화·방문만",IF($H685="INQUIRY",IF(N($N685)=0,"견적 요청일을 못 찾음: 관련 ID에 견적 ID(Q-…)를 넣었는지 확인",IF('설정 Settings'!$C$15&gt;N($N685),"문의 후 6개월 지남: 다른 동의 근거 필요","OK: 이름·주소·연락처·수신거부 문구 넣기")),IF($H685="REFERRAL","소개 후 첫 메시지만 OK: 소개자 이름 + 이름·주소·연락처·수신거부 문구. 두 번째부터는 다른 동의 근거 필요",IF(AND($H685="REPLY",$D685&lt;&gt;"QUOTE",$D685&lt;&gt;"CALLBACK"),"문의에 대한 답장이 아님: EXPRESS 또는 INQUIRY 동의 필요","OK: 이름·주소·연락처·수신거부 문구 넣기")))),"")))</f>
      </c>
      <c r="N685" s="40">
        <f>IF($H685="INQUIRY",IFERROR(EDATE(INDEX('견적 Quotes'!$B$3:$B$1002,MATCH($C685,'견적 Quotes'!$A$3:$A$1002,0)),'설정 Settings'!$C$20),""),"")</f>
      </c>
    </row>
    <row r="686" spans="12:14" x14ac:dyDescent="0.25">
      <c r="L686" s="42">
        <f>IF($A686="","",IF($G686="Y","완료 DONE",IF($F686="","날짜 없음",IF($F686&lt;'설정 Settings'!$C$15,"지남 OVERDUE",IF($F686='설정 Settings'!$C$15,"오늘 TODAY","예정 OPEN")))))</f>
      </c>
      <c r="M686" s="42">
        <f>IF($A686="","",IF($I686="Y","수신거부: 문자·이메일 보내지 않기",IF(OR($E686="SMS",$E686="EMAIL"),IF(OR($H686="",$H686="NONE"),"동의 근거 없음: 전화·방문만",IF($H686="INQUIRY",IF(N($N686)=0,"견적 요청일을 못 찾음: 관련 ID에 견적 ID(Q-…)를 넣었는지 확인",IF('설정 Settings'!$C$15&gt;N($N686),"문의 후 6개월 지남: 다른 동의 근거 필요","OK: 이름·주소·연락처·수신거부 문구 넣기")),IF($H686="REFERRAL","소개 후 첫 메시지만 OK: 소개자 이름 + 이름·주소·연락처·수신거부 문구. 두 번째부터는 다른 동의 근거 필요",IF(AND($H686="REPLY",$D686&lt;&gt;"QUOTE",$D686&lt;&gt;"CALLBACK"),"문의에 대한 답장이 아님: EXPRESS 또는 INQUIRY 동의 필요","OK: 이름·주소·연락처·수신거부 문구 넣기")))),"")))</f>
      </c>
      <c r="N686" s="40">
        <f>IF($H686="INQUIRY",IFERROR(EDATE(INDEX('견적 Quotes'!$B$3:$B$1002,MATCH($C686,'견적 Quotes'!$A$3:$A$1002,0)),'설정 Settings'!$C$20),""),"")</f>
      </c>
    </row>
    <row r="687" spans="12:14" x14ac:dyDescent="0.25">
      <c r="L687" s="42">
        <f>IF($A687="","",IF($G687="Y","완료 DONE",IF($F687="","날짜 없음",IF($F687&lt;'설정 Settings'!$C$15,"지남 OVERDUE",IF($F687='설정 Settings'!$C$15,"오늘 TODAY","예정 OPEN")))))</f>
      </c>
      <c r="M687" s="42">
        <f>IF($A687="","",IF($I687="Y","수신거부: 문자·이메일 보내지 않기",IF(OR($E687="SMS",$E687="EMAIL"),IF(OR($H687="",$H687="NONE"),"동의 근거 없음: 전화·방문만",IF($H687="INQUIRY",IF(N($N687)=0,"견적 요청일을 못 찾음: 관련 ID에 견적 ID(Q-…)를 넣었는지 확인",IF('설정 Settings'!$C$15&gt;N($N687),"문의 후 6개월 지남: 다른 동의 근거 필요","OK: 이름·주소·연락처·수신거부 문구 넣기")),IF($H687="REFERRAL","소개 후 첫 메시지만 OK: 소개자 이름 + 이름·주소·연락처·수신거부 문구. 두 번째부터는 다른 동의 근거 필요",IF(AND($H687="REPLY",$D687&lt;&gt;"QUOTE",$D687&lt;&gt;"CALLBACK"),"문의에 대한 답장이 아님: EXPRESS 또는 INQUIRY 동의 필요","OK: 이름·주소·연락처·수신거부 문구 넣기")))),"")))</f>
      </c>
      <c r="N687" s="40">
        <f>IF($H687="INQUIRY",IFERROR(EDATE(INDEX('견적 Quotes'!$B$3:$B$1002,MATCH($C687,'견적 Quotes'!$A$3:$A$1002,0)),'설정 Settings'!$C$20),""),"")</f>
      </c>
    </row>
    <row r="688" spans="12:14" x14ac:dyDescent="0.25">
      <c r="L688" s="42">
        <f>IF($A688="","",IF($G688="Y","완료 DONE",IF($F688="","날짜 없음",IF($F688&lt;'설정 Settings'!$C$15,"지남 OVERDUE",IF($F688='설정 Settings'!$C$15,"오늘 TODAY","예정 OPEN")))))</f>
      </c>
      <c r="M688" s="42">
        <f>IF($A688="","",IF($I688="Y","수신거부: 문자·이메일 보내지 않기",IF(OR($E688="SMS",$E688="EMAIL"),IF(OR($H688="",$H688="NONE"),"동의 근거 없음: 전화·방문만",IF($H688="INQUIRY",IF(N($N688)=0,"견적 요청일을 못 찾음: 관련 ID에 견적 ID(Q-…)를 넣었는지 확인",IF('설정 Settings'!$C$15&gt;N($N688),"문의 후 6개월 지남: 다른 동의 근거 필요","OK: 이름·주소·연락처·수신거부 문구 넣기")),IF($H688="REFERRAL","소개 후 첫 메시지만 OK: 소개자 이름 + 이름·주소·연락처·수신거부 문구. 두 번째부터는 다른 동의 근거 필요",IF(AND($H688="REPLY",$D688&lt;&gt;"QUOTE",$D688&lt;&gt;"CALLBACK"),"문의에 대한 답장이 아님: EXPRESS 또는 INQUIRY 동의 필요","OK: 이름·주소·연락처·수신거부 문구 넣기")))),"")))</f>
      </c>
      <c r="N688" s="40">
        <f>IF($H688="INQUIRY",IFERROR(EDATE(INDEX('견적 Quotes'!$B$3:$B$1002,MATCH($C688,'견적 Quotes'!$A$3:$A$1002,0)),'설정 Settings'!$C$20),""),"")</f>
      </c>
    </row>
    <row r="689" spans="12:14" x14ac:dyDescent="0.25">
      <c r="L689" s="42">
        <f>IF($A689="","",IF($G689="Y","완료 DONE",IF($F689="","날짜 없음",IF($F689&lt;'설정 Settings'!$C$15,"지남 OVERDUE",IF($F689='설정 Settings'!$C$15,"오늘 TODAY","예정 OPEN")))))</f>
      </c>
      <c r="M689" s="42">
        <f>IF($A689="","",IF($I689="Y","수신거부: 문자·이메일 보내지 않기",IF(OR($E689="SMS",$E689="EMAIL"),IF(OR($H689="",$H689="NONE"),"동의 근거 없음: 전화·방문만",IF($H689="INQUIRY",IF(N($N689)=0,"견적 요청일을 못 찾음: 관련 ID에 견적 ID(Q-…)를 넣었는지 확인",IF('설정 Settings'!$C$15&gt;N($N689),"문의 후 6개월 지남: 다른 동의 근거 필요","OK: 이름·주소·연락처·수신거부 문구 넣기")),IF($H689="REFERRAL","소개 후 첫 메시지만 OK: 소개자 이름 + 이름·주소·연락처·수신거부 문구. 두 번째부터는 다른 동의 근거 필요",IF(AND($H689="REPLY",$D689&lt;&gt;"QUOTE",$D689&lt;&gt;"CALLBACK"),"문의에 대한 답장이 아님: EXPRESS 또는 INQUIRY 동의 필요","OK: 이름·주소·연락처·수신거부 문구 넣기")))),"")))</f>
      </c>
      <c r="N689" s="40">
        <f>IF($H689="INQUIRY",IFERROR(EDATE(INDEX('견적 Quotes'!$B$3:$B$1002,MATCH($C689,'견적 Quotes'!$A$3:$A$1002,0)),'설정 Settings'!$C$20),""),"")</f>
      </c>
    </row>
    <row r="690" spans="12:14" x14ac:dyDescent="0.25">
      <c r="L690" s="42">
        <f>IF($A690="","",IF($G690="Y","완료 DONE",IF($F690="","날짜 없음",IF($F690&lt;'설정 Settings'!$C$15,"지남 OVERDUE",IF($F690='설정 Settings'!$C$15,"오늘 TODAY","예정 OPEN")))))</f>
      </c>
      <c r="M690" s="42">
        <f>IF($A690="","",IF($I690="Y","수신거부: 문자·이메일 보내지 않기",IF(OR($E690="SMS",$E690="EMAIL"),IF(OR($H690="",$H690="NONE"),"동의 근거 없음: 전화·방문만",IF($H690="INQUIRY",IF(N($N690)=0,"견적 요청일을 못 찾음: 관련 ID에 견적 ID(Q-…)를 넣었는지 확인",IF('설정 Settings'!$C$15&gt;N($N690),"문의 후 6개월 지남: 다른 동의 근거 필요","OK: 이름·주소·연락처·수신거부 문구 넣기")),IF($H690="REFERRAL","소개 후 첫 메시지만 OK: 소개자 이름 + 이름·주소·연락처·수신거부 문구. 두 번째부터는 다른 동의 근거 필요",IF(AND($H690="REPLY",$D690&lt;&gt;"QUOTE",$D690&lt;&gt;"CALLBACK"),"문의에 대한 답장이 아님: EXPRESS 또는 INQUIRY 동의 필요","OK: 이름·주소·연락처·수신거부 문구 넣기")))),"")))</f>
      </c>
      <c r="N690" s="40">
        <f>IF($H690="INQUIRY",IFERROR(EDATE(INDEX('견적 Quotes'!$B$3:$B$1002,MATCH($C690,'견적 Quotes'!$A$3:$A$1002,0)),'설정 Settings'!$C$20),""),"")</f>
      </c>
    </row>
    <row r="691" spans="12:14" x14ac:dyDescent="0.25">
      <c r="L691" s="42">
        <f>IF($A691="","",IF($G691="Y","완료 DONE",IF($F691="","날짜 없음",IF($F691&lt;'설정 Settings'!$C$15,"지남 OVERDUE",IF($F691='설정 Settings'!$C$15,"오늘 TODAY","예정 OPEN")))))</f>
      </c>
      <c r="M691" s="42">
        <f>IF($A691="","",IF($I691="Y","수신거부: 문자·이메일 보내지 않기",IF(OR($E691="SMS",$E691="EMAIL"),IF(OR($H691="",$H691="NONE"),"동의 근거 없음: 전화·방문만",IF($H691="INQUIRY",IF(N($N691)=0,"견적 요청일을 못 찾음: 관련 ID에 견적 ID(Q-…)를 넣었는지 확인",IF('설정 Settings'!$C$15&gt;N($N691),"문의 후 6개월 지남: 다른 동의 근거 필요","OK: 이름·주소·연락처·수신거부 문구 넣기")),IF($H691="REFERRAL","소개 후 첫 메시지만 OK: 소개자 이름 + 이름·주소·연락처·수신거부 문구. 두 번째부터는 다른 동의 근거 필요",IF(AND($H691="REPLY",$D691&lt;&gt;"QUOTE",$D691&lt;&gt;"CALLBACK"),"문의에 대한 답장이 아님: EXPRESS 또는 INQUIRY 동의 필요","OK: 이름·주소·연락처·수신거부 문구 넣기")))),"")))</f>
      </c>
      <c r="N691" s="40">
        <f>IF($H691="INQUIRY",IFERROR(EDATE(INDEX('견적 Quotes'!$B$3:$B$1002,MATCH($C691,'견적 Quotes'!$A$3:$A$1002,0)),'설정 Settings'!$C$20),""),"")</f>
      </c>
    </row>
    <row r="692" spans="12:14" x14ac:dyDescent="0.25">
      <c r="L692" s="42">
        <f>IF($A692="","",IF($G692="Y","완료 DONE",IF($F692="","날짜 없음",IF($F692&lt;'설정 Settings'!$C$15,"지남 OVERDUE",IF($F692='설정 Settings'!$C$15,"오늘 TODAY","예정 OPEN")))))</f>
      </c>
      <c r="M692" s="42">
        <f>IF($A692="","",IF($I692="Y","수신거부: 문자·이메일 보내지 않기",IF(OR($E692="SMS",$E692="EMAIL"),IF(OR($H692="",$H692="NONE"),"동의 근거 없음: 전화·방문만",IF($H692="INQUIRY",IF(N($N692)=0,"견적 요청일을 못 찾음: 관련 ID에 견적 ID(Q-…)를 넣었는지 확인",IF('설정 Settings'!$C$15&gt;N($N692),"문의 후 6개월 지남: 다른 동의 근거 필요","OK: 이름·주소·연락처·수신거부 문구 넣기")),IF($H692="REFERRAL","소개 후 첫 메시지만 OK: 소개자 이름 + 이름·주소·연락처·수신거부 문구. 두 번째부터는 다른 동의 근거 필요",IF(AND($H692="REPLY",$D692&lt;&gt;"QUOTE",$D692&lt;&gt;"CALLBACK"),"문의에 대한 답장이 아님: EXPRESS 또는 INQUIRY 동의 필요","OK: 이름·주소·연락처·수신거부 문구 넣기")))),"")))</f>
      </c>
      <c r="N692" s="40">
        <f>IF($H692="INQUIRY",IFERROR(EDATE(INDEX('견적 Quotes'!$B$3:$B$1002,MATCH($C692,'견적 Quotes'!$A$3:$A$1002,0)),'설정 Settings'!$C$20),""),"")</f>
      </c>
    </row>
    <row r="693" spans="12:14" x14ac:dyDescent="0.25">
      <c r="L693" s="42">
        <f>IF($A693="","",IF($G693="Y","완료 DONE",IF($F693="","날짜 없음",IF($F693&lt;'설정 Settings'!$C$15,"지남 OVERDUE",IF($F693='설정 Settings'!$C$15,"오늘 TODAY","예정 OPEN")))))</f>
      </c>
      <c r="M693" s="42">
        <f>IF($A693="","",IF($I693="Y","수신거부: 문자·이메일 보내지 않기",IF(OR($E693="SMS",$E693="EMAIL"),IF(OR($H693="",$H693="NONE"),"동의 근거 없음: 전화·방문만",IF($H693="INQUIRY",IF(N($N693)=0,"견적 요청일을 못 찾음: 관련 ID에 견적 ID(Q-…)를 넣었는지 확인",IF('설정 Settings'!$C$15&gt;N($N693),"문의 후 6개월 지남: 다른 동의 근거 필요","OK: 이름·주소·연락처·수신거부 문구 넣기")),IF($H693="REFERRAL","소개 후 첫 메시지만 OK: 소개자 이름 + 이름·주소·연락처·수신거부 문구. 두 번째부터는 다른 동의 근거 필요",IF(AND($H693="REPLY",$D693&lt;&gt;"QUOTE",$D693&lt;&gt;"CALLBACK"),"문의에 대한 답장이 아님: EXPRESS 또는 INQUIRY 동의 필요","OK: 이름·주소·연락처·수신거부 문구 넣기")))),"")))</f>
      </c>
      <c r="N693" s="40">
        <f>IF($H693="INQUIRY",IFERROR(EDATE(INDEX('견적 Quotes'!$B$3:$B$1002,MATCH($C693,'견적 Quotes'!$A$3:$A$1002,0)),'설정 Settings'!$C$20),""),"")</f>
      </c>
    </row>
    <row r="694" spans="12:14" x14ac:dyDescent="0.25">
      <c r="L694" s="42">
        <f>IF($A694="","",IF($G694="Y","완료 DONE",IF($F694="","날짜 없음",IF($F694&lt;'설정 Settings'!$C$15,"지남 OVERDUE",IF($F694='설정 Settings'!$C$15,"오늘 TODAY","예정 OPEN")))))</f>
      </c>
      <c r="M694" s="42">
        <f>IF($A694="","",IF($I694="Y","수신거부: 문자·이메일 보내지 않기",IF(OR($E694="SMS",$E694="EMAIL"),IF(OR($H694="",$H694="NONE"),"동의 근거 없음: 전화·방문만",IF($H694="INQUIRY",IF(N($N694)=0,"견적 요청일을 못 찾음: 관련 ID에 견적 ID(Q-…)를 넣었는지 확인",IF('설정 Settings'!$C$15&gt;N($N694),"문의 후 6개월 지남: 다른 동의 근거 필요","OK: 이름·주소·연락처·수신거부 문구 넣기")),IF($H694="REFERRAL","소개 후 첫 메시지만 OK: 소개자 이름 + 이름·주소·연락처·수신거부 문구. 두 번째부터는 다른 동의 근거 필요",IF(AND($H694="REPLY",$D694&lt;&gt;"QUOTE",$D694&lt;&gt;"CALLBACK"),"문의에 대한 답장이 아님: EXPRESS 또는 INQUIRY 동의 필요","OK: 이름·주소·연락처·수신거부 문구 넣기")))),"")))</f>
      </c>
      <c r="N694" s="40">
        <f>IF($H694="INQUIRY",IFERROR(EDATE(INDEX('견적 Quotes'!$B$3:$B$1002,MATCH($C694,'견적 Quotes'!$A$3:$A$1002,0)),'설정 Settings'!$C$20),""),"")</f>
      </c>
    </row>
    <row r="695" spans="12:14" x14ac:dyDescent="0.25">
      <c r="L695" s="42">
        <f>IF($A695="","",IF($G695="Y","완료 DONE",IF($F695="","날짜 없음",IF($F695&lt;'설정 Settings'!$C$15,"지남 OVERDUE",IF($F695='설정 Settings'!$C$15,"오늘 TODAY","예정 OPEN")))))</f>
      </c>
      <c r="M695" s="42">
        <f>IF($A695="","",IF($I695="Y","수신거부: 문자·이메일 보내지 않기",IF(OR($E695="SMS",$E695="EMAIL"),IF(OR($H695="",$H695="NONE"),"동의 근거 없음: 전화·방문만",IF($H695="INQUIRY",IF(N($N695)=0,"견적 요청일을 못 찾음: 관련 ID에 견적 ID(Q-…)를 넣었는지 확인",IF('설정 Settings'!$C$15&gt;N($N695),"문의 후 6개월 지남: 다른 동의 근거 필요","OK: 이름·주소·연락처·수신거부 문구 넣기")),IF($H695="REFERRAL","소개 후 첫 메시지만 OK: 소개자 이름 + 이름·주소·연락처·수신거부 문구. 두 번째부터는 다른 동의 근거 필요",IF(AND($H695="REPLY",$D695&lt;&gt;"QUOTE",$D695&lt;&gt;"CALLBACK"),"문의에 대한 답장이 아님: EXPRESS 또는 INQUIRY 동의 필요","OK: 이름·주소·연락처·수신거부 문구 넣기")))),"")))</f>
      </c>
      <c r="N695" s="40">
        <f>IF($H695="INQUIRY",IFERROR(EDATE(INDEX('견적 Quotes'!$B$3:$B$1002,MATCH($C695,'견적 Quotes'!$A$3:$A$1002,0)),'설정 Settings'!$C$20),""),"")</f>
      </c>
    </row>
    <row r="696" spans="12:14" x14ac:dyDescent="0.25">
      <c r="L696" s="42">
        <f>IF($A696="","",IF($G696="Y","완료 DONE",IF($F696="","날짜 없음",IF($F696&lt;'설정 Settings'!$C$15,"지남 OVERDUE",IF($F696='설정 Settings'!$C$15,"오늘 TODAY","예정 OPEN")))))</f>
      </c>
      <c r="M696" s="42">
        <f>IF($A696="","",IF($I696="Y","수신거부: 문자·이메일 보내지 않기",IF(OR($E696="SMS",$E696="EMAIL"),IF(OR($H696="",$H696="NONE"),"동의 근거 없음: 전화·방문만",IF($H696="INQUIRY",IF(N($N696)=0,"견적 요청일을 못 찾음: 관련 ID에 견적 ID(Q-…)를 넣었는지 확인",IF('설정 Settings'!$C$15&gt;N($N696),"문의 후 6개월 지남: 다른 동의 근거 필요","OK: 이름·주소·연락처·수신거부 문구 넣기")),IF($H696="REFERRAL","소개 후 첫 메시지만 OK: 소개자 이름 + 이름·주소·연락처·수신거부 문구. 두 번째부터는 다른 동의 근거 필요",IF(AND($H696="REPLY",$D696&lt;&gt;"QUOTE",$D696&lt;&gt;"CALLBACK"),"문의에 대한 답장이 아님: EXPRESS 또는 INQUIRY 동의 필요","OK: 이름·주소·연락처·수신거부 문구 넣기")))),"")))</f>
      </c>
      <c r="N696" s="40">
        <f>IF($H696="INQUIRY",IFERROR(EDATE(INDEX('견적 Quotes'!$B$3:$B$1002,MATCH($C696,'견적 Quotes'!$A$3:$A$1002,0)),'설정 Settings'!$C$20),""),"")</f>
      </c>
    </row>
    <row r="697" spans="12:14" x14ac:dyDescent="0.25">
      <c r="L697" s="42">
        <f>IF($A697="","",IF($G697="Y","완료 DONE",IF($F697="","날짜 없음",IF($F697&lt;'설정 Settings'!$C$15,"지남 OVERDUE",IF($F697='설정 Settings'!$C$15,"오늘 TODAY","예정 OPEN")))))</f>
      </c>
      <c r="M697" s="42">
        <f>IF($A697="","",IF($I697="Y","수신거부: 문자·이메일 보내지 않기",IF(OR($E697="SMS",$E697="EMAIL"),IF(OR($H697="",$H697="NONE"),"동의 근거 없음: 전화·방문만",IF($H697="INQUIRY",IF(N($N697)=0,"견적 요청일을 못 찾음: 관련 ID에 견적 ID(Q-…)를 넣었는지 확인",IF('설정 Settings'!$C$15&gt;N($N697),"문의 후 6개월 지남: 다른 동의 근거 필요","OK: 이름·주소·연락처·수신거부 문구 넣기")),IF($H697="REFERRAL","소개 후 첫 메시지만 OK: 소개자 이름 + 이름·주소·연락처·수신거부 문구. 두 번째부터는 다른 동의 근거 필요",IF(AND($H697="REPLY",$D697&lt;&gt;"QUOTE",$D697&lt;&gt;"CALLBACK"),"문의에 대한 답장이 아님: EXPRESS 또는 INQUIRY 동의 필요","OK: 이름·주소·연락처·수신거부 문구 넣기")))),"")))</f>
      </c>
      <c r="N697" s="40">
        <f>IF($H697="INQUIRY",IFERROR(EDATE(INDEX('견적 Quotes'!$B$3:$B$1002,MATCH($C697,'견적 Quotes'!$A$3:$A$1002,0)),'설정 Settings'!$C$20),""),"")</f>
      </c>
    </row>
    <row r="698" spans="12:14" x14ac:dyDescent="0.25">
      <c r="L698" s="42">
        <f>IF($A698="","",IF($G698="Y","완료 DONE",IF($F698="","날짜 없음",IF($F698&lt;'설정 Settings'!$C$15,"지남 OVERDUE",IF($F698='설정 Settings'!$C$15,"오늘 TODAY","예정 OPEN")))))</f>
      </c>
      <c r="M698" s="42">
        <f>IF($A698="","",IF($I698="Y","수신거부: 문자·이메일 보내지 않기",IF(OR($E698="SMS",$E698="EMAIL"),IF(OR($H698="",$H698="NONE"),"동의 근거 없음: 전화·방문만",IF($H698="INQUIRY",IF(N($N698)=0,"견적 요청일을 못 찾음: 관련 ID에 견적 ID(Q-…)를 넣었는지 확인",IF('설정 Settings'!$C$15&gt;N($N698),"문의 후 6개월 지남: 다른 동의 근거 필요","OK: 이름·주소·연락처·수신거부 문구 넣기")),IF($H698="REFERRAL","소개 후 첫 메시지만 OK: 소개자 이름 + 이름·주소·연락처·수신거부 문구. 두 번째부터는 다른 동의 근거 필요",IF(AND($H698="REPLY",$D698&lt;&gt;"QUOTE",$D698&lt;&gt;"CALLBACK"),"문의에 대한 답장이 아님: EXPRESS 또는 INQUIRY 동의 필요","OK: 이름·주소·연락처·수신거부 문구 넣기")))),"")))</f>
      </c>
      <c r="N698" s="40">
        <f>IF($H698="INQUIRY",IFERROR(EDATE(INDEX('견적 Quotes'!$B$3:$B$1002,MATCH($C698,'견적 Quotes'!$A$3:$A$1002,0)),'설정 Settings'!$C$20),""),"")</f>
      </c>
    </row>
    <row r="699" spans="12:14" x14ac:dyDescent="0.25">
      <c r="L699" s="42">
        <f>IF($A699="","",IF($G699="Y","완료 DONE",IF($F699="","날짜 없음",IF($F699&lt;'설정 Settings'!$C$15,"지남 OVERDUE",IF($F699='설정 Settings'!$C$15,"오늘 TODAY","예정 OPEN")))))</f>
      </c>
      <c r="M699" s="42">
        <f>IF($A699="","",IF($I699="Y","수신거부: 문자·이메일 보내지 않기",IF(OR($E699="SMS",$E699="EMAIL"),IF(OR($H699="",$H699="NONE"),"동의 근거 없음: 전화·방문만",IF($H699="INQUIRY",IF(N($N699)=0,"견적 요청일을 못 찾음: 관련 ID에 견적 ID(Q-…)를 넣었는지 확인",IF('설정 Settings'!$C$15&gt;N($N699),"문의 후 6개월 지남: 다른 동의 근거 필요","OK: 이름·주소·연락처·수신거부 문구 넣기")),IF($H699="REFERRAL","소개 후 첫 메시지만 OK: 소개자 이름 + 이름·주소·연락처·수신거부 문구. 두 번째부터는 다른 동의 근거 필요",IF(AND($H699="REPLY",$D699&lt;&gt;"QUOTE",$D699&lt;&gt;"CALLBACK"),"문의에 대한 답장이 아님: EXPRESS 또는 INQUIRY 동의 필요","OK: 이름·주소·연락처·수신거부 문구 넣기")))),"")))</f>
      </c>
      <c r="N699" s="40">
        <f>IF($H699="INQUIRY",IFERROR(EDATE(INDEX('견적 Quotes'!$B$3:$B$1002,MATCH($C699,'견적 Quotes'!$A$3:$A$1002,0)),'설정 Settings'!$C$20),""),"")</f>
      </c>
    </row>
    <row r="700" spans="12:14" x14ac:dyDescent="0.25">
      <c r="L700" s="42">
        <f>IF($A700="","",IF($G700="Y","완료 DONE",IF($F700="","날짜 없음",IF($F700&lt;'설정 Settings'!$C$15,"지남 OVERDUE",IF($F700='설정 Settings'!$C$15,"오늘 TODAY","예정 OPEN")))))</f>
      </c>
      <c r="M700" s="42">
        <f>IF($A700="","",IF($I700="Y","수신거부: 문자·이메일 보내지 않기",IF(OR($E700="SMS",$E700="EMAIL"),IF(OR($H700="",$H700="NONE"),"동의 근거 없음: 전화·방문만",IF($H700="INQUIRY",IF(N($N700)=0,"견적 요청일을 못 찾음: 관련 ID에 견적 ID(Q-…)를 넣었는지 확인",IF('설정 Settings'!$C$15&gt;N($N700),"문의 후 6개월 지남: 다른 동의 근거 필요","OK: 이름·주소·연락처·수신거부 문구 넣기")),IF($H700="REFERRAL","소개 후 첫 메시지만 OK: 소개자 이름 + 이름·주소·연락처·수신거부 문구. 두 번째부터는 다른 동의 근거 필요",IF(AND($H700="REPLY",$D700&lt;&gt;"QUOTE",$D700&lt;&gt;"CALLBACK"),"문의에 대한 답장이 아님: EXPRESS 또는 INQUIRY 동의 필요","OK: 이름·주소·연락처·수신거부 문구 넣기")))),"")))</f>
      </c>
      <c r="N700" s="40">
        <f>IF($H700="INQUIRY",IFERROR(EDATE(INDEX('견적 Quotes'!$B$3:$B$1002,MATCH($C700,'견적 Quotes'!$A$3:$A$1002,0)),'설정 Settings'!$C$20),""),"")</f>
      </c>
    </row>
    <row r="701" spans="12:14" x14ac:dyDescent="0.25">
      <c r="L701" s="42">
        <f>IF($A701="","",IF($G701="Y","완료 DONE",IF($F701="","날짜 없음",IF($F701&lt;'설정 Settings'!$C$15,"지남 OVERDUE",IF($F701='설정 Settings'!$C$15,"오늘 TODAY","예정 OPEN")))))</f>
      </c>
      <c r="M701" s="42">
        <f>IF($A701="","",IF($I701="Y","수신거부: 문자·이메일 보내지 않기",IF(OR($E701="SMS",$E701="EMAIL"),IF(OR($H701="",$H701="NONE"),"동의 근거 없음: 전화·방문만",IF($H701="INQUIRY",IF(N($N701)=0,"견적 요청일을 못 찾음: 관련 ID에 견적 ID(Q-…)를 넣었는지 확인",IF('설정 Settings'!$C$15&gt;N($N701),"문의 후 6개월 지남: 다른 동의 근거 필요","OK: 이름·주소·연락처·수신거부 문구 넣기")),IF($H701="REFERRAL","소개 후 첫 메시지만 OK: 소개자 이름 + 이름·주소·연락처·수신거부 문구. 두 번째부터는 다른 동의 근거 필요",IF(AND($H701="REPLY",$D701&lt;&gt;"QUOTE",$D701&lt;&gt;"CALLBACK"),"문의에 대한 답장이 아님: EXPRESS 또는 INQUIRY 동의 필요","OK: 이름·주소·연락처·수신거부 문구 넣기")))),"")))</f>
      </c>
      <c r="N701" s="40">
        <f>IF($H701="INQUIRY",IFERROR(EDATE(INDEX('견적 Quotes'!$B$3:$B$1002,MATCH($C701,'견적 Quotes'!$A$3:$A$1002,0)),'설정 Settings'!$C$20),""),"")</f>
      </c>
    </row>
    <row r="702" spans="12:14" x14ac:dyDescent="0.25">
      <c r="L702" s="42">
        <f>IF($A702="","",IF($G702="Y","완료 DONE",IF($F702="","날짜 없음",IF($F702&lt;'설정 Settings'!$C$15,"지남 OVERDUE",IF($F702='설정 Settings'!$C$15,"오늘 TODAY","예정 OPEN")))))</f>
      </c>
      <c r="M702" s="42">
        <f>IF($A702="","",IF($I702="Y","수신거부: 문자·이메일 보내지 않기",IF(OR($E702="SMS",$E702="EMAIL"),IF(OR($H702="",$H702="NONE"),"동의 근거 없음: 전화·방문만",IF($H702="INQUIRY",IF(N($N702)=0,"견적 요청일을 못 찾음: 관련 ID에 견적 ID(Q-…)를 넣었는지 확인",IF('설정 Settings'!$C$15&gt;N($N702),"문의 후 6개월 지남: 다른 동의 근거 필요","OK: 이름·주소·연락처·수신거부 문구 넣기")),IF($H702="REFERRAL","소개 후 첫 메시지만 OK: 소개자 이름 + 이름·주소·연락처·수신거부 문구. 두 번째부터는 다른 동의 근거 필요",IF(AND($H702="REPLY",$D702&lt;&gt;"QUOTE",$D702&lt;&gt;"CALLBACK"),"문의에 대한 답장이 아님: EXPRESS 또는 INQUIRY 동의 필요","OK: 이름·주소·연락처·수신거부 문구 넣기")))),"")))</f>
      </c>
      <c r="N702" s="40">
        <f>IF($H702="INQUIRY",IFERROR(EDATE(INDEX('견적 Quotes'!$B$3:$B$1002,MATCH($C702,'견적 Quotes'!$A$3:$A$1002,0)),'설정 Settings'!$C$20),""),"")</f>
      </c>
    </row>
    <row r="703" spans="12:14" x14ac:dyDescent="0.25">
      <c r="L703" s="42">
        <f>IF($A703="","",IF($G703="Y","완료 DONE",IF($F703="","날짜 없음",IF($F703&lt;'설정 Settings'!$C$15,"지남 OVERDUE",IF($F703='설정 Settings'!$C$15,"오늘 TODAY","예정 OPEN")))))</f>
      </c>
      <c r="M703" s="42">
        <f>IF($A703="","",IF($I703="Y","수신거부: 문자·이메일 보내지 않기",IF(OR($E703="SMS",$E703="EMAIL"),IF(OR($H703="",$H703="NONE"),"동의 근거 없음: 전화·방문만",IF($H703="INQUIRY",IF(N($N703)=0,"견적 요청일을 못 찾음: 관련 ID에 견적 ID(Q-…)를 넣었는지 확인",IF('설정 Settings'!$C$15&gt;N($N703),"문의 후 6개월 지남: 다른 동의 근거 필요","OK: 이름·주소·연락처·수신거부 문구 넣기")),IF($H703="REFERRAL","소개 후 첫 메시지만 OK: 소개자 이름 + 이름·주소·연락처·수신거부 문구. 두 번째부터는 다른 동의 근거 필요",IF(AND($H703="REPLY",$D703&lt;&gt;"QUOTE",$D703&lt;&gt;"CALLBACK"),"문의에 대한 답장이 아님: EXPRESS 또는 INQUIRY 동의 필요","OK: 이름·주소·연락처·수신거부 문구 넣기")))),"")))</f>
      </c>
      <c r="N703" s="40">
        <f>IF($H703="INQUIRY",IFERROR(EDATE(INDEX('견적 Quotes'!$B$3:$B$1002,MATCH($C703,'견적 Quotes'!$A$3:$A$1002,0)),'설정 Settings'!$C$20),""),"")</f>
      </c>
    </row>
    <row r="704" spans="12:14" x14ac:dyDescent="0.25">
      <c r="L704" s="42">
        <f>IF($A704="","",IF($G704="Y","완료 DONE",IF($F704="","날짜 없음",IF($F704&lt;'설정 Settings'!$C$15,"지남 OVERDUE",IF($F704='설정 Settings'!$C$15,"오늘 TODAY","예정 OPEN")))))</f>
      </c>
      <c r="M704" s="42">
        <f>IF($A704="","",IF($I704="Y","수신거부: 문자·이메일 보내지 않기",IF(OR($E704="SMS",$E704="EMAIL"),IF(OR($H704="",$H704="NONE"),"동의 근거 없음: 전화·방문만",IF($H704="INQUIRY",IF(N($N704)=0,"견적 요청일을 못 찾음: 관련 ID에 견적 ID(Q-…)를 넣었는지 확인",IF('설정 Settings'!$C$15&gt;N($N704),"문의 후 6개월 지남: 다른 동의 근거 필요","OK: 이름·주소·연락처·수신거부 문구 넣기")),IF($H704="REFERRAL","소개 후 첫 메시지만 OK: 소개자 이름 + 이름·주소·연락처·수신거부 문구. 두 번째부터는 다른 동의 근거 필요",IF(AND($H704="REPLY",$D704&lt;&gt;"QUOTE",$D704&lt;&gt;"CALLBACK"),"문의에 대한 답장이 아님: EXPRESS 또는 INQUIRY 동의 필요","OK: 이름·주소·연락처·수신거부 문구 넣기")))),"")))</f>
      </c>
      <c r="N704" s="40">
        <f>IF($H704="INQUIRY",IFERROR(EDATE(INDEX('견적 Quotes'!$B$3:$B$1002,MATCH($C704,'견적 Quotes'!$A$3:$A$1002,0)),'설정 Settings'!$C$20),""),"")</f>
      </c>
    </row>
    <row r="705" spans="12:14" x14ac:dyDescent="0.25">
      <c r="L705" s="42">
        <f>IF($A705="","",IF($G705="Y","완료 DONE",IF($F705="","날짜 없음",IF($F705&lt;'설정 Settings'!$C$15,"지남 OVERDUE",IF($F705='설정 Settings'!$C$15,"오늘 TODAY","예정 OPEN")))))</f>
      </c>
      <c r="M705" s="42">
        <f>IF($A705="","",IF($I705="Y","수신거부: 문자·이메일 보내지 않기",IF(OR($E705="SMS",$E705="EMAIL"),IF(OR($H705="",$H705="NONE"),"동의 근거 없음: 전화·방문만",IF($H705="INQUIRY",IF(N($N705)=0,"견적 요청일을 못 찾음: 관련 ID에 견적 ID(Q-…)를 넣었는지 확인",IF('설정 Settings'!$C$15&gt;N($N705),"문의 후 6개월 지남: 다른 동의 근거 필요","OK: 이름·주소·연락처·수신거부 문구 넣기")),IF($H705="REFERRAL","소개 후 첫 메시지만 OK: 소개자 이름 + 이름·주소·연락처·수신거부 문구. 두 번째부터는 다른 동의 근거 필요",IF(AND($H705="REPLY",$D705&lt;&gt;"QUOTE",$D705&lt;&gt;"CALLBACK"),"문의에 대한 답장이 아님: EXPRESS 또는 INQUIRY 동의 필요","OK: 이름·주소·연락처·수신거부 문구 넣기")))),"")))</f>
      </c>
      <c r="N705" s="40">
        <f>IF($H705="INQUIRY",IFERROR(EDATE(INDEX('견적 Quotes'!$B$3:$B$1002,MATCH($C705,'견적 Quotes'!$A$3:$A$1002,0)),'설정 Settings'!$C$20),""),"")</f>
      </c>
    </row>
    <row r="706" spans="12:14" x14ac:dyDescent="0.25">
      <c r="L706" s="42">
        <f>IF($A706="","",IF($G706="Y","완료 DONE",IF($F706="","날짜 없음",IF($F706&lt;'설정 Settings'!$C$15,"지남 OVERDUE",IF($F706='설정 Settings'!$C$15,"오늘 TODAY","예정 OPEN")))))</f>
      </c>
      <c r="M706" s="42">
        <f>IF($A706="","",IF($I706="Y","수신거부: 문자·이메일 보내지 않기",IF(OR($E706="SMS",$E706="EMAIL"),IF(OR($H706="",$H706="NONE"),"동의 근거 없음: 전화·방문만",IF($H706="INQUIRY",IF(N($N706)=0,"견적 요청일을 못 찾음: 관련 ID에 견적 ID(Q-…)를 넣었는지 확인",IF('설정 Settings'!$C$15&gt;N($N706),"문의 후 6개월 지남: 다른 동의 근거 필요","OK: 이름·주소·연락처·수신거부 문구 넣기")),IF($H706="REFERRAL","소개 후 첫 메시지만 OK: 소개자 이름 + 이름·주소·연락처·수신거부 문구. 두 번째부터는 다른 동의 근거 필요",IF(AND($H706="REPLY",$D706&lt;&gt;"QUOTE",$D706&lt;&gt;"CALLBACK"),"문의에 대한 답장이 아님: EXPRESS 또는 INQUIRY 동의 필요","OK: 이름·주소·연락처·수신거부 문구 넣기")))),"")))</f>
      </c>
      <c r="N706" s="40">
        <f>IF($H706="INQUIRY",IFERROR(EDATE(INDEX('견적 Quotes'!$B$3:$B$1002,MATCH($C706,'견적 Quotes'!$A$3:$A$1002,0)),'설정 Settings'!$C$20),""),"")</f>
      </c>
    </row>
    <row r="707" spans="12:14" x14ac:dyDescent="0.25">
      <c r="L707" s="42">
        <f>IF($A707="","",IF($G707="Y","완료 DONE",IF($F707="","날짜 없음",IF($F707&lt;'설정 Settings'!$C$15,"지남 OVERDUE",IF($F707='설정 Settings'!$C$15,"오늘 TODAY","예정 OPEN")))))</f>
      </c>
      <c r="M707" s="42">
        <f>IF($A707="","",IF($I707="Y","수신거부: 문자·이메일 보내지 않기",IF(OR($E707="SMS",$E707="EMAIL"),IF(OR($H707="",$H707="NONE"),"동의 근거 없음: 전화·방문만",IF($H707="INQUIRY",IF(N($N707)=0,"견적 요청일을 못 찾음: 관련 ID에 견적 ID(Q-…)를 넣었는지 확인",IF('설정 Settings'!$C$15&gt;N($N707),"문의 후 6개월 지남: 다른 동의 근거 필요","OK: 이름·주소·연락처·수신거부 문구 넣기")),IF($H707="REFERRAL","소개 후 첫 메시지만 OK: 소개자 이름 + 이름·주소·연락처·수신거부 문구. 두 번째부터는 다른 동의 근거 필요",IF(AND($H707="REPLY",$D707&lt;&gt;"QUOTE",$D707&lt;&gt;"CALLBACK"),"문의에 대한 답장이 아님: EXPRESS 또는 INQUIRY 동의 필요","OK: 이름·주소·연락처·수신거부 문구 넣기")))),"")))</f>
      </c>
      <c r="N707" s="40">
        <f>IF($H707="INQUIRY",IFERROR(EDATE(INDEX('견적 Quotes'!$B$3:$B$1002,MATCH($C707,'견적 Quotes'!$A$3:$A$1002,0)),'설정 Settings'!$C$20),""),"")</f>
      </c>
    </row>
    <row r="708" spans="12:14" x14ac:dyDescent="0.25">
      <c r="L708" s="42">
        <f>IF($A708="","",IF($G708="Y","완료 DONE",IF($F708="","날짜 없음",IF($F708&lt;'설정 Settings'!$C$15,"지남 OVERDUE",IF($F708='설정 Settings'!$C$15,"오늘 TODAY","예정 OPEN")))))</f>
      </c>
      <c r="M708" s="42">
        <f>IF($A708="","",IF($I708="Y","수신거부: 문자·이메일 보내지 않기",IF(OR($E708="SMS",$E708="EMAIL"),IF(OR($H708="",$H708="NONE"),"동의 근거 없음: 전화·방문만",IF($H708="INQUIRY",IF(N($N708)=0,"견적 요청일을 못 찾음: 관련 ID에 견적 ID(Q-…)를 넣었는지 확인",IF('설정 Settings'!$C$15&gt;N($N708),"문의 후 6개월 지남: 다른 동의 근거 필요","OK: 이름·주소·연락처·수신거부 문구 넣기")),IF($H708="REFERRAL","소개 후 첫 메시지만 OK: 소개자 이름 + 이름·주소·연락처·수신거부 문구. 두 번째부터는 다른 동의 근거 필요",IF(AND($H708="REPLY",$D708&lt;&gt;"QUOTE",$D708&lt;&gt;"CALLBACK"),"문의에 대한 답장이 아님: EXPRESS 또는 INQUIRY 동의 필요","OK: 이름·주소·연락처·수신거부 문구 넣기")))),"")))</f>
      </c>
      <c r="N708" s="40">
        <f>IF($H708="INQUIRY",IFERROR(EDATE(INDEX('견적 Quotes'!$B$3:$B$1002,MATCH($C708,'견적 Quotes'!$A$3:$A$1002,0)),'설정 Settings'!$C$20),""),"")</f>
      </c>
    </row>
    <row r="709" spans="12:14" x14ac:dyDescent="0.25">
      <c r="L709" s="42">
        <f>IF($A709="","",IF($G709="Y","완료 DONE",IF($F709="","날짜 없음",IF($F709&lt;'설정 Settings'!$C$15,"지남 OVERDUE",IF($F709='설정 Settings'!$C$15,"오늘 TODAY","예정 OPEN")))))</f>
      </c>
      <c r="M709" s="42">
        <f>IF($A709="","",IF($I709="Y","수신거부: 문자·이메일 보내지 않기",IF(OR($E709="SMS",$E709="EMAIL"),IF(OR($H709="",$H709="NONE"),"동의 근거 없음: 전화·방문만",IF($H709="INQUIRY",IF(N($N709)=0,"견적 요청일을 못 찾음: 관련 ID에 견적 ID(Q-…)를 넣었는지 확인",IF('설정 Settings'!$C$15&gt;N($N709),"문의 후 6개월 지남: 다른 동의 근거 필요","OK: 이름·주소·연락처·수신거부 문구 넣기")),IF($H709="REFERRAL","소개 후 첫 메시지만 OK: 소개자 이름 + 이름·주소·연락처·수신거부 문구. 두 번째부터는 다른 동의 근거 필요",IF(AND($H709="REPLY",$D709&lt;&gt;"QUOTE",$D709&lt;&gt;"CALLBACK"),"문의에 대한 답장이 아님: EXPRESS 또는 INQUIRY 동의 필요","OK: 이름·주소·연락처·수신거부 문구 넣기")))),"")))</f>
      </c>
      <c r="N709" s="40">
        <f>IF($H709="INQUIRY",IFERROR(EDATE(INDEX('견적 Quotes'!$B$3:$B$1002,MATCH($C709,'견적 Quotes'!$A$3:$A$1002,0)),'설정 Settings'!$C$20),""),"")</f>
      </c>
    </row>
    <row r="710" spans="12:14" x14ac:dyDescent="0.25">
      <c r="L710" s="42">
        <f>IF($A710="","",IF($G710="Y","완료 DONE",IF($F710="","날짜 없음",IF($F710&lt;'설정 Settings'!$C$15,"지남 OVERDUE",IF($F710='설정 Settings'!$C$15,"오늘 TODAY","예정 OPEN")))))</f>
      </c>
      <c r="M710" s="42">
        <f>IF($A710="","",IF($I710="Y","수신거부: 문자·이메일 보내지 않기",IF(OR($E710="SMS",$E710="EMAIL"),IF(OR($H710="",$H710="NONE"),"동의 근거 없음: 전화·방문만",IF($H710="INQUIRY",IF(N($N710)=0,"견적 요청일을 못 찾음: 관련 ID에 견적 ID(Q-…)를 넣었는지 확인",IF('설정 Settings'!$C$15&gt;N($N710),"문의 후 6개월 지남: 다른 동의 근거 필요","OK: 이름·주소·연락처·수신거부 문구 넣기")),IF($H710="REFERRAL","소개 후 첫 메시지만 OK: 소개자 이름 + 이름·주소·연락처·수신거부 문구. 두 번째부터는 다른 동의 근거 필요",IF(AND($H710="REPLY",$D710&lt;&gt;"QUOTE",$D710&lt;&gt;"CALLBACK"),"문의에 대한 답장이 아님: EXPRESS 또는 INQUIRY 동의 필요","OK: 이름·주소·연락처·수신거부 문구 넣기")))),"")))</f>
      </c>
      <c r="N710" s="40">
        <f>IF($H710="INQUIRY",IFERROR(EDATE(INDEX('견적 Quotes'!$B$3:$B$1002,MATCH($C710,'견적 Quotes'!$A$3:$A$1002,0)),'설정 Settings'!$C$20),""),"")</f>
      </c>
    </row>
    <row r="711" spans="12:14" x14ac:dyDescent="0.25">
      <c r="L711" s="42">
        <f>IF($A711="","",IF($G711="Y","완료 DONE",IF($F711="","날짜 없음",IF($F711&lt;'설정 Settings'!$C$15,"지남 OVERDUE",IF($F711='설정 Settings'!$C$15,"오늘 TODAY","예정 OPEN")))))</f>
      </c>
      <c r="M711" s="42">
        <f>IF($A711="","",IF($I711="Y","수신거부: 문자·이메일 보내지 않기",IF(OR($E711="SMS",$E711="EMAIL"),IF(OR($H711="",$H711="NONE"),"동의 근거 없음: 전화·방문만",IF($H711="INQUIRY",IF(N($N711)=0,"견적 요청일을 못 찾음: 관련 ID에 견적 ID(Q-…)를 넣었는지 확인",IF('설정 Settings'!$C$15&gt;N($N711),"문의 후 6개월 지남: 다른 동의 근거 필요","OK: 이름·주소·연락처·수신거부 문구 넣기")),IF($H711="REFERRAL","소개 후 첫 메시지만 OK: 소개자 이름 + 이름·주소·연락처·수신거부 문구. 두 번째부터는 다른 동의 근거 필요",IF(AND($H711="REPLY",$D711&lt;&gt;"QUOTE",$D711&lt;&gt;"CALLBACK"),"문의에 대한 답장이 아님: EXPRESS 또는 INQUIRY 동의 필요","OK: 이름·주소·연락처·수신거부 문구 넣기")))),"")))</f>
      </c>
      <c r="N711" s="40">
        <f>IF($H711="INQUIRY",IFERROR(EDATE(INDEX('견적 Quotes'!$B$3:$B$1002,MATCH($C711,'견적 Quotes'!$A$3:$A$1002,0)),'설정 Settings'!$C$20),""),"")</f>
      </c>
    </row>
    <row r="712" spans="12:14" x14ac:dyDescent="0.25">
      <c r="L712" s="42">
        <f>IF($A712="","",IF($G712="Y","완료 DONE",IF($F712="","날짜 없음",IF($F712&lt;'설정 Settings'!$C$15,"지남 OVERDUE",IF($F712='설정 Settings'!$C$15,"오늘 TODAY","예정 OPEN")))))</f>
      </c>
      <c r="M712" s="42">
        <f>IF($A712="","",IF($I712="Y","수신거부: 문자·이메일 보내지 않기",IF(OR($E712="SMS",$E712="EMAIL"),IF(OR($H712="",$H712="NONE"),"동의 근거 없음: 전화·방문만",IF($H712="INQUIRY",IF(N($N712)=0,"견적 요청일을 못 찾음: 관련 ID에 견적 ID(Q-…)를 넣었는지 확인",IF('설정 Settings'!$C$15&gt;N($N712),"문의 후 6개월 지남: 다른 동의 근거 필요","OK: 이름·주소·연락처·수신거부 문구 넣기")),IF($H712="REFERRAL","소개 후 첫 메시지만 OK: 소개자 이름 + 이름·주소·연락처·수신거부 문구. 두 번째부터는 다른 동의 근거 필요",IF(AND($H712="REPLY",$D712&lt;&gt;"QUOTE",$D712&lt;&gt;"CALLBACK"),"문의에 대한 답장이 아님: EXPRESS 또는 INQUIRY 동의 필요","OK: 이름·주소·연락처·수신거부 문구 넣기")))),"")))</f>
      </c>
      <c r="N712" s="40">
        <f>IF($H712="INQUIRY",IFERROR(EDATE(INDEX('견적 Quotes'!$B$3:$B$1002,MATCH($C712,'견적 Quotes'!$A$3:$A$1002,0)),'설정 Settings'!$C$20),""),"")</f>
      </c>
    </row>
    <row r="713" spans="12:14" x14ac:dyDescent="0.25">
      <c r="L713" s="42">
        <f>IF($A713="","",IF($G713="Y","완료 DONE",IF($F713="","날짜 없음",IF($F713&lt;'설정 Settings'!$C$15,"지남 OVERDUE",IF($F713='설정 Settings'!$C$15,"오늘 TODAY","예정 OPEN")))))</f>
      </c>
      <c r="M713" s="42">
        <f>IF($A713="","",IF($I713="Y","수신거부: 문자·이메일 보내지 않기",IF(OR($E713="SMS",$E713="EMAIL"),IF(OR($H713="",$H713="NONE"),"동의 근거 없음: 전화·방문만",IF($H713="INQUIRY",IF(N($N713)=0,"견적 요청일을 못 찾음: 관련 ID에 견적 ID(Q-…)를 넣었는지 확인",IF('설정 Settings'!$C$15&gt;N($N713),"문의 후 6개월 지남: 다른 동의 근거 필요","OK: 이름·주소·연락처·수신거부 문구 넣기")),IF($H713="REFERRAL","소개 후 첫 메시지만 OK: 소개자 이름 + 이름·주소·연락처·수신거부 문구. 두 번째부터는 다른 동의 근거 필요",IF(AND($H713="REPLY",$D713&lt;&gt;"QUOTE",$D713&lt;&gt;"CALLBACK"),"문의에 대한 답장이 아님: EXPRESS 또는 INQUIRY 동의 필요","OK: 이름·주소·연락처·수신거부 문구 넣기")))),"")))</f>
      </c>
      <c r="N713" s="40">
        <f>IF($H713="INQUIRY",IFERROR(EDATE(INDEX('견적 Quotes'!$B$3:$B$1002,MATCH($C713,'견적 Quotes'!$A$3:$A$1002,0)),'설정 Settings'!$C$20),""),"")</f>
      </c>
    </row>
    <row r="714" spans="12:14" x14ac:dyDescent="0.25">
      <c r="L714" s="42">
        <f>IF($A714="","",IF($G714="Y","완료 DONE",IF($F714="","날짜 없음",IF($F714&lt;'설정 Settings'!$C$15,"지남 OVERDUE",IF($F714='설정 Settings'!$C$15,"오늘 TODAY","예정 OPEN")))))</f>
      </c>
      <c r="M714" s="42">
        <f>IF($A714="","",IF($I714="Y","수신거부: 문자·이메일 보내지 않기",IF(OR($E714="SMS",$E714="EMAIL"),IF(OR($H714="",$H714="NONE"),"동의 근거 없음: 전화·방문만",IF($H714="INQUIRY",IF(N($N714)=0,"견적 요청일을 못 찾음: 관련 ID에 견적 ID(Q-…)를 넣었는지 확인",IF('설정 Settings'!$C$15&gt;N($N714),"문의 후 6개월 지남: 다른 동의 근거 필요","OK: 이름·주소·연락처·수신거부 문구 넣기")),IF($H714="REFERRAL","소개 후 첫 메시지만 OK: 소개자 이름 + 이름·주소·연락처·수신거부 문구. 두 번째부터는 다른 동의 근거 필요",IF(AND($H714="REPLY",$D714&lt;&gt;"QUOTE",$D714&lt;&gt;"CALLBACK"),"문의에 대한 답장이 아님: EXPRESS 또는 INQUIRY 동의 필요","OK: 이름·주소·연락처·수신거부 문구 넣기")))),"")))</f>
      </c>
      <c r="N714" s="40">
        <f>IF($H714="INQUIRY",IFERROR(EDATE(INDEX('견적 Quotes'!$B$3:$B$1002,MATCH($C714,'견적 Quotes'!$A$3:$A$1002,0)),'설정 Settings'!$C$20),""),"")</f>
      </c>
    </row>
    <row r="715" spans="12:14" x14ac:dyDescent="0.25">
      <c r="L715" s="42">
        <f>IF($A715="","",IF($G715="Y","완료 DONE",IF($F715="","날짜 없음",IF($F715&lt;'설정 Settings'!$C$15,"지남 OVERDUE",IF($F715='설정 Settings'!$C$15,"오늘 TODAY","예정 OPEN")))))</f>
      </c>
      <c r="M715" s="42">
        <f>IF($A715="","",IF($I715="Y","수신거부: 문자·이메일 보내지 않기",IF(OR($E715="SMS",$E715="EMAIL"),IF(OR($H715="",$H715="NONE"),"동의 근거 없음: 전화·방문만",IF($H715="INQUIRY",IF(N($N715)=0,"견적 요청일을 못 찾음: 관련 ID에 견적 ID(Q-…)를 넣었는지 확인",IF('설정 Settings'!$C$15&gt;N($N715),"문의 후 6개월 지남: 다른 동의 근거 필요","OK: 이름·주소·연락처·수신거부 문구 넣기")),IF($H715="REFERRAL","소개 후 첫 메시지만 OK: 소개자 이름 + 이름·주소·연락처·수신거부 문구. 두 번째부터는 다른 동의 근거 필요",IF(AND($H715="REPLY",$D715&lt;&gt;"QUOTE",$D715&lt;&gt;"CALLBACK"),"문의에 대한 답장이 아님: EXPRESS 또는 INQUIRY 동의 필요","OK: 이름·주소·연락처·수신거부 문구 넣기")))),"")))</f>
      </c>
      <c r="N715" s="40">
        <f>IF($H715="INQUIRY",IFERROR(EDATE(INDEX('견적 Quotes'!$B$3:$B$1002,MATCH($C715,'견적 Quotes'!$A$3:$A$1002,0)),'설정 Settings'!$C$20),""),"")</f>
      </c>
    </row>
    <row r="716" spans="12:14" x14ac:dyDescent="0.25">
      <c r="L716" s="42">
        <f>IF($A716="","",IF($G716="Y","완료 DONE",IF($F716="","날짜 없음",IF($F716&lt;'설정 Settings'!$C$15,"지남 OVERDUE",IF($F716='설정 Settings'!$C$15,"오늘 TODAY","예정 OPEN")))))</f>
      </c>
      <c r="M716" s="42">
        <f>IF($A716="","",IF($I716="Y","수신거부: 문자·이메일 보내지 않기",IF(OR($E716="SMS",$E716="EMAIL"),IF(OR($H716="",$H716="NONE"),"동의 근거 없음: 전화·방문만",IF($H716="INQUIRY",IF(N($N716)=0,"견적 요청일을 못 찾음: 관련 ID에 견적 ID(Q-…)를 넣었는지 확인",IF('설정 Settings'!$C$15&gt;N($N716),"문의 후 6개월 지남: 다른 동의 근거 필요","OK: 이름·주소·연락처·수신거부 문구 넣기")),IF($H716="REFERRAL","소개 후 첫 메시지만 OK: 소개자 이름 + 이름·주소·연락처·수신거부 문구. 두 번째부터는 다른 동의 근거 필요",IF(AND($H716="REPLY",$D716&lt;&gt;"QUOTE",$D716&lt;&gt;"CALLBACK"),"문의에 대한 답장이 아님: EXPRESS 또는 INQUIRY 동의 필요","OK: 이름·주소·연락처·수신거부 문구 넣기")))),"")))</f>
      </c>
      <c r="N716" s="40">
        <f>IF($H716="INQUIRY",IFERROR(EDATE(INDEX('견적 Quotes'!$B$3:$B$1002,MATCH($C716,'견적 Quotes'!$A$3:$A$1002,0)),'설정 Settings'!$C$20),""),"")</f>
      </c>
    </row>
    <row r="717" spans="12:14" x14ac:dyDescent="0.25">
      <c r="L717" s="42">
        <f>IF($A717="","",IF($G717="Y","완료 DONE",IF($F717="","날짜 없음",IF($F717&lt;'설정 Settings'!$C$15,"지남 OVERDUE",IF($F717='설정 Settings'!$C$15,"오늘 TODAY","예정 OPEN")))))</f>
      </c>
      <c r="M717" s="42">
        <f>IF($A717="","",IF($I717="Y","수신거부: 문자·이메일 보내지 않기",IF(OR($E717="SMS",$E717="EMAIL"),IF(OR($H717="",$H717="NONE"),"동의 근거 없음: 전화·방문만",IF($H717="INQUIRY",IF(N($N717)=0,"견적 요청일을 못 찾음: 관련 ID에 견적 ID(Q-…)를 넣었는지 확인",IF('설정 Settings'!$C$15&gt;N($N717),"문의 후 6개월 지남: 다른 동의 근거 필요","OK: 이름·주소·연락처·수신거부 문구 넣기")),IF($H717="REFERRAL","소개 후 첫 메시지만 OK: 소개자 이름 + 이름·주소·연락처·수신거부 문구. 두 번째부터는 다른 동의 근거 필요",IF(AND($H717="REPLY",$D717&lt;&gt;"QUOTE",$D717&lt;&gt;"CALLBACK"),"문의에 대한 답장이 아님: EXPRESS 또는 INQUIRY 동의 필요","OK: 이름·주소·연락처·수신거부 문구 넣기")))),"")))</f>
      </c>
      <c r="N717" s="40">
        <f>IF($H717="INQUIRY",IFERROR(EDATE(INDEX('견적 Quotes'!$B$3:$B$1002,MATCH($C717,'견적 Quotes'!$A$3:$A$1002,0)),'설정 Settings'!$C$20),""),"")</f>
      </c>
    </row>
    <row r="718" spans="12:14" x14ac:dyDescent="0.25">
      <c r="L718" s="42">
        <f>IF($A718="","",IF($G718="Y","완료 DONE",IF($F718="","날짜 없음",IF($F718&lt;'설정 Settings'!$C$15,"지남 OVERDUE",IF($F718='설정 Settings'!$C$15,"오늘 TODAY","예정 OPEN")))))</f>
      </c>
      <c r="M718" s="42">
        <f>IF($A718="","",IF($I718="Y","수신거부: 문자·이메일 보내지 않기",IF(OR($E718="SMS",$E718="EMAIL"),IF(OR($H718="",$H718="NONE"),"동의 근거 없음: 전화·방문만",IF($H718="INQUIRY",IF(N($N718)=0,"견적 요청일을 못 찾음: 관련 ID에 견적 ID(Q-…)를 넣었는지 확인",IF('설정 Settings'!$C$15&gt;N($N718),"문의 후 6개월 지남: 다른 동의 근거 필요","OK: 이름·주소·연락처·수신거부 문구 넣기")),IF($H718="REFERRAL","소개 후 첫 메시지만 OK: 소개자 이름 + 이름·주소·연락처·수신거부 문구. 두 번째부터는 다른 동의 근거 필요",IF(AND($H718="REPLY",$D718&lt;&gt;"QUOTE",$D718&lt;&gt;"CALLBACK"),"문의에 대한 답장이 아님: EXPRESS 또는 INQUIRY 동의 필요","OK: 이름·주소·연락처·수신거부 문구 넣기")))),"")))</f>
      </c>
      <c r="N718" s="40">
        <f>IF($H718="INQUIRY",IFERROR(EDATE(INDEX('견적 Quotes'!$B$3:$B$1002,MATCH($C718,'견적 Quotes'!$A$3:$A$1002,0)),'설정 Settings'!$C$20),""),"")</f>
      </c>
    </row>
    <row r="719" spans="12:14" x14ac:dyDescent="0.25">
      <c r="L719" s="42">
        <f>IF($A719="","",IF($G719="Y","완료 DONE",IF($F719="","날짜 없음",IF($F719&lt;'설정 Settings'!$C$15,"지남 OVERDUE",IF($F719='설정 Settings'!$C$15,"오늘 TODAY","예정 OPEN")))))</f>
      </c>
      <c r="M719" s="42">
        <f>IF($A719="","",IF($I719="Y","수신거부: 문자·이메일 보내지 않기",IF(OR($E719="SMS",$E719="EMAIL"),IF(OR($H719="",$H719="NONE"),"동의 근거 없음: 전화·방문만",IF($H719="INQUIRY",IF(N($N719)=0,"견적 요청일을 못 찾음: 관련 ID에 견적 ID(Q-…)를 넣었는지 확인",IF('설정 Settings'!$C$15&gt;N($N719),"문의 후 6개월 지남: 다른 동의 근거 필요","OK: 이름·주소·연락처·수신거부 문구 넣기")),IF($H719="REFERRAL","소개 후 첫 메시지만 OK: 소개자 이름 + 이름·주소·연락처·수신거부 문구. 두 번째부터는 다른 동의 근거 필요",IF(AND($H719="REPLY",$D719&lt;&gt;"QUOTE",$D719&lt;&gt;"CALLBACK"),"문의에 대한 답장이 아님: EXPRESS 또는 INQUIRY 동의 필요","OK: 이름·주소·연락처·수신거부 문구 넣기")))),"")))</f>
      </c>
      <c r="N719" s="40">
        <f>IF($H719="INQUIRY",IFERROR(EDATE(INDEX('견적 Quotes'!$B$3:$B$1002,MATCH($C719,'견적 Quotes'!$A$3:$A$1002,0)),'설정 Settings'!$C$20),""),"")</f>
      </c>
    </row>
    <row r="720" spans="12:14" x14ac:dyDescent="0.25">
      <c r="L720" s="42">
        <f>IF($A720="","",IF($G720="Y","완료 DONE",IF($F720="","날짜 없음",IF($F720&lt;'설정 Settings'!$C$15,"지남 OVERDUE",IF($F720='설정 Settings'!$C$15,"오늘 TODAY","예정 OPEN")))))</f>
      </c>
      <c r="M720" s="42">
        <f>IF($A720="","",IF($I720="Y","수신거부: 문자·이메일 보내지 않기",IF(OR($E720="SMS",$E720="EMAIL"),IF(OR($H720="",$H720="NONE"),"동의 근거 없음: 전화·방문만",IF($H720="INQUIRY",IF(N($N720)=0,"견적 요청일을 못 찾음: 관련 ID에 견적 ID(Q-…)를 넣었는지 확인",IF('설정 Settings'!$C$15&gt;N($N720),"문의 후 6개월 지남: 다른 동의 근거 필요","OK: 이름·주소·연락처·수신거부 문구 넣기")),IF($H720="REFERRAL","소개 후 첫 메시지만 OK: 소개자 이름 + 이름·주소·연락처·수신거부 문구. 두 번째부터는 다른 동의 근거 필요",IF(AND($H720="REPLY",$D720&lt;&gt;"QUOTE",$D720&lt;&gt;"CALLBACK"),"문의에 대한 답장이 아님: EXPRESS 또는 INQUIRY 동의 필요","OK: 이름·주소·연락처·수신거부 문구 넣기")))),"")))</f>
      </c>
      <c r="N720" s="40">
        <f>IF($H720="INQUIRY",IFERROR(EDATE(INDEX('견적 Quotes'!$B$3:$B$1002,MATCH($C720,'견적 Quotes'!$A$3:$A$1002,0)),'설정 Settings'!$C$20),""),"")</f>
      </c>
    </row>
    <row r="721" spans="12:14" x14ac:dyDescent="0.25">
      <c r="L721" s="42">
        <f>IF($A721="","",IF($G721="Y","완료 DONE",IF($F721="","날짜 없음",IF($F721&lt;'설정 Settings'!$C$15,"지남 OVERDUE",IF($F721='설정 Settings'!$C$15,"오늘 TODAY","예정 OPEN")))))</f>
      </c>
      <c r="M721" s="42">
        <f>IF($A721="","",IF($I721="Y","수신거부: 문자·이메일 보내지 않기",IF(OR($E721="SMS",$E721="EMAIL"),IF(OR($H721="",$H721="NONE"),"동의 근거 없음: 전화·방문만",IF($H721="INQUIRY",IF(N($N721)=0,"견적 요청일을 못 찾음: 관련 ID에 견적 ID(Q-…)를 넣었는지 확인",IF('설정 Settings'!$C$15&gt;N($N721),"문의 후 6개월 지남: 다른 동의 근거 필요","OK: 이름·주소·연락처·수신거부 문구 넣기")),IF($H721="REFERRAL","소개 후 첫 메시지만 OK: 소개자 이름 + 이름·주소·연락처·수신거부 문구. 두 번째부터는 다른 동의 근거 필요",IF(AND($H721="REPLY",$D721&lt;&gt;"QUOTE",$D721&lt;&gt;"CALLBACK"),"문의에 대한 답장이 아님: EXPRESS 또는 INQUIRY 동의 필요","OK: 이름·주소·연락처·수신거부 문구 넣기")))),"")))</f>
      </c>
      <c r="N721" s="40">
        <f>IF($H721="INQUIRY",IFERROR(EDATE(INDEX('견적 Quotes'!$B$3:$B$1002,MATCH($C721,'견적 Quotes'!$A$3:$A$1002,0)),'설정 Settings'!$C$20),""),"")</f>
      </c>
    </row>
    <row r="722" spans="12:14" x14ac:dyDescent="0.25">
      <c r="L722" s="42">
        <f>IF($A722="","",IF($G722="Y","완료 DONE",IF($F722="","날짜 없음",IF($F722&lt;'설정 Settings'!$C$15,"지남 OVERDUE",IF($F722='설정 Settings'!$C$15,"오늘 TODAY","예정 OPEN")))))</f>
      </c>
      <c r="M722" s="42">
        <f>IF($A722="","",IF($I722="Y","수신거부: 문자·이메일 보내지 않기",IF(OR($E722="SMS",$E722="EMAIL"),IF(OR($H722="",$H722="NONE"),"동의 근거 없음: 전화·방문만",IF($H722="INQUIRY",IF(N($N722)=0,"견적 요청일을 못 찾음: 관련 ID에 견적 ID(Q-…)를 넣었는지 확인",IF('설정 Settings'!$C$15&gt;N($N722),"문의 후 6개월 지남: 다른 동의 근거 필요","OK: 이름·주소·연락처·수신거부 문구 넣기")),IF($H722="REFERRAL","소개 후 첫 메시지만 OK: 소개자 이름 + 이름·주소·연락처·수신거부 문구. 두 번째부터는 다른 동의 근거 필요",IF(AND($H722="REPLY",$D722&lt;&gt;"QUOTE",$D722&lt;&gt;"CALLBACK"),"문의에 대한 답장이 아님: EXPRESS 또는 INQUIRY 동의 필요","OK: 이름·주소·연락처·수신거부 문구 넣기")))),"")))</f>
      </c>
      <c r="N722" s="40">
        <f>IF($H722="INQUIRY",IFERROR(EDATE(INDEX('견적 Quotes'!$B$3:$B$1002,MATCH($C722,'견적 Quotes'!$A$3:$A$1002,0)),'설정 Settings'!$C$20),""),"")</f>
      </c>
    </row>
    <row r="723" spans="12:14" x14ac:dyDescent="0.25">
      <c r="L723" s="42">
        <f>IF($A723="","",IF($G723="Y","완료 DONE",IF($F723="","날짜 없음",IF($F723&lt;'설정 Settings'!$C$15,"지남 OVERDUE",IF($F723='설정 Settings'!$C$15,"오늘 TODAY","예정 OPEN")))))</f>
      </c>
      <c r="M723" s="42">
        <f>IF($A723="","",IF($I723="Y","수신거부: 문자·이메일 보내지 않기",IF(OR($E723="SMS",$E723="EMAIL"),IF(OR($H723="",$H723="NONE"),"동의 근거 없음: 전화·방문만",IF($H723="INQUIRY",IF(N($N723)=0,"견적 요청일을 못 찾음: 관련 ID에 견적 ID(Q-…)를 넣었는지 확인",IF('설정 Settings'!$C$15&gt;N($N723),"문의 후 6개월 지남: 다른 동의 근거 필요","OK: 이름·주소·연락처·수신거부 문구 넣기")),IF($H723="REFERRAL","소개 후 첫 메시지만 OK: 소개자 이름 + 이름·주소·연락처·수신거부 문구. 두 번째부터는 다른 동의 근거 필요",IF(AND($H723="REPLY",$D723&lt;&gt;"QUOTE",$D723&lt;&gt;"CALLBACK"),"문의에 대한 답장이 아님: EXPRESS 또는 INQUIRY 동의 필요","OK: 이름·주소·연락처·수신거부 문구 넣기")))),"")))</f>
      </c>
      <c r="N723" s="40">
        <f>IF($H723="INQUIRY",IFERROR(EDATE(INDEX('견적 Quotes'!$B$3:$B$1002,MATCH($C723,'견적 Quotes'!$A$3:$A$1002,0)),'설정 Settings'!$C$20),""),"")</f>
      </c>
    </row>
    <row r="724" spans="12:14" x14ac:dyDescent="0.25">
      <c r="L724" s="42">
        <f>IF($A724="","",IF($G724="Y","완료 DONE",IF($F724="","날짜 없음",IF($F724&lt;'설정 Settings'!$C$15,"지남 OVERDUE",IF($F724='설정 Settings'!$C$15,"오늘 TODAY","예정 OPEN")))))</f>
      </c>
      <c r="M724" s="42">
        <f>IF($A724="","",IF($I724="Y","수신거부: 문자·이메일 보내지 않기",IF(OR($E724="SMS",$E724="EMAIL"),IF(OR($H724="",$H724="NONE"),"동의 근거 없음: 전화·방문만",IF($H724="INQUIRY",IF(N($N724)=0,"견적 요청일을 못 찾음: 관련 ID에 견적 ID(Q-…)를 넣었는지 확인",IF('설정 Settings'!$C$15&gt;N($N724),"문의 후 6개월 지남: 다른 동의 근거 필요","OK: 이름·주소·연락처·수신거부 문구 넣기")),IF($H724="REFERRAL","소개 후 첫 메시지만 OK: 소개자 이름 + 이름·주소·연락처·수신거부 문구. 두 번째부터는 다른 동의 근거 필요",IF(AND($H724="REPLY",$D724&lt;&gt;"QUOTE",$D724&lt;&gt;"CALLBACK"),"문의에 대한 답장이 아님: EXPRESS 또는 INQUIRY 동의 필요","OK: 이름·주소·연락처·수신거부 문구 넣기")))),"")))</f>
      </c>
      <c r="N724" s="40">
        <f>IF($H724="INQUIRY",IFERROR(EDATE(INDEX('견적 Quotes'!$B$3:$B$1002,MATCH($C724,'견적 Quotes'!$A$3:$A$1002,0)),'설정 Settings'!$C$20),""),"")</f>
      </c>
    </row>
    <row r="725" spans="12:14" x14ac:dyDescent="0.25">
      <c r="L725" s="42">
        <f>IF($A725="","",IF($G725="Y","완료 DONE",IF($F725="","날짜 없음",IF($F725&lt;'설정 Settings'!$C$15,"지남 OVERDUE",IF($F725='설정 Settings'!$C$15,"오늘 TODAY","예정 OPEN")))))</f>
      </c>
      <c r="M725" s="42">
        <f>IF($A725="","",IF($I725="Y","수신거부: 문자·이메일 보내지 않기",IF(OR($E725="SMS",$E725="EMAIL"),IF(OR($H725="",$H725="NONE"),"동의 근거 없음: 전화·방문만",IF($H725="INQUIRY",IF(N($N725)=0,"견적 요청일을 못 찾음: 관련 ID에 견적 ID(Q-…)를 넣었는지 확인",IF('설정 Settings'!$C$15&gt;N($N725),"문의 후 6개월 지남: 다른 동의 근거 필요","OK: 이름·주소·연락처·수신거부 문구 넣기")),IF($H725="REFERRAL","소개 후 첫 메시지만 OK: 소개자 이름 + 이름·주소·연락처·수신거부 문구. 두 번째부터는 다른 동의 근거 필요",IF(AND($H725="REPLY",$D725&lt;&gt;"QUOTE",$D725&lt;&gt;"CALLBACK"),"문의에 대한 답장이 아님: EXPRESS 또는 INQUIRY 동의 필요","OK: 이름·주소·연락처·수신거부 문구 넣기")))),"")))</f>
      </c>
      <c r="N725" s="40">
        <f>IF($H725="INQUIRY",IFERROR(EDATE(INDEX('견적 Quotes'!$B$3:$B$1002,MATCH($C725,'견적 Quotes'!$A$3:$A$1002,0)),'설정 Settings'!$C$20),""),"")</f>
      </c>
    </row>
    <row r="726" spans="12:14" x14ac:dyDescent="0.25">
      <c r="L726" s="42">
        <f>IF($A726="","",IF($G726="Y","완료 DONE",IF($F726="","날짜 없음",IF($F726&lt;'설정 Settings'!$C$15,"지남 OVERDUE",IF($F726='설정 Settings'!$C$15,"오늘 TODAY","예정 OPEN")))))</f>
      </c>
      <c r="M726" s="42">
        <f>IF($A726="","",IF($I726="Y","수신거부: 문자·이메일 보내지 않기",IF(OR($E726="SMS",$E726="EMAIL"),IF(OR($H726="",$H726="NONE"),"동의 근거 없음: 전화·방문만",IF($H726="INQUIRY",IF(N($N726)=0,"견적 요청일을 못 찾음: 관련 ID에 견적 ID(Q-…)를 넣었는지 확인",IF('설정 Settings'!$C$15&gt;N($N726),"문의 후 6개월 지남: 다른 동의 근거 필요","OK: 이름·주소·연락처·수신거부 문구 넣기")),IF($H726="REFERRAL","소개 후 첫 메시지만 OK: 소개자 이름 + 이름·주소·연락처·수신거부 문구. 두 번째부터는 다른 동의 근거 필요",IF(AND($H726="REPLY",$D726&lt;&gt;"QUOTE",$D726&lt;&gt;"CALLBACK"),"문의에 대한 답장이 아님: EXPRESS 또는 INQUIRY 동의 필요","OK: 이름·주소·연락처·수신거부 문구 넣기")))),"")))</f>
      </c>
      <c r="N726" s="40">
        <f>IF($H726="INQUIRY",IFERROR(EDATE(INDEX('견적 Quotes'!$B$3:$B$1002,MATCH($C726,'견적 Quotes'!$A$3:$A$1002,0)),'설정 Settings'!$C$20),""),"")</f>
      </c>
    </row>
    <row r="727" spans="12:14" x14ac:dyDescent="0.25">
      <c r="L727" s="42">
        <f>IF($A727="","",IF($G727="Y","완료 DONE",IF($F727="","날짜 없음",IF($F727&lt;'설정 Settings'!$C$15,"지남 OVERDUE",IF($F727='설정 Settings'!$C$15,"오늘 TODAY","예정 OPEN")))))</f>
      </c>
      <c r="M727" s="42">
        <f>IF($A727="","",IF($I727="Y","수신거부: 문자·이메일 보내지 않기",IF(OR($E727="SMS",$E727="EMAIL"),IF(OR($H727="",$H727="NONE"),"동의 근거 없음: 전화·방문만",IF($H727="INQUIRY",IF(N($N727)=0,"견적 요청일을 못 찾음: 관련 ID에 견적 ID(Q-…)를 넣었는지 확인",IF('설정 Settings'!$C$15&gt;N($N727),"문의 후 6개월 지남: 다른 동의 근거 필요","OK: 이름·주소·연락처·수신거부 문구 넣기")),IF($H727="REFERRAL","소개 후 첫 메시지만 OK: 소개자 이름 + 이름·주소·연락처·수신거부 문구. 두 번째부터는 다른 동의 근거 필요",IF(AND($H727="REPLY",$D727&lt;&gt;"QUOTE",$D727&lt;&gt;"CALLBACK"),"문의에 대한 답장이 아님: EXPRESS 또는 INQUIRY 동의 필요","OK: 이름·주소·연락처·수신거부 문구 넣기")))),"")))</f>
      </c>
      <c r="N727" s="40">
        <f>IF($H727="INQUIRY",IFERROR(EDATE(INDEX('견적 Quotes'!$B$3:$B$1002,MATCH($C727,'견적 Quotes'!$A$3:$A$1002,0)),'설정 Settings'!$C$20),""),"")</f>
      </c>
    </row>
    <row r="728" spans="12:14" x14ac:dyDescent="0.25">
      <c r="L728" s="42">
        <f>IF($A728="","",IF($G728="Y","완료 DONE",IF($F728="","날짜 없음",IF($F728&lt;'설정 Settings'!$C$15,"지남 OVERDUE",IF($F728='설정 Settings'!$C$15,"오늘 TODAY","예정 OPEN")))))</f>
      </c>
      <c r="M728" s="42">
        <f>IF($A728="","",IF($I728="Y","수신거부: 문자·이메일 보내지 않기",IF(OR($E728="SMS",$E728="EMAIL"),IF(OR($H728="",$H728="NONE"),"동의 근거 없음: 전화·방문만",IF($H728="INQUIRY",IF(N($N728)=0,"견적 요청일을 못 찾음: 관련 ID에 견적 ID(Q-…)를 넣었는지 확인",IF('설정 Settings'!$C$15&gt;N($N728),"문의 후 6개월 지남: 다른 동의 근거 필요","OK: 이름·주소·연락처·수신거부 문구 넣기")),IF($H728="REFERRAL","소개 후 첫 메시지만 OK: 소개자 이름 + 이름·주소·연락처·수신거부 문구. 두 번째부터는 다른 동의 근거 필요",IF(AND($H728="REPLY",$D728&lt;&gt;"QUOTE",$D728&lt;&gt;"CALLBACK"),"문의에 대한 답장이 아님: EXPRESS 또는 INQUIRY 동의 필요","OK: 이름·주소·연락처·수신거부 문구 넣기")))),"")))</f>
      </c>
      <c r="N728" s="40">
        <f>IF($H728="INQUIRY",IFERROR(EDATE(INDEX('견적 Quotes'!$B$3:$B$1002,MATCH($C728,'견적 Quotes'!$A$3:$A$1002,0)),'설정 Settings'!$C$20),""),"")</f>
      </c>
    </row>
    <row r="729" spans="12:14" x14ac:dyDescent="0.25">
      <c r="L729" s="42">
        <f>IF($A729="","",IF($G729="Y","완료 DONE",IF($F729="","날짜 없음",IF($F729&lt;'설정 Settings'!$C$15,"지남 OVERDUE",IF($F729='설정 Settings'!$C$15,"오늘 TODAY","예정 OPEN")))))</f>
      </c>
      <c r="M729" s="42">
        <f>IF($A729="","",IF($I729="Y","수신거부: 문자·이메일 보내지 않기",IF(OR($E729="SMS",$E729="EMAIL"),IF(OR($H729="",$H729="NONE"),"동의 근거 없음: 전화·방문만",IF($H729="INQUIRY",IF(N($N729)=0,"견적 요청일을 못 찾음: 관련 ID에 견적 ID(Q-…)를 넣었는지 확인",IF('설정 Settings'!$C$15&gt;N($N729),"문의 후 6개월 지남: 다른 동의 근거 필요","OK: 이름·주소·연락처·수신거부 문구 넣기")),IF($H729="REFERRAL","소개 후 첫 메시지만 OK: 소개자 이름 + 이름·주소·연락처·수신거부 문구. 두 번째부터는 다른 동의 근거 필요",IF(AND($H729="REPLY",$D729&lt;&gt;"QUOTE",$D729&lt;&gt;"CALLBACK"),"문의에 대한 답장이 아님: EXPRESS 또는 INQUIRY 동의 필요","OK: 이름·주소·연락처·수신거부 문구 넣기")))),"")))</f>
      </c>
      <c r="N729" s="40">
        <f>IF($H729="INQUIRY",IFERROR(EDATE(INDEX('견적 Quotes'!$B$3:$B$1002,MATCH($C729,'견적 Quotes'!$A$3:$A$1002,0)),'설정 Settings'!$C$20),""),"")</f>
      </c>
    </row>
    <row r="730" spans="12:14" x14ac:dyDescent="0.25">
      <c r="L730" s="42">
        <f>IF($A730="","",IF($G730="Y","완료 DONE",IF($F730="","날짜 없음",IF($F730&lt;'설정 Settings'!$C$15,"지남 OVERDUE",IF($F730='설정 Settings'!$C$15,"오늘 TODAY","예정 OPEN")))))</f>
      </c>
      <c r="M730" s="42">
        <f>IF($A730="","",IF($I730="Y","수신거부: 문자·이메일 보내지 않기",IF(OR($E730="SMS",$E730="EMAIL"),IF(OR($H730="",$H730="NONE"),"동의 근거 없음: 전화·방문만",IF($H730="INQUIRY",IF(N($N730)=0,"견적 요청일을 못 찾음: 관련 ID에 견적 ID(Q-…)를 넣었는지 확인",IF('설정 Settings'!$C$15&gt;N($N730),"문의 후 6개월 지남: 다른 동의 근거 필요","OK: 이름·주소·연락처·수신거부 문구 넣기")),IF($H730="REFERRAL","소개 후 첫 메시지만 OK: 소개자 이름 + 이름·주소·연락처·수신거부 문구. 두 번째부터는 다른 동의 근거 필요",IF(AND($H730="REPLY",$D730&lt;&gt;"QUOTE",$D730&lt;&gt;"CALLBACK"),"문의에 대한 답장이 아님: EXPRESS 또는 INQUIRY 동의 필요","OK: 이름·주소·연락처·수신거부 문구 넣기")))),"")))</f>
      </c>
      <c r="N730" s="40">
        <f>IF($H730="INQUIRY",IFERROR(EDATE(INDEX('견적 Quotes'!$B$3:$B$1002,MATCH($C730,'견적 Quotes'!$A$3:$A$1002,0)),'설정 Settings'!$C$20),""),"")</f>
      </c>
    </row>
    <row r="731" spans="12:14" x14ac:dyDescent="0.25">
      <c r="L731" s="42">
        <f>IF($A731="","",IF($G731="Y","완료 DONE",IF($F731="","날짜 없음",IF($F731&lt;'설정 Settings'!$C$15,"지남 OVERDUE",IF($F731='설정 Settings'!$C$15,"오늘 TODAY","예정 OPEN")))))</f>
      </c>
      <c r="M731" s="42">
        <f>IF($A731="","",IF($I731="Y","수신거부: 문자·이메일 보내지 않기",IF(OR($E731="SMS",$E731="EMAIL"),IF(OR($H731="",$H731="NONE"),"동의 근거 없음: 전화·방문만",IF($H731="INQUIRY",IF(N($N731)=0,"견적 요청일을 못 찾음: 관련 ID에 견적 ID(Q-…)를 넣었는지 확인",IF('설정 Settings'!$C$15&gt;N($N731),"문의 후 6개월 지남: 다른 동의 근거 필요","OK: 이름·주소·연락처·수신거부 문구 넣기")),IF($H731="REFERRAL","소개 후 첫 메시지만 OK: 소개자 이름 + 이름·주소·연락처·수신거부 문구. 두 번째부터는 다른 동의 근거 필요",IF(AND($H731="REPLY",$D731&lt;&gt;"QUOTE",$D731&lt;&gt;"CALLBACK"),"문의에 대한 답장이 아님: EXPRESS 또는 INQUIRY 동의 필요","OK: 이름·주소·연락처·수신거부 문구 넣기")))),"")))</f>
      </c>
      <c r="N731" s="40">
        <f>IF($H731="INQUIRY",IFERROR(EDATE(INDEX('견적 Quotes'!$B$3:$B$1002,MATCH($C731,'견적 Quotes'!$A$3:$A$1002,0)),'설정 Settings'!$C$20),""),"")</f>
      </c>
    </row>
    <row r="732" spans="12:14" x14ac:dyDescent="0.25">
      <c r="L732" s="42">
        <f>IF($A732="","",IF($G732="Y","완료 DONE",IF($F732="","날짜 없음",IF($F732&lt;'설정 Settings'!$C$15,"지남 OVERDUE",IF($F732='설정 Settings'!$C$15,"오늘 TODAY","예정 OPEN")))))</f>
      </c>
      <c r="M732" s="42">
        <f>IF($A732="","",IF($I732="Y","수신거부: 문자·이메일 보내지 않기",IF(OR($E732="SMS",$E732="EMAIL"),IF(OR($H732="",$H732="NONE"),"동의 근거 없음: 전화·방문만",IF($H732="INQUIRY",IF(N($N732)=0,"견적 요청일을 못 찾음: 관련 ID에 견적 ID(Q-…)를 넣었는지 확인",IF('설정 Settings'!$C$15&gt;N($N732),"문의 후 6개월 지남: 다른 동의 근거 필요","OK: 이름·주소·연락처·수신거부 문구 넣기")),IF($H732="REFERRAL","소개 후 첫 메시지만 OK: 소개자 이름 + 이름·주소·연락처·수신거부 문구. 두 번째부터는 다른 동의 근거 필요",IF(AND($H732="REPLY",$D732&lt;&gt;"QUOTE",$D732&lt;&gt;"CALLBACK"),"문의에 대한 답장이 아님: EXPRESS 또는 INQUIRY 동의 필요","OK: 이름·주소·연락처·수신거부 문구 넣기")))),"")))</f>
      </c>
      <c r="N732" s="40">
        <f>IF($H732="INQUIRY",IFERROR(EDATE(INDEX('견적 Quotes'!$B$3:$B$1002,MATCH($C732,'견적 Quotes'!$A$3:$A$1002,0)),'설정 Settings'!$C$20),""),"")</f>
      </c>
    </row>
    <row r="733" spans="12:14" x14ac:dyDescent="0.25">
      <c r="L733" s="42">
        <f>IF($A733="","",IF($G733="Y","완료 DONE",IF($F733="","날짜 없음",IF($F733&lt;'설정 Settings'!$C$15,"지남 OVERDUE",IF($F733='설정 Settings'!$C$15,"오늘 TODAY","예정 OPEN")))))</f>
      </c>
      <c r="M733" s="42">
        <f>IF($A733="","",IF($I733="Y","수신거부: 문자·이메일 보내지 않기",IF(OR($E733="SMS",$E733="EMAIL"),IF(OR($H733="",$H733="NONE"),"동의 근거 없음: 전화·방문만",IF($H733="INQUIRY",IF(N($N733)=0,"견적 요청일을 못 찾음: 관련 ID에 견적 ID(Q-…)를 넣었는지 확인",IF('설정 Settings'!$C$15&gt;N($N733),"문의 후 6개월 지남: 다른 동의 근거 필요","OK: 이름·주소·연락처·수신거부 문구 넣기")),IF($H733="REFERRAL","소개 후 첫 메시지만 OK: 소개자 이름 + 이름·주소·연락처·수신거부 문구. 두 번째부터는 다른 동의 근거 필요",IF(AND($H733="REPLY",$D733&lt;&gt;"QUOTE",$D733&lt;&gt;"CALLBACK"),"문의에 대한 답장이 아님: EXPRESS 또는 INQUIRY 동의 필요","OK: 이름·주소·연락처·수신거부 문구 넣기")))),"")))</f>
      </c>
      <c r="N733" s="40">
        <f>IF($H733="INQUIRY",IFERROR(EDATE(INDEX('견적 Quotes'!$B$3:$B$1002,MATCH($C733,'견적 Quotes'!$A$3:$A$1002,0)),'설정 Settings'!$C$20),""),"")</f>
      </c>
    </row>
    <row r="734" spans="12:14" x14ac:dyDescent="0.25">
      <c r="L734" s="42">
        <f>IF($A734="","",IF($G734="Y","완료 DONE",IF($F734="","날짜 없음",IF($F734&lt;'설정 Settings'!$C$15,"지남 OVERDUE",IF($F734='설정 Settings'!$C$15,"오늘 TODAY","예정 OPEN")))))</f>
      </c>
      <c r="M734" s="42">
        <f>IF($A734="","",IF($I734="Y","수신거부: 문자·이메일 보내지 않기",IF(OR($E734="SMS",$E734="EMAIL"),IF(OR($H734="",$H734="NONE"),"동의 근거 없음: 전화·방문만",IF($H734="INQUIRY",IF(N($N734)=0,"견적 요청일을 못 찾음: 관련 ID에 견적 ID(Q-…)를 넣었는지 확인",IF('설정 Settings'!$C$15&gt;N($N734),"문의 후 6개월 지남: 다른 동의 근거 필요","OK: 이름·주소·연락처·수신거부 문구 넣기")),IF($H734="REFERRAL","소개 후 첫 메시지만 OK: 소개자 이름 + 이름·주소·연락처·수신거부 문구. 두 번째부터는 다른 동의 근거 필요",IF(AND($H734="REPLY",$D734&lt;&gt;"QUOTE",$D734&lt;&gt;"CALLBACK"),"문의에 대한 답장이 아님: EXPRESS 또는 INQUIRY 동의 필요","OK: 이름·주소·연락처·수신거부 문구 넣기")))),"")))</f>
      </c>
      <c r="N734" s="40">
        <f>IF($H734="INQUIRY",IFERROR(EDATE(INDEX('견적 Quotes'!$B$3:$B$1002,MATCH($C734,'견적 Quotes'!$A$3:$A$1002,0)),'설정 Settings'!$C$20),""),"")</f>
      </c>
    </row>
    <row r="735" spans="12:14" x14ac:dyDescent="0.25">
      <c r="L735" s="42">
        <f>IF($A735="","",IF($G735="Y","완료 DONE",IF($F735="","날짜 없음",IF($F735&lt;'설정 Settings'!$C$15,"지남 OVERDUE",IF($F735='설정 Settings'!$C$15,"오늘 TODAY","예정 OPEN")))))</f>
      </c>
      <c r="M735" s="42">
        <f>IF($A735="","",IF($I735="Y","수신거부: 문자·이메일 보내지 않기",IF(OR($E735="SMS",$E735="EMAIL"),IF(OR($H735="",$H735="NONE"),"동의 근거 없음: 전화·방문만",IF($H735="INQUIRY",IF(N($N735)=0,"견적 요청일을 못 찾음: 관련 ID에 견적 ID(Q-…)를 넣었는지 확인",IF('설정 Settings'!$C$15&gt;N($N735),"문의 후 6개월 지남: 다른 동의 근거 필요","OK: 이름·주소·연락처·수신거부 문구 넣기")),IF($H735="REFERRAL","소개 후 첫 메시지만 OK: 소개자 이름 + 이름·주소·연락처·수신거부 문구. 두 번째부터는 다른 동의 근거 필요",IF(AND($H735="REPLY",$D735&lt;&gt;"QUOTE",$D735&lt;&gt;"CALLBACK"),"문의에 대한 답장이 아님: EXPRESS 또는 INQUIRY 동의 필요","OK: 이름·주소·연락처·수신거부 문구 넣기")))),"")))</f>
      </c>
      <c r="N735" s="40">
        <f>IF($H735="INQUIRY",IFERROR(EDATE(INDEX('견적 Quotes'!$B$3:$B$1002,MATCH($C735,'견적 Quotes'!$A$3:$A$1002,0)),'설정 Settings'!$C$20),""),"")</f>
      </c>
    </row>
    <row r="736" spans="12:14" x14ac:dyDescent="0.25">
      <c r="L736" s="42">
        <f>IF($A736="","",IF($G736="Y","완료 DONE",IF($F736="","날짜 없음",IF($F736&lt;'설정 Settings'!$C$15,"지남 OVERDUE",IF($F736='설정 Settings'!$C$15,"오늘 TODAY","예정 OPEN")))))</f>
      </c>
      <c r="M736" s="42">
        <f>IF($A736="","",IF($I736="Y","수신거부: 문자·이메일 보내지 않기",IF(OR($E736="SMS",$E736="EMAIL"),IF(OR($H736="",$H736="NONE"),"동의 근거 없음: 전화·방문만",IF($H736="INQUIRY",IF(N($N736)=0,"견적 요청일을 못 찾음: 관련 ID에 견적 ID(Q-…)를 넣었는지 확인",IF('설정 Settings'!$C$15&gt;N($N736),"문의 후 6개월 지남: 다른 동의 근거 필요","OK: 이름·주소·연락처·수신거부 문구 넣기")),IF($H736="REFERRAL","소개 후 첫 메시지만 OK: 소개자 이름 + 이름·주소·연락처·수신거부 문구. 두 번째부터는 다른 동의 근거 필요",IF(AND($H736="REPLY",$D736&lt;&gt;"QUOTE",$D736&lt;&gt;"CALLBACK"),"문의에 대한 답장이 아님: EXPRESS 또는 INQUIRY 동의 필요","OK: 이름·주소·연락처·수신거부 문구 넣기")))),"")))</f>
      </c>
      <c r="N736" s="40">
        <f>IF($H736="INQUIRY",IFERROR(EDATE(INDEX('견적 Quotes'!$B$3:$B$1002,MATCH($C736,'견적 Quotes'!$A$3:$A$1002,0)),'설정 Settings'!$C$20),""),"")</f>
      </c>
    </row>
    <row r="737" spans="12:14" x14ac:dyDescent="0.25">
      <c r="L737" s="42">
        <f>IF($A737="","",IF($G737="Y","완료 DONE",IF($F737="","날짜 없음",IF($F737&lt;'설정 Settings'!$C$15,"지남 OVERDUE",IF($F737='설정 Settings'!$C$15,"오늘 TODAY","예정 OPEN")))))</f>
      </c>
      <c r="M737" s="42">
        <f>IF($A737="","",IF($I737="Y","수신거부: 문자·이메일 보내지 않기",IF(OR($E737="SMS",$E737="EMAIL"),IF(OR($H737="",$H737="NONE"),"동의 근거 없음: 전화·방문만",IF($H737="INQUIRY",IF(N($N737)=0,"견적 요청일을 못 찾음: 관련 ID에 견적 ID(Q-…)를 넣었는지 확인",IF('설정 Settings'!$C$15&gt;N($N737),"문의 후 6개월 지남: 다른 동의 근거 필요","OK: 이름·주소·연락처·수신거부 문구 넣기")),IF($H737="REFERRAL","소개 후 첫 메시지만 OK: 소개자 이름 + 이름·주소·연락처·수신거부 문구. 두 번째부터는 다른 동의 근거 필요",IF(AND($H737="REPLY",$D737&lt;&gt;"QUOTE",$D737&lt;&gt;"CALLBACK"),"문의에 대한 답장이 아님: EXPRESS 또는 INQUIRY 동의 필요","OK: 이름·주소·연락처·수신거부 문구 넣기")))),"")))</f>
      </c>
      <c r="N737" s="40">
        <f>IF($H737="INQUIRY",IFERROR(EDATE(INDEX('견적 Quotes'!$B$3:$B$1002,MATCH($C737,'견적 Quotes'!$A$3:$A$1002,0)),'설정 Settings'!$C$20),""),"")</f>
      </c>
    </row>
    <row r="738" spans="12:14" x14ac:dyDescent="0.25">
      <c r="L738" s="42">
        <f>IF($A738="","",IF($G738="Y","완료 DONE",IF($F738="","날짜 없음",IF($F738&lt;'설정 Settings'!$C$15,"지남 OVERDUE",IF($F738='설정 Settings'!$C$15,"오늘 TODAY","예정 OPEN")))))</f>
      </c>
      <c r="M738" s="42">
        <f>IF($A738="","",IF($I738="Y","수신거부: 문자·이메일 보내지 않기",IF(OR($E738="SMS",$E738="EMAIL"),IF(OR($H738="",$H738="NONE"),"동의 근거 없음: 전화·방문만",IF($H738="INQUIRY",IF(N($N738)=0,"견적 요청일을 못 찾음: 관련 ID에 견적 ID(Q-…)를 넣었는지 확인",IF('설정 Settings'!$C$15&gt;N($N738),"문의 후 6개월 지남: 다른 동의 근거 필요","OK: 이름·주소·연락처·수신거부 문구 넣기")),IF($H738="REFERRAL","소개 후 첫 메시지만 OK: 소개자 이름 + 이름·주소·연락처·수신거부 문구. 두 번째부터는 다른 동의 근거 필요",IF(AND($H738="REPLY",$D738&lt;&gt;"QUOTE",$D738&lt;&gt;"CALLBACK"),"문의에 대한 답장이 아님: EXPRESS 또는 INQUIRY 동의 필요","OK: 이름·주소·연락처·수신거부 문구 넣기")))),"")))</f>
      </c>
      <c r="N738" s="40">
        <f>IF($H738="INQUIRY",IFERROR(EDATE(INDEX('견적 Quotes'!$B$3:$B$1002,MATCH($C738,'견적 Quotes'!$A$3:$A$1002,0)),'설정 Settings'!$C$20),""),"")</f>
      </c>
    </row>
    <row r="739" spans="12:14" x14ac:dyDescent="0.25">
      <c r="L739" s="42">
        <f>IF($A739="","",IF($G739="Y","완료 DONE",IF($F739="","날짜 없음",IF($F739&lt;'설정 Settings'!$C$15,"지남 OVERDUE",IF($F739='설정 Settings'!$C$15,"오늘 TODAY","예정 OPEN")))))</f>
      </c>
      <c r="M739" s="42">
        <f>IF($A739="","",IF($I739="Y","수신거부: 문자·이메일 보내지 않기",IF(OR($E739="SMS",$E739="EMAIL"),IF(OR($H739="",$H739="NONE"),"동의 근거 없음: 전화·방문만",IF($H739="INQUIRY",IF(N($N739)=0,"견적 요청일을 못 찾음: 관련 ID에 견적 ID(Q-…)를 넣었는지 확인",IF('설정 Settings'!$C$15&gt;N($N739),"문의 후 6개월 지남: 다른 동의 근거 필요","OK: 이름·주소·연락처·수신거부 문구 넣기")),IF($H739="REFERRAL","소개 후 첫 메시지만 OK: 소개자 이름 + 이름·주소·연락처·수신거부 문구. 두 번째부터는 다른 동의 근거 필요",IF(AND($H739="REPLY",$D739&lt;&gt;"QUOTE",$D739&lt;&gt;"CALLBACK"),"문의에 대한 답장이 아님: EXPRESS 또는 INQUIRY 동의 필요","OK: 이름·주소·연락처·수신거부 문구 넣기")))),"")))</f>
      </c>
      <c r="N739" s="40">
        <f>IF($H739="INQUIRY",IFERROR(EDATE(INDEX('견적 Quotes'!$B$3:$B$1002,MATCH($C739,'견적 Quotes'!$A$3:$A$1002,0)),'설정 Settings'!$C$20),""),"")</f>
      </c>
    </row>
    <row r="740" spans="12:14" x14ac:dyDescent="0.25">
      <c r="L740" s="42">
        <f>IF($A740="","",IF($G740="Y","완료 DONE",IF($F740="","날짜 없음",IF($F740&lt;'설정 Settings'!$C$15,"지남 OVERDUE",IF($F740='설정 Settings'!$C$15,"오늘 TODAY","예정 OPEN")))))</f>
      </c>
      <c r="M740" s="42">
        <f>IF($A740="","",IF($I740="Y","수신거부: 문자·이메일 보내지 않기",IF(OR($E740="SMS",$E740="EMAIL"),IF(OR($H740="",$H740="NONE"),"동의 근거 없음: 전화·방문만",IF($H740="INQUIRY",IF(N($N740)=0,"견적 요청일을 못 찾음: 관련 ID에 견적 ID(Q-…)를 넣었는지 확인",IF('설정 Settings'!$C$15&gt;N($N740),"문의 후 6개월 지남: 다른 동의 근거 필요","OK: 이름·주소·연락처·수신거부 문구 넣기")),IF($H740="REFERRAL","소개 후 첫 메시지만 OK: 소개자 이름 + 이름·주소·연락처·수신거부 문구. 두 번째부터는 다른 동의 근거 필요",IF(AND($H740="REPLY",$D740&lt;&gt;"QUOTE",$D740&lt;&gt;"CALLBACK"),"문의에 대한 답장이 아님: EXPRESS 또는 INQUIRY 동의 필요","OK: 이름·주소·연락처·수신거부 문구 넣기")))),"")))</f>
      </c>
      <c r="N740" s="40">
        <f>IF($H740="INQUIRY",IFERROR(EDATE(INDEX('견적 Quotes'!$B$3:$B$1002,MATCH($C740,'견적 Quotes'!$A$3:$A$1002,0)),'설정 Settings'!$C$20),""),"")</f>
      </c>
    </row>
    <row r="741" spans="12:14" x14ac:dyDescent="0.25">
      <c r="L741" s="42">
        <f>IF($A741="","",IF($G741="Y","완료 DONE",IF($F741="","날짜 없음",IF($F741&lt;'설정 Settings'!$C$15,"지남 OVERDUE",IF($F741='설정 Settings'!$C$15,"오늘 TODAY","예정 OPEN")))))</f>
      </c>
      <c r="M741" s="42">
        <f>IF($A741="","",IF($I741="Y","수신거부: 문자·이메일 보내지 않기",IF(OR($E741="SMS",$E741="EMAIL"),IF(OR($H741="",$H741="NONE"),"동의 근거 없음: 전화·방문만",IF($H741="INQUIRY",IF(N($N741)=0,"견적 요청일을 못 찾음: 관련 ID에 견적 ID(Q-…)를 넣었는지 확인",IF('설정 Settings'!$C$15&gt;N($N741),"문의 후 6개월 지남: 다른 동의 근거 필요","OK: 이름·주소·연락처·수신거부 문구 넣기")),IF($H741="REFERRAL","소개 후 첫 메시지만 OK: 소개자 이름 + 이름·주소·연락처·수신거부 문구. 두 번째부터는 다른 동의 근거 필요",IF(AND($H741="REPLY",$D741&lt;&gt;"QUOTE",$D741&lt;&gt;"CALLBACK"),"문의에 대한 답장이 아님: EXPRESS 또는 INQUIRY 동의 필요","OK: 이름·주소·연락처·수신거부 문구 넣기")))),"")))</f>
      </c>
      <c r="N741" s="40">
        <f>IF($H741="INQUIRY",IFERROR(EDATE(INDEX('견적 Quotes'!$B$3:$B$1002,MATCH($C741,'견적 Quotes'!$A$3:$A$1002,0)),'설정 Settings'!$C$20),""),"")</f>
      </c>
    </row>
    <row r="742" spans="12:14" x14ac:dyDescent="0.25">
      <c r="L742" s="42">
        <f>IF($A742="","",IF($G742="Y","완료 DONE",IF($F742="","날짜 없음",IF($F742&lt;'설정 Settings'!$C$15,"지남 OVERDUE",IF($F742='설정 Settings'!$C$15,"오늘 TODAY","예정 OPEN")))))</f>
      </c>
      <c r="M742" s="42">
        <f>IF($A742="","",IF($I742="Y","수신거부: 문자·이메일 보내지 않기",IF(OR($E742="SMS",$E742="EMAIL"),IF(OR($H742="",$H742="NONE"),"동의 근거 없음: 전화·방문만",IF($H742="INQUIRY",IF(N($N742)=0,"견적 요청일을 못 찾음: 관련 ID에 견적 ID(Q-…)를 넣었는지 확인",IF('설정 Settings'!$C$15&gt;N($N742),"문의 후 6개월 지남: 다른 동의 근거 필요","OK: 이름·주소·연락처·수신거부 문구 넣기")),IF($H742="REFERRAL","소개 후 첫 메시지만 OK: 소개자 이름 + 이름·주소·연락처·수신거부 문구. 두 번째부터는 다른 동의 근거 필요",IF(AND($H742="REPLY",$D742&lt;&gt;"QUOTE",$D742&lt;&gt;"CALLBACK"),"문의에 대한 답장이 아님: EXPRESS 또는 INQUIRY 동의 필요","OK: 이름·주소·연락처·수신거부 문구 넣기")))),"")))</f>
      </c>
      <c r="N742" s="40">
        <f>IF($H742="INQUIRY",IFERROR(EDATE(INDEX('견적 Quotes'!$B$3:$B$1002,MATCH($C742,'견적 Quotes'!$A$3:$A$1002,0)),'설정 Settings'!$C$20),""),"")</f>
      </c>
    </row>
    <row r="743" spans="12:14" x14ac:dyDescent="0.25">
      <c r="L743" s="42">
        <f>IF($A743="","",IF($G743="Y","완료 DONE",IF($F743="","날짜 없음",IF($F743&lt;'설정 Settings'!$C$15,"지남 OVERDUE",IF($F743='설정 Settings'!$C$15,"오늘 TODAY","예정 OPEN")))))</f>
      </c>
      <c r="M743" s="42">
        <f>IF($A743="","",IF($I743="Y","수신거부: 문자·이메일 보내지 않기",IF(OR($E743="SMS",$E743="EMAIL"),IF(OR($H743="",$H743="NONE"),"동의 근거 없음: 전화·방문만",IF($H743="INQUIRY",IF(N($N743)=0,"견적 요청일을 못 찾음: 관련 ID에 견적 ID(Q-…)를 넣었는지 확인",IF('설정 Settings'!$C$15&gt;N($N743),"문의 후 6개월 지남: 다른 동의 근거 필요","OK: 이름·주소·연락처·수신거부 문구 넣기")),IF($H743="REFERRAL","소개 후 첫 메시지만 OK: 소개자 이름 + 이름·주소·연락처·수신거부 문구. 두 번째부터는 다른 동의 근거 필요",IF(AND($H743="REPLY",$D743&lt;&gt;"QUOTE",$D743&lt;&gt;"CALLBACK"),"문의에 대한 답장이 아님: EXPRESS 또는 INQUIRY 동의 필요","OK: 이름·주소·연락처·수신거부 문구 넣기")))),"")))</f>
      </c>
      <c r="N743" s="40">
        <f>IF($H743="INQUIRY",IFERROR(EDATE(INDEX('견적 Quotes'!$B$3:$B$1002,MATCH($C743,'견적 Quotes'!$A$3:$A$1002,0)),'설정 Settings'!$C$20),""),"")</f>
      </c>
    </row>
    <row r="744" spans="12:14" x14ac:dyDescent="0.25">
      <c r="L744" s="42">
        <f>IF($A744="","",IF($G744="Y","완료 DONE",IF($F744="","날짜 없음",IF($F744&lt;'설정 Settings'!$C$15,"지남 OVERDUE",IF($F744='설정 Settings'!$C$15,"오늘 TODAY","예정 OPEN")))))</f>
      </c>
      <c r="M744" s="42">
        <f>IF($A744="","",IF($I744="Y","수신거부: 문자·이메일 보내지 않기",IF(OR($E744="SMS",$E744="EMAIL"),IF(OR($H744="",$H744="NONE"),"동의 근거 없음: 전화·방문만",IF($H744="INQUIRY",IF(N($N744)=0,"견적 요청일을 못 찾음: 관련 ID에 견적 ID(Q-…)를 넣었는지 확인",IF('설정 Settings'!$C$15&gt;N($N744),"문의 후 6개월 지남: 다른 동의 근거 필요","OK: 이름·주소·연락처·수신거부 문구 넣기")),IF($H744="REFERRAL","소개 후 첫 메시지만 OK: 소개자 이름 + 이름·주소·연락처·수신거부 문구. 두 번째부터는 다른 동의 근거 필요",IF(AND($H744="REPLY",$D744&lt;&gt;"QUOTE",$D744&lt;&gt;"CALLBACK"),"문의에 대한 답장이 아님: EXPRESS 또는 INQUIRY 동의 필요","OK: 이름·주소·연락처·수신거부 문구 넣기")))),"")))</f>
      </c>
      <c r="N744" s="40">
        <f>IF($H744="INQUIRY",IFERROR(EDATE(INDEX('견적 Quotes'!$B$3:$B$1002,MATCH($C744,'견적 Quotes'!$A$3:$A$1002,0)),'설정 Settings'!$C$20),""),"")</f>
      </c>
    </row>
    <row r="745" spans="12:14" x14ac:dyDescent="0.25">
      <c r="L745" s="42">
        <f>IF($A745="","",IF($G745="Y","완료 DONE",IF($F745="","날짜 없음",IF($F745&lt;'설정 Settings'!$C$15,"지남 OVERDUE",IF($F745='설정 Settings'!$C$15,"오늘 TODAY","예정 OPEN")))))</f>
      </c>
      <c r="M745" s="42">
        <f>IF($A745="","",IF($I745="Y","수신거부: 문자·이메일 보내지 않기",IF(OR($E745="SMS",$E745="EMAIL"),IF(OR($H745="",$H745="NONE"),"동의 근거 없음: 전화·방문만",IF($H745="INQUIRY",IF(N($N745)=0,"견적 요청일을 못 찾음: 관련 ID에 견적 ID(Q-…)를 넣었는지 확인",IF('설정 Settings'!$C$15&gt;N($N745),"문의 후 6개월 지남: 다른 동의 근거 필요","OK: 이름·주소·연락처·수신거부 문구 넣기")),IF($H745="REFERRAL","소개 후 첫 메시지만 OK: 소개자 이름 + 이름·주소·연락처·수신거부 문구. 두 번째부터는 다른 동의 근거 필요",IF(AND($H745="REPLY",$D745&lt;&gt;"QUOTE",$D745&lt;&gt;"CALLBACK"),"문의에 대한 답장이 아님: EXPRESS 또는 INQUIRY 동의 필요","OK: 이름·주소·연락처·수신거부 문구 넣기")))),"")))</f>
      </c>
      <c r="N745" s="40">
        <f>IF($H745="INQUIRY",IFERROR(EDATE(INDEX('견적 Quotes'!$B$3:$B$1002,MATCH($C745,'견적 Quotes'!$A$3:$A$1002,0)),'설정 Settings'!$C$20),""),"")</f>
      </c>
    </row>
    <row r="746" spans="12:14" x14ac:dyDescent="0.25">
      <c r="L746" s="42">
        <f>IF($A746="","",IF($G746="Y","완료 DONE",IF($F746="","날짜 없음",IF($F746&lt;'설정 Settings'!$C$15,"지남 OVERDUE",IF($F746='설정 Settings'!$C$15,"오늘 TODAY","예정 OPEN")))))</f>
      </c>
      <c r="M746" s="42">
        <f>IF($A746="","",IF($I746="Y","수신거부: 문자·이메일 보내지 않기",IF(OR($E746="SMS",$E746="EMAIL"),IF(OR($H746="",$H746="NONE"),"동의 근거 없음: 전화·방문만",IF($H746="INQUIRY",IF(N($N746)=0,"견적 요청일을 못 찾음: 관련 ID에 견적 ID(Q-…)를 넣었는지 확인",IF('설정 Settings'!$C$15&gt;N($N746),"문의 후 6개월 지남: 다른 동의 근거 필요","OK: 이름·주소·연락처·수신거부 문구 넣기")),IF($H746="REFERRAL","소개 후 첫 메시지만 OK: 소개자 이름 + 이름·주소·연락처·수신거부 문구. 두 번째부터는 다른 동의 근거 필요",IF(AND($H746="REPLY",$D746&lt;&gt;"QUOTE",$D746&lt;&gt;"CALLBACK"),"문의에 대한 답장이 아님: EXPRESS 또는 INQUIRY 동의 필요","OK: 이름·주소·연락처·수신거부 문구 넣기")))),"")))</f>
      </c>
      <c r="N746" s="40">
        <f>IF($H746="INQUIRY",IFERROR(EDATE(INDEX('견적 Quotes'!$B$3:$B$1002,MATCH($C746,'견적 Quotes'!$A$3:$A$1002,0)),'설정 Settings'!$C$20),""),"")</f>
      </c>
    </row>
    <row r="747" spans="12:14" x14ac:dyDescent="0.25">
      <c r="L747" s="42">
        <f>IF($A747="","",IF($G747="Y","완료 DONE",IF($F747="","날짜 없음",IF($F747&lt;'설정 Settings'!$C$15,"지남 OVERDUE",IF($F747='설정 Settings'!$C$15,"오늘 TODAY","예정 OPEN")))))</f>
      </c>
      <c r="M747" s="42">
        <f>IF($A747="","",IF($I747="Y","수신거부: 문자·이메일 보내지 않기",IF(OR($E747="SMS",$E747="EMAIL"),IF(OR($H747="",$H747="NONE"),"동의 근거 없음: 전화·방문만",IF($H747="INQUIRY",IF(N($N747)=0,"견적 요청일을 못 찾음: 관련 ID에 견적 ID(Q-…)를 넣었는지 확인",IF('설정 Settings'!$C$15&gt;N($N747),"문의 후 6개월 지남: 다른 동의 근거 필요","OK: 이름·주소·연락처·수신거부 문구 넣기")),IF($H747="REFERRAL","소개 후 첫 메시지만 OK: 소개자 이름 + 이름·주소·연락처·수신거부 문구. 두 번째부터는 다른 동의 근거 필요",IF(AND($H747="REPLY",$D747&lt;&gt;"QUOTE",$D747&lt;&gt;"CALLBACK"),"문의에 대한 답장이 아님: EXPRESS 또는 INQUIRY 동의 필요","OK: 이름·주소·연락처·수신거부 문구 넣기")))),"")))</f>
      </c>
      <c r="N747" s="40">
        <f>IF($H747="INQUIRY",IFERROR(EDATE(INDEX('견적 Quotes'!$B$3:$B$1002,MATCH($C747,'견적 Quotes'!$A$3:$A$1002,0)),'설정 Settings'!$C$20),""),"")</f>
      </c>
    </row>
    <row r="748" spans="12:14" x14ac:dyDescent="0.25">
      <c r="L748" s="42">
        <f>IF($A748="","",IF($G748="Y","완료 DONE",IF($F748="","날짜 없음",IF($F748&lt;'설정 Settings'!$C$15,"지남 OVERDUE",IF($F748='설정 Settings'!$C$15,"오늘 TODAY","예정 OPEN")))))</f>
      </c>
      <c r="M748" s="42">
        <f>IF($A748="","",IF($I748="Y","수신거부: 문자·이메일 보내지 않기",IF(OR($E748="SMS",$E748="EMAIL"),IF(OR($H748="",$H748="NONE"),"동의 근거 없음: 전화·방문만",IF($H748="INQUIRY",IF(N($N748)=0,"견적 요청일을 못 찾음: 관련 ID에 견적 ID(Q-…)를 넣었는지 확인",IF('설정 Settings'!$C$15&gt;N($N748),"문의 후 6개월 지남: 다른 동의 근거 필요","OK: 이름·주소·연락처·수신거부 문구 넣기")),IF($H748="REFERRAL","소개 후 첫 메시지만 OK: 소개자 이름 + 이름·주소·연락처·수신거부 문구. 두 번째부터는 다른 동의 근거 필요",IF(AND($H748="REPLY",$D748&lt;&gt;"QUOTE",$D748&lt;&gt;"CALLBACK"),"문의에 대한 답장이 아님: EXPRESS 또는 INQUIRY 동의 필요","OK: 이름·주소·연락처·수신거부 문구 넣기")))),"")))</f>
      </c>
      <c r="N748" s="40">
        <f>IF($H748="INQUIRY",IFERROR(EDATE(INDEX('견적 Quotes'!$B$3:$B$1002,MATCH($C748,'견적 Quotes'!$A$3:$A$1002,0)),'설정 Settings'!$C$20),""),"")</f>
      </c>
    </row>
    <row r="749" spans="12:14" x14ac:dyDescent="0.25">
      <c r="L749" s="42">
        <f>IF($A749="","",IF($G749="Y","완료 DONE",IF($F749="","날짜 없음",IF($F749&lt;'설정 Settings'!$C$15,"지남 OVERDUE",IF($F749='설정 Settings'!$C$15,"오늘 TODAY","예정 OPEN")))))</f>
      </c>
      <c r="M749" s="42">
        <f>IF($A749="","",IF($I749="Y","수신거부: 문자·이메일 보내지 않기",IF(OR($E749="SMS",$E749="EMAIL"),IF(OR($H749="",$H749="NONE"),"동의 근거 없음: 전화·방문만",IF($H749="INQUIRY",IF(N($N749)=0,"견적 요청일을 못 찾음: 관련 ID에 견적 ID(Q-…)를 넣었는지 확인",IF('설정 Settings'!$C$15&gt;N($N749),"문의 후 6개월 지남: 다른 동의 근거 필요","OK: 이름·주소·연락처·수신거부 문구 넣기")),IF($H749="REFERRAL","소개 후 첫 메시지만 OK: 소개자 이름 + 이름·주소·연락처·수신거부 문구. 두 번째부터는 다른 동의 근거 필요",IF(AND($H749="REPLY",$D749&lt;&gt;"QUOTE",$D749&lt;&gt;"CALLBACK"),"문의에 대한 답장이 아님: EXPRESS 또는 INQUIRY 동의 필요","OK: 이름·주소·연락처·수신거부 문구 넣기")))),"")))</f>
      </c>
      <c r="N749" s="40">
        <f>IF($H749="INQUIRY",IFERROR(EDATE(INDEX('견적 Quotes'!$B$3:$B$1002,MATCH($C749,'견적 Quotes'!$A$3:$A$1002,0)),'설정 Settings'!$C$20),""),"")</f>
      </c>
    </row>
    <row r="750" spans="12:14" x14ac:dyDescent="0.25">
      <c r="L750" s="42">
        <f>IF($A750="","",IF($G750="Y","완료 DONE",IF($F750="","날짜 없음",IF($F750&lt;'설정 Settings'!$C$15,"지남 OVERDUE",IF($F750='설정 Settings'!$C$15,"오늘 TODAY","예정 OPEN")))))</f>
      </c>
      <c r="M750" s="42">
        <f>IF($A750="","",IF($I750="Y","수신거부: 문자·이메일 보내지 않기",IF(OR($E750="SMS",$E750="EMAIL"),IF(OR($H750="",$H750="NONE"),"동의 근거 없음: 전화·방문만",IF($H750="INQUIRY",IF(N($N750)=0,"견적 요청일을 못 찾음: 관련 ID에 견적 ID(Q-…)를 넣었는지 확인",IF('설정 Settings'!$C$15&gt;N($N750),"문의 후 6개월 지남: 다른 동의 근거 필요","OK: 이름·주소·연락처·수신거부 문구 넣기")),IF($H750="REFERRAL","소개 후 첫 메시지만 OK: 소개자 이름 + 이름·주소·연락처·수신거부 문구. 두 번째부터는 다른 동의 근거 필요",IF(AND($H750="REPLY",$D750&lt;&gt;"QUOTE",$D750&lt;&gt;"CALLBACK"),"문의에 대한 답장이 아님: EXPRESS 또는 INQUIRY 동의 필요","OK: 이름·주소·연락처·수신거부 문구 넣기")))),"")))</f>
      </c>
      <c r="N750" s="40">
        <f>IF($H750="INQUIRY",IFERROR(EDATE(INDEX('견적 Quotes'!$B$3:$B$1002,MATCH($C750,'견적 Quotes'!$A$3:$A$1002,0)),'설정 Settings'!$C$20),""),"")</f>
      </c>
    </row>
    <row r="751" spans="12:14" x14ac:dyDescent="0.25">
      <c r="L751" s="42">
        <f>IF($A751="","",IF($G751="Y","완료 DONE",IF($F751="","날짜 없음",IF($F751&lt;'설정 Settings'!$C$15,"지남 OVERDUE",IF($F751='설정 Settings'!$C$15,"오늘 TODAY","예정 OPEN")))))</f>
      </c>
      <c r="M751" s="42">
        <f>IF($A751="","",IF($I751="Y","수신거부: 문자·이메일 보내지 않기",IF(OR($E751="SMS",$E751="EMAIL"),IF(OR($H751="",$H751="NONE"),"동의 근거 없음: 전화·방문만",IF($H751="INQUIRY",IF(N($N751)=0,"견적 요청일을 못 찾음: 관련 ID에 견적 ID(Q-…)를 넣었는지 확인",IF('설정 Settings'!$C$15&gt;N($N751),"문의 후 6개월 지남: 다른 동의 근거 필요","OK: 이름·주소·연락처·수신거부 문구 넣기")),IF($H751="REFERRAL","소개 후 첫 메시지만 OK: 소개자 이름 + 이름·주소·연락처·수신거부 문구. 두 번째부터는 다른 동의 근거 필요",IF(AND($H751="REPLY",$D751&lt;&gt;"QUOTE",$D751&lt;&gt;"CALLBACK"),"문의에 대한 답장이 아님: EXPRESS 또는 INQUIRY 동의 필요","OK: 이름·주소·연락처·수신거부 문구 넣기")))),"")))</f>
      </c>
      <c r="N751" s="40">
        <f>IF($H751="INQUIRY",IFERROR(EDATE(INDEX('견적 Quotes'!$B$3:$B$1002,MATCH($C751,'견적 Quotes'!$A$3:$A$1002,0)),'설정 Settings'!$C$20),""),"")</f>
      </c>
    </row>
    <row r="752" spans="12:14" x14ac:dyDescent="0.25">
      <c r="L752" s="42">
        <f>IF($A752="","",IF($G752="Y","완료 DONE",IF($F752="","날짜 없음",IF($F752&lt;'설정 Settings'!$C$15,"지남 OVERDUE",IF($F752='설정 Settings'!$C$15,"오늘 TODAY","예정 OPEN")))))</f>
      </c>
      <c r="M752" s="42">
        <f>IF($A752="","",IF($I752="Y","수신거부: 문자·이메일 보내지 않기",IF(OR($E752="SMS",$E752="EMAIL"),IF(OR($H752="",$H752="NONE"),"동의 근거 없음: 전화·방문만",IF($H752="INQUIRY",IF(N($N752)=0,"견적 요청일을 못 찾음: 관련 ID에 견적 ID(Q-…)를 넣었는지 확인",IF('설정 Settings'!$C$15&gt;N($N752),"문의 후 6개월 지남: 다른 동의 근거 필요","OK: 이름·주소·연락처·수신거부 문구 넣기")),IF($H752="REFERRAL","소개 후 첫 메시지만 OK: 소개자 이름 + 이름·주소·연락처·수신거부 문구. 두 번째부터는 다른 동의 근거 필요",IF(AND($H752="REPLY",$D752&lt;&gt;"QUOTE",$D752&lt;&gt;"CALLBACK"),"문의에 대한 답장이 아님: EXPRESS 또는 INQUIRY 동의 필요","OK: 이름·주소·연락처·수신거부 문구 넣기")))),"")))</f>
      </c>
      <c r="N752" s="40">
        <f>IF($H752="INQUIRY",IFERROR(EDATE(INDEX('견적 Quotes'!$B$3:$B$1002,MATCH($C752,'견적 Quotes'!$A$3:$A$1002,0)),'설정 Settings'!$C$20),""),"")</f>
      </c>
    </row>
    <row r="753" spans="12:14" x14ac:dyDescent="0.25">
      <c r="L753" s="42">
        <f>IF($A753="","",IF($G753="Y","완료 DONE",IF($F753="","날짜 없음",IF($F753&lt;'설정 Settings'!$C$15,"지남 OVERDUE",IF($F753='설정 Settings'!$C$15,"오늘 TODAY","예정 OPEN")))))</f>
      </c>
      <c r="M753" s="42">
        <f>IF($A753="","",IF($I753="Y","수신거부: 문자·이메일 보내지 않기",IF(OR($E753="SMS",$E753="EMAIL"),IF(OR($H753="",$H753="NONE"),"동의 근거 없음: 전화·방문만",IF($H753="INQUIRY",IF(N($N753)=0,"견적 요청일을 못 찾음: 관련 ID에 견적 ID(Q-…)를 넣었는지 확인",IF('설정 Settings'!$C$15&gt;N($N753),"문의 후 6개월 지남: 다른 동의 근거 필요","OK: 이름·주소·연락처·수신거부 문구 넣기")),IF($H753="REFERRAL","소개 후 첫 메시지만 OK: 소개자 이름 + 이름·주소·연락처·수신거부 문구. 두 번째부터는 다른 동의 근거 필요",IF(AND($H753="REPLY",$D753&lt;&gt;"QUOTE",$D753&lt;&gt;"CALLBACK"),"문의에 대한 답장이 아님: EXPRESS 또는 INQUIRY 동의 필요","OK: 이름·주소·연락처·수신거부 문구 넣기")))),"")))</f>
      </c>
      <c r="N753" s="40">
        <f>IF($H753="INQUIRY",IFERROR(EDATE(INDEX('견적 Quotes'!$B$3:$B$1002,MATCH($C753,'견적 Quotes'!$A$3:$A$1002,0)),'설정 Settings'!$C$20),""),"")</f>
      </c>
    </row>
    <row r="754" spans="12:14" x14ac:dyDescent="0.25">
      <c r="L754" s="42">
        <f>IF($A754="","",IF($G754="Y","완료 DONE",IF($F754="","날짜 없음",IF($F754&lt;'설정 Settings'!$C$15,"지남 OVERDUE",IF($F754='설정 Settings'!$C$15,"오늘 TODAY","예정 OPEN")))))</f>
      </c>
      <c r="M754" s="42">
        <f>IF($A754="","",IF($I754="Y","수신거부: 문자·이메일 보내지 않기",IF(OR($E754="SMS",$E754="EMAIL"),IF(OR($H754="",$H754="NONE"),"동의 근거 없음: 전화·방문만",IF($H754="INQUIRY",IF(N($N754)=0,"견적 요청일을 못 찾음: 관련 ID에 견적 ID(Q-…)를 넣었는지 확인",IF('설정 Settings'!$C$15&gt;N($N754),"문의 후 6개월 지남: 다른 동의 근거 필요","OK: 이름·주소·연락처·수신거부 문구 넣기")),IF($H754="REFERRAL","소개 후 첫 메시지만 OK: 소개자 이름 + 이름·주소·연락처·수신거부 문구. 두 번째부터는 다른 동의 근거 필요",IF(AND($H754="REPLY",$D754&lt;&gt;"QUOTE",$D754&lt;&gt;"CALLBACK"),"문의에 대한 답장이 아님: EXPRESS 또는 INQUIRY 동의 필요","OK: 이름·주소·연락처·수신거부 문구 넣기")))),"")))</f>
      </c>
      <c r="N754" s="40">
        <f>IF($H754="INQUIRY",IFERROR(EDATE(INDEX('견적 Quotes'!$B$3:$B$1002,MATCH($C754,'견적 Quotes'!$A$3:$A$1002,0)),'설정 Settings'!$C$20),""),"")</f>
      </c>
    </row>
    <row r="755" spans="12:14" x14ac:dyDescent="0.25">
      <c r="L755" s="42">
        <f>IF($A755="","",IF($G755="Y","완료 DONE",IF($F755="","날짜 없음",IF($F755&lt;'설정 Settings'!$C$15,"지남 OVERDUE",IF($F755='설정 Settings'!$C$15,"오늘 TODAY","예정 OPEN")))))</f>
      </c>
      <c r="M755" s="42">
        <f>IF($A755="","",IF($I755="Y","수신거부: 문자·이메일 보내지 않기",IF(OR($E755="SMS",$E755="EMAIL"),IF(OR($H755="",$H755="NONE"),"동의 근거 없음: 전화·방문만",IF($H755="INQUIRY",IF(N($N755)=0,"견적 요청일을 못 찾음: 관련 ID에 견적 ID(Q-…)를 넣었는지 확인",IF('설정 Settings'!$C$15&gt;N($N755),"문의 후 6개월 지남: 다른 동의 근거 필요","OK: 이름·주소·연락처·수신거부 문구 넣기")),IF($H755="REFERRAL","소개 후 첫 메시지만 OK: 소개자 이름 + 이름·주소·연락처·수신거부 문구. 두 번째부터는 다른 동의 근거 필요",IF(AND($H755="REPLY",$D755&lt;&gt;"QUOTE",$D755&lt;&gt;"CALLBACK"),"문의에 대한 답장이 아님: EXPRESS 또는 INQUIRY 동의 필요","OK: 이름·주소·연락처·수신거부 문구 넣기")))),"")))</f>
      </c>
      <c r="N755" s="40">
        <f>IF($H755="INQUIRY",IFERROR(EDATE(INDEX('견적 Quotes'!$B$3:$B$1002,MATCH($C755,'견적 Quotes'!$A$3:$A$1002,0)),'설정 Settings'!$C$20),""),"")</f>
      </c>
    </row>
    <row r="756" spans="12:14" x14ac:dyDescent="0.25">
      <c r="L756" s="42">
        <f>IF($A756="","",IF($G756="Y","완료 DONE",IF($F756="","날짜 없음",IF($F756&lt;'설정 Settings'!$C$15,"지남 OVERDUE",IF($F756='설정 Settings'!$C$15,"오늘 TODAY","예정 OPEN")))))</f>
      </c>
      <c r="M756" s="42">
        <f>IF($A756="","",IF($I756="Y","수신거부: 문자·이메일 보내지 않기",IF(OR($E756="SMS",$E756="EMAIL"),IF(OR($H756="",$H756="NONE"),"동의 근거 없음: 전화·방문만",IF($H756="INQUIRY",IF(N($N756)=0,"견적 요청일을 못 찾음: 관련 ID에 견적 ID(Q-…)를 넣었는지 확인",IF('설정 Settings'!$C$15&gt;N($N756),"문의 후 6개월 지남: 다른 동의 근거 필요","OK: 이름·주소·연락처·수신거부 문구 넣기")),IF($H756="REFERRAL","소개 후 첫 메시지만 OK: 소개자 이름 + 이름·주소·연락처·수신거부 문구. 두 번째부터는 다른 동의 근거 필요",IF(AND($H756="REPLY",$D756&lt;&gt;"QUOTE",$D756&lt;&gt;"CALLBACK"),"문의에 대한 답장이 아님: EXPRESS 또는 INQUIRY 동의 필요","OK: 이름·주소·연락처·수신거부 문구 넣기")))),"")))</f>
      </c>
      <c r="N756" s="40">
        <f>IF($H756="INQUIRY",IFERROR(EDATE(INDEX('견적 Quotes'!$B$3:$B$1002,MATCH($C756,'견적 Quotes'!$A$3:$A$1002,0)),'설정 Settings'!$C$20),""),"")</f>
      </c>
    </row>
    <row r="757" spans="12:14" x14ac:dyDescent="0.25">
      <c r="L757" s="42">
        <f>IF($A757="","",IF($G757="Y","완료 DONE",IF($F757="","날짜 없음",IF($F757&lt;'설정 Settings'!$C$15,"지남 OVERDUE",IF($F757='설정 Settings'!$C$15,"오늘 TODAY","예정 OPEN")))))</f>
      </c>
      <c r="M757" s="42">
        <f>IF($A757="","",IF($I757="Y","수신거부: 문자·이메일 보내지 않기",IF(OR($E757="SMS",$E757="EMAIL"),IF(OR($H757="",$H757="NONE"),"동의 근거 없음: 전화·방문만",IF($H757="INQUIRY",IF(N($N757)=0,"견적 요청일을 못 찾음: 관련 ID에 견적 ID(Q-…)를 넣었는지 확인",IF('설정 Settings'!$C$15&gt;N($N757),"문의 후 6개월 지남: 다른 동의 근거 필요","OK: 이름·주소·연락처·수신거부 문구 넣기")),IF($H757="REFERRAL","소개 후 첫 메시지만 OK: 소개자 이름 + 이름·주소·연락처·수신거부 문구. 두 번째부터는 다른 동의 근거 필요",IF(AND($H757="REPLY",$D757&lt;&gt;"QUOTE",$D757&lt;&gt;"CALLBACK"),"문의에 대한 답장이 아님: EXPRESS 또는 INQUIRY 동의 필요","OK: 이름·주소·연락처·수신거부 문구 넣기")))),"")))</f>
      </c>
      <c r="N757" s="40">
        <f>IF($H757="INQUIRY",IFERROR(EDATE(INDEX('견적 Quotes'!$B$3:$B$1002,MATCH($C757,'견적 Quotes'!$A$3:$A$1002,0)),'설정 Settings'!$C$20),""),"")</f>
      </c>
    </row>
    <row r="758" spans="12:14" x14ac:dyDescent="0.25">
      <c r="L758" s="42">
        <f>IF($A758="","",IF($G758="Y","완료 DONE",IF($F758="","날짜 없음",IF($F758&lt;'설정 Settings'!$C$15,"지남 OVERDUE",IF($F758='설정 Settings'!$C$15,"오늘 TODAY","예정 OPEN")))))</f>
      </c>
      <c r="M758" s="42">
        <f>IF($A758="","",IF($I758="Y","수신거부: 문자·이메일 보내지 않기",IF(OR($E758="SMS",$E758="EMAIL"),IF(OR($H758="",$H758="NONE"),"동의 근거 없음: 전화·방문만",IF($H758="INQUIRY",IF(N($N758)=0,"견적 요청일을 못 찾음: 관련 ID에 견적 ID(Q-…)를 넣었는지 확인",IF('설정 Settings'!$C$15&gt;N($N758),"문의 후 6개월 지남: 다른 동의 근거 필요","OK: 이름·주소·연락처·수신거부 문구 넣기")),IF($H758="REFERRAL","소개 후 첫 메시지만 OK: 소개자 이름 + 이름·주소·연락처·수신거부 문구. 두 번째부터는 다른 동의 근거 필요",IF(AND($H758="REPLY",$D758&lt;&gt;"QUOTE",$D758&lt;&gt;"CALLBACK"),"문의에 대한 답장이 아님: EXPRESS 또는 INQUIRY 동의 필요","OK: 이름·주소·연락처·수신거부 문구 넣기")))),"")))</f>
      </c>
      <c r="N758" s="40">
        <f>IF($H758="INQUIRY",IFERROR(EDATE(INDEX('견적 Quotes'!$B$3:$B$1002,MATCH($C758,'견적 Quotes'!$A$3:$A$1002,0)),'설정 Settings'!$C$20),""),"")</f>
      </c>
    </row>
    <row r="759" spans="12:14" x14ac:dyDescent="0.25">
      <c r="L759" s="42">
        <f>IF($A759="","",IF($G759="Y","완료 DONE",IF($F759="","날짜 없음",IF($F759&lt;'설정 Settings'!$C$15,"지남 OVERDUE",IF($F759='설정 Settings'!$C$15,"오늘 TODAY","예정 OPEN")))))</f>
      </c>
      <c r="M759" s="42">
        <f>IF($A759="","",IF($I759="Y","수신거부: 문자·이메일 보내지 않기",IF(OR($E759="SMS",$E759="EMAIL"),IF(OR($H759="",$H759="NONE"),"동의 근거 없음: 전화·방문만",IF($H759="INQUIRY",IF(N($N759)=0,"견적 요청일을 못 찾음: 관련 ID에 견적 ID(Q-…)를 넣었는지 확인",IF('설정 Settings'!$C$15&gt;N($N759),"문의 후 6개월 지남: 다른 동의 근거 필요","OK: 이름·주소·연락처·수신거부 문구 넣기")),IF($H759="REFERRAL","소개 후 첫 메시지만 OK: 소개자 이름 + 이름·주소·연락처·수신거부 문구. 두 번째부터는 다른 동의 근거 필요",IF(AND($H759="REPLY",$D759&lt;&gt;"QUOTE",$D759&lt;&gt;"CALLBACK"),"문의에 대한 답장이 아님: EXPRESS 또는 INQUIRY 동의 필요","OK: 이름·주소·연락처·수신거부 문구 넣기")))),"")))</f>
      </c>
      <c r="N759" s="40">
        <f>IF($H759="INQUIRY",IFERROR(EDATE(INDEX('견적 Quotes'!$B$3:$B$1002,MATCH($C759,'견적 Quotes'!$A$3:$A$1002,0)),'설정 Settings'!$C$20),""),"")</f>
      </c>
    </row>
    <row r="760" spans="12:14" x14ac:dyDescent="0.25">
      <c r="L760" s="42">
        <f>IF($A760="","",IF($G760="Y","완료 DONE",IF($F760="","날짜 없음",IF($F760&lt;'설정 Settings'!$C$15,"지남 OVERDUE",IF($F760='설정 Settings'!$C$15,"오늘 TODAY","예정 OPEN")))))</f>
      </c>
      <c r="M760" s="42">
        <f>IF($A760="","",IF($I760="Y","수신거부: 문자·이메일 보내지 않기",IF(OR($E760="SMS",$E760="EMAIL"),IF(OR($H760="",$H760="NONE"),"동의 근거 없음: 전화·방문만",IF($H760="INQUIRY",IF(N($N760)=0,"견적 요청일을 못 찾음: 관련 ID에 견적 ID(Q-…)를 넣었는지 확인",IF('설정 Settings'!$C$15&gt;N($N760),"문의 후 6개월 지남: 다른 동의 근거 필요","OK: 이름·주소·연락처·수신거부 문구 넣기")),IF($H760="REFERRAL","소개 후 첫 메시지만 OK: 소개자 이름 + 이름·주소·연락처·수신거부 문구. 두 번째부터는 다른 동의 근거 필요",IF(AND($H760="REPLY",$D760&lt;&gt;"QUOTE",$D760&lt;&gt;"CALLBACK"),"문의에 대한 답장이 아님: EXPRESS 또는 INQUIRY 동의 필요","OK: 이름·주소·연락처·수신거부 문구 넣기")))),"")))</f>
      </c>
      <c r="N760" s="40">
        <f>IF($H760="INQUIRY",IFERROR(EDATE(INDEX('견적 Quotes'!$B$3:$B$1002,MATCH($C760,'견적 Quotes'!$A$3:$A$1002,0)),'설정 Settings'!$C$20),""),"")</f>
      </c>
    </row>
    <row r="761" spans="12:14" x14ac:dyDescent="0.25">
      <c r="L761" s="42">
        <f>IF($A761="","",IF($G761="Y","완료 DONE",IF($F761="","날짜 없음",IF($F761&lt;'설정 Settings'!$C$15,"지남 OVERDUE",IF($F761='설정 Settings'!$C$15,"오늘 TODAY","예정 OPEN")))))</f>
      </c>
      <c r="M761" s="42">
        <f>IF($A761="","",IF($I761="Y","수신거부: 문자·이메일 보내지 않기",IF(OR($E761="SMS",$E761="EMAIL"),IF(OR($H761="",$H761="NONE"),"동의 근거 없음: 전화·방문만",IF($H761="INQUIRY",IF(N($N761)=0,"견적 요청일을 못 찾음: 관련 ID에 견적 ID(Q-…)를 넣었는지 확인",IF('설정 Settings'!$C$15&gt;N($N761),"문의 후 6개월 지남: 다른 동의 근거 필요","OK: 이름·주소·연락처·수신거부 문구 넣기")),IF($H761="REFERRAL","소개 후 첫 메시지만 OK: 소개자 이름 + 이름·주소·연락처·수신거부 문구. 두 번째부터는 다른 동의 근거 필요",IF(AND($H761="REPLY",$D761&lt;&gt;"QUOTE",$D761&lt;&gt;"CALLBACK"),"문의에 대한 답장이 아님: EXPRESS 또는 INQUIRY 동의 필요","OK: 이름·주소·연락처·수신거부 문구 넣기")))),"")))</f>
      </c>
      <c r="N761" s="40">
        <f>IF($H761="INQUIRY",IFERROR(EDATE(INDEX('견적 Quotes'!$B$3:$B$1002,MATCH($C761,'견적 Quotes'!$A$3:$A$1002,0)),'설정 Settings'!$C$20),""),"")</f>
      </c>
    </row>
    <row r="762" spans="12:14" x14ac:dyDescent="0.25">
      <c r="L762" s="42">
        <f>IF($A762="","",IF($G762="Y","완료 DONE",IF($F762="","날짜 없음",IF($F762&lt;'설정 Settings'!$C$15,"지남 OVERDUE",IF($F762='설정 Settings'!$C$15,"오늘 TODAY","예정 OPEN")))))</f>
      </c>
      <c r="M762" s="42">
        <f>IF($A762="","",IF($I762="Y","수신거부: 문자·이메일 보내지 않기",IF(OR($E762="SMS",$E762="EMAIL"),IF(OR($H762="",$H762="NONE"),"동의 근거 없음: 전화·방문만",IF($H762="INQUIRY",IF(N($N762)=0,"견적 요청일을 못 찾음: 관련 ID에 견적 ID(Q-…)를 넣었는지 확인",IF('설정 Settings'!$C$15&gt;N($N762),"문의 후 6개월 지남: 다른 동의 근거 필요","OK: 이름·주소·연락처·수신거부 문구 넣기")),IF($H762="REFERRAL","소개 후 첫 메시지만 OK: 소개자 이름 + 이름·주소·연락처·수신거부 문구. 두 번째부터는 다른 동의 근거 필요",IF(AND($H762="REPLY",$D762&lt;&gt;"QUOTE",$D762&lt;&gt;"CALLBACK"),"문의에 대한 답장이 아님: EXPRESS 또는 INQUIRY 동의 필요","OK: 이름·주소·연락처·수신거부 문구 넣기")))),"")))</f>
      </c>
      <c r="N762" s="40">
        <f>IF($H762="INQUIRY",IFERROR(EDATE(INDEX('견적 Quotes'!$B$3:$B$1002,MATCH($C762,'견적 Quotes'!$A$3:$A$1002,0)),'설정 Settings'!$C$20),""),"")</f>
      </c>
    </row>
    <row r="763" spans="12:14" x14ac:dyDescent="0.25">
      <c r="L763" s="42">
        <f>IF($A763="","",IF($G763="Y","완료 DONE",IF($F763="","날짜 없음",IF($F763&lt;'설정 Settings'!$C$15,"지남 OVERDUE",IF($F763='설정 Settings'!$C$15,"오늘 TODAY","예정 OPEN")))))</f>
      </c>
      <c r="M763" s="42">
        <f>IF($A763="","",IF($I763="Y","수신거부: 문자·이메일 보내지 않기",IF(OR($E763="SMS",$E763="EMAIL"),IF(OR($H763="",$H763="NONE"),"동의 근거 없음: 전화·방문만",IF($H763="INQUIRY",IF(N($N763)=0,"견적 요청일을 못 찾음: 관련 ID에 견적 ID(Q-…)를 넣었는지 확인",IF('설정 Settings'!$C$15&gt;N($N763),"문의 후 6개월 지남: 다른 동의 근거 필요","OK: 이름·주소·연락처·수신거부 문구 넣기")),IF($H763="REFERRAL","소개 후 첫 메시지만 OK: 소개자 이름 + 이름·주소·연락처·수신거부 문구. 두 번째부터는 다른 동의 근거 필요",IF(AND($H763="REPLY",$D763&lt;&gt;"QUOTE",$D763&lt;&gt;"CALLBACK"),"문의에 대한 답장이 아님: EXPRESS 또는 INQUIRY 동의 필요","OK: 이름·주소·연락처·수신거부 문구 넣기")))),"")))</f>
      </c>
      <c r="N763" s="40">
        <f>IF($H763="INQUIRY",IFERROR(EDATE(INDEX('견적 Quotes'!$B$3:$B$1002,MATCH($C763,'견적 Quotes'!$A$3:$A$1002,0)),'설정 Settings'!$C$20),""),"")</f>
      </c>
    </row>
    <row r="764" spans="12:14" x14ac:dyDescent="0.25">
      <c r="L764" s="42">
        <f>IF($A764="","",IF($G764="Y","완료 DONE",IF($F764="","날짜 없음",IF($F764&lt;'설정 Settings'!$C$15,"지남 OVERDUE",IF($F764='설정 Settings'!$C$15,"오늘 TODAY","예정 OPEN")))))</f>
      </c>
      <c r="M764" s="42">
        <f>IF($A764="","",IF($I764="Y","수신거부: 문자·이메일 보내지 않기",IF(OR($E764="SMS",$E764="EMAIL"),IF(OR($H764="",$H764="NONE"),"동의 근거 없음: 전화·방문만",IF($H764="INQUIRY",IF(N($N764)=0,"견적 요청일을 못 찾음: 관련 ID에 견적 ID(Q-…)를 넣었는지 확인",IF('설정 Settings'!$C$15&gt;N($N764),"문의 후 6개월 지남: 다른 동의 근거 필요","OK: 이름·주소·연락처·수신거부 문구 넣기")),IF($H764="REFERRAL","소개 후 첫 메시지만 OK: 소개자 이름 + 이름·주소·연락처·수신거부 문구. 두 번째부터는 다른 동의 근거 필요",IF(AND($H764="REPLY",$D764&lt;&gt;"QUOTE",$D764&lt;&gt;"CALLBACK"),"문의에 대한 답장이 아님: EXPRESS 또는 INQUIRY 동의 필요","OK: 이름·주소·연락처·수신거부 문구 넣기")))),"")))</f>
      </c>
      <c r="N764" s="40">
        <f>IF($H764="INQUIRY",IFERROR(EDATE(INDEX('견적 Quotes'!$B$3:$B$1002,MATCH($C764,'견적 Quotes'!$A$3:$A$1002,0)),'설정 Settings'!$C$20),""),"")</f>
      </c>
    </row>
    <row r="765" spans="12:14" x14ac:dyDescent="0.25">
      <c r="L765" s="42">
        <f>IF($A765="","",IF($G765="Y","완료 DONE",IF($F765="","날짜 없음",IF($F765&lt;'설정 Settings'!$C$15,"지남 OVERDUE",IF($F765='설정 Settings'!$C$15,"오늘 TODAY","예정 OPEN")))))</f>
      </c>
      <c r="M765" s="42">
        <f>IF($A765="","",IF($I765="Y","수신거부: 문자·이메일 보내지 않기",IF(OR($E765="SMS",$E765="EMAIL"),IF(OR($H765="",$H765="NONE"),"동의 근거 없음: 전화·방문만",IF($H765="INQUIRY",IF(N($N765)=0,"견적 요청일을 못 찾음: 관련 ID에 견적 ID(Q-…)를 넣었는지 확인",IF('설정 Settings'!$C$15&gt;N($N765),"문의 후 6개월 지남: 다른 동의 근거 필요","OK: 이름·주소·연락처·수신거부 문구 넣기")),IF($H765="REFERRAL","소개 후 첫 메시지만 OK: 소개자 이름 + 이름·주소·연락처·수신거부 문구. 두 번째부터는 다른 동의 근거 필요",IF(AND($H765="REPLY",$D765&lt;&gt;"QUOTE",$D765&lt;&gt;"CALLBACK"),"문의에 대한 답장이 아님: EXPRESS 또는 INQUIRY 동의 필요","OK: 이름·주소·연락처·수신거부 문구 넣기")))),"")))</f>
      </c>
      <c r="N765" s="40">
        <f>IF($H765="INQUIRY",IFERROR(EDATE(INDEX('견적 Quotes'!$B$3:$B$1002,MATCH($C765,'견적 Quotes'!$A$3:$A$1002,0)),'설정 Settings'!$C$20),""),"")</f>
      </c>
    </row>
    <row r="766" spans="12:14" x14ac:dyDescent="0.25">
      <c r="L766" s="42">
        <f>IF($A766="","",IF($G766="Y","완료 DONE",IF($F766="","날짜 없음",IF($F766&lt;'설정 Settings'!$C$15,"지남 OVERDUE",IF($F766='설정 Settings'!$C$15,"오늘 TODAY","예정 OPEN")))))</f>
      </c>
      <c r="M766" s="42">
        <f>IF($A766="","",IF($I766="Y","수신거부: 문자·이메일 보내지 않기",IF(OR($E766="SMS",$E766="EMAIL"),IF(OR($H766="",$H766="NONE"),"동의 근거 없음: 전화·방문만",IF($H766="INQUIRY",IF(N($N766)=0,"견적 요청일을 못 찾음: 관련 ID에 견적 ID(Q-…)를 넣었는지 확인",IF('설정 Settings'!$C$15&gt;N($N766),"문의 후 6개월 지남: 다른 동의 근거 필요","OK: 이름·주소·연락처·수신거부 문구 넣기")),IF($H766="REFERRAL","소개 후 첫 메시지만 OK: 소개자 이름 + 이름·주소·연락처·수신거부 문구. 두 번째부터는 다른 동의 근거 필요",IF(AND($H766="REPLY",$D766&lt;&gt;"QUOTE",$D766&lt;&gt;"CALLBACK"),"문의에 대한 답장이 아님: EXPRESS 또는 INQUIRY 동의 필요","OK: 이름·주소·연락처·수신거부 문구 넣기")))),"")))</f>
      </c>
      <c r="N766" s="40">
        <f>IF($H766="INQUIRY",IFERROR(EDATE(INDEX('견적 Quotes'!$B$3:$B$1002,MATCH($C766,'견적 Quotes'!$A$3:$A$1002,0)),'설정 Settings'!$C$20),""),"")</f>
      </c>
    </row>
    <row r="767" spans="12:14" x14ac:dyDescent="0.25">
      <c r="L767" s="42">
        <f>IF($A767="","",IF($G767="Y","완료 DONE",IF($F767="","날짜 없음",IF($F767&lt;'설정 Settings'!$C$15,"지남 OVERDUE",IF($F767='설정 Settings'!$C$15,"오늘 TODAY","예정 OPEN")))))</f>
      </c>
      <c r="M767" s="42">
        <f>IF($A767="","",IF($I767="Y","수신거부: 문자·이메일 보내지 않기",IF(OR($E767="SMS",$E767="EMAIL"),IF(OR($H767="",$H767="NONE"),"동의 근거 없음: 전화·방문만",IF($H767="INQUIRY",IF(N($N767)=0,"견적 요청일을 못 찾음: 관련 ID에 견적 ID(Q-…)를 넣었는지 확인",IF('설정 Settings'!$C$15&gt;N($N767),"문의 후 6개월 지남: 다른 동의 근거 필요","OK: 이름·주소·연락처·수신거부 문구 넣기")),IF($H767="REFERRAL","소개 후 첫 메시지만 OK: 소개자 이름 + 이름·주소·연락처·수신거부 문구. 두 번째부터는 다른 동의 근거 필요",IF(AND($H767="REPLY",$D767&lt;&gt;"QUOTE",$D767&lt;&gt;"CALLBACK"),"문의에 대한 답장이 아님: EXPRESS 또는 INQUIRY 동의 필요","OK: 이름·주소·연락처·수신거부 문구 넣기")))),"")))</f>
      </c>
      <c r="N767" s="40">
        <f>IF($H767="INQUIRY",IFERROR(EDATE(INDEX('견적 Quotes'!$B$3:$B$1002,MATCH($C767,'견적 Quotes'!$A$3:$A$1002,0)),'설정 Settings'!$C$20),""),"")</f>
      </c>
    </row>
    <row r="768" spans="12:14" x14ac:dyDescent="0.25">
      <c r="L768" s="42">
        <f>IF($A768="","",IF($G768="Y","완료 DONE",IF($F768="","날짜 없음",IF($F768&lt;'설정 Settings'!$C$15,"지남 OVERDUE",IF($F768='설정 Settings'!$C$15,"오늘 TODAY","예정 OPEN")))))</f>
      </c>
      <c r="M768" s="42">
        <f>IF($A768="","",IF($I768="Y","수신거부: 문자·이메일 보내지 않기",IF(OR($E768="SMS",$E768="EMAIL"),IF(OR($H768="",$H768="NONE"),"동의 근거 없음: 전화·방문만",IF($H768="INQUIRY",IF(N($N768)=0,"견적 요청일을 못 찾음: 관련 ID에 견적 ID(Q-…)를 넣었는지 확인",IF('설정 Settings'!$C$15&gt;N($N768),"문의 후 6개월 지남: 다른 동의 근거 필요","OK: 이름·주소·연락처·수신거부 문구 넣기")),IF($H768="REFERRAL","소개 후 첫 메시지만 OK: 소개자 이름 + 이름·주소·연락처·수신거부 문구. 두 번째부터는 다른 동의 근거 필요",IF(AND($H768="REPLY",$D768&lt;&gt;"QUOTE",$D768&lt;&gt;"CALLBACK"),"문의에 대한 답장이 아님: EXPRESS 또는 INQUIRY 동의 필요","OK: 이름·주소·연락처·수신거부 문구 넣기")))),"")))</f>
      </c>
      <c r="N768" s="40">
        <f>IF($H768="INQUIRY",IFERROR(EDATE(INDEX('견적 Quotes'!$B$3:$B$1002,MATCH($C768,'견적 Quotes'!$A$3:$A$1002,0)),'설정 Settings'!$C$20),""),"")</f>
      </c>
    </row>
    <row r="769" spans="12:14" x14ac:dyDescent="0.25">
      <c r="L769" s="42">
        <f>IF($A769="","",IF($G769="Y","완료 DONE",IF($F769="","날짜 없음",IF($F769&lt;'설정 Settings'!$C$15,"지남 OVERDUE",IF($F769='설정 Settings'!$C$15,"오늘 TODAY","예정 OPEN")))))</f>
      </c>
      <c r="M769" s="42">
        <f>IF($A769="","",IF($I769="Y","수신거부: 문자·이메일 보내지 않기",IF(OR($E769="SMS",$E769="EMAIL"),IF(OR($H769="",$H769="NONE"),"동의 근거 없음: 전화·방문만",IF($H769="INQUIRY",IF(N($N769)=0,"견적 요청일을 못 찾음: 관련 ID에 견적 ID(Q-…)를 넣었는지 확인",IF('설정 Settings'!$C$15&gt;N($N769),"문의 후 6개월 지남: 다른 동의 근거 필요","OK: 이름·주소·연락처·수신거부 문구 넣기")),IF($H769="REFERRAL","소개 후 첫 메시지만 OK: 소개자 이름 + 이름·주소·연락처·수신거부 문구. 두 번째부터는 다른 동의 근거 필요",IF(AND($H769="REPLY",$D769&lt;&gt;"QUOTE",$D769&lt;&gt;"CALLBACK"),"문의에 대한 답장이 아님: EXPRESS 또는 INQUIRY 동의 필요","OK: 이름·주소·연락처·수신거부 문구 넣기")))),"")))</f>
      </c>
      <c r="N769" s="40">
        <f>IF($H769="INQUIRY",IFERROR(EDATE(INDEX('견적 Quotes'!$B$3:$B$1002,MATCH($C769,'견적 Quotes'!$A$3:$A$1002,0)),'설정 Settings'!$C$20),""),"")</f>
      </c>
    </row>
    <row r="770" spans="12:14" x14ac:dyDescent="0.25">
      <c r="L770" s="42">
        <f>IF($A770="","",IF($G770="Y","완료 DONE",IF($F770="","날짜 없음",IF($F770&lt;'설정 Settings'!$C$15,"지남 OVERDUE",IF($F770='설정 Settings'!$C$15,"오늘 TODAY","예정 OPEN")))))</f>
      </c>
      <c r="M770" s="42">
        <f>IF($A770="","",IF($I770="Y","수신거부: 문자·이메일 보내지 않기",IF(OR($E770="SMS",$E770="EMAIL"),IF(OR($H770="",$H770="NONE"),"동의 근거 없음: 전화·방문만",IF($H770="INQUIRY",IF(N($N770)=0,"견적 요청일을 못 찾음: 관련 ID에 견적 ID(Q-…)를 넣었는지 확인",IF('설정 Settings'!$C$15&gt;N($N770),"문의 후 6개월 지남: 다른 동의 근거 필요","OK: 이름·주소·연락처·수신거부 문구 넣기")),IF($H770="REFERRAL","소개 후 첫 메시지만 OK: 소개자 이름 + 이름·주소·연락처·수신거부 문구. 두 번째부터는 다른 동의 근거 필요",IF(AND($H770="REPLY",$D770&lt;&gt;"QUOTE",$D770&lt;&gt;"CALLBACK"),"문의에 대한 답장이 아님: EXPRESS 또는 INQUIRY 동의 필요","OK: 이름·주소·연락처·수신거부 문구 넣기")))),"")))</f>
      </c>
      <c r="N770" s="40">
        <f>IF($H770="INQUIRY",IFERROR(EDATE(INDEX('견적 Quotes'!$B$3:$B$1002,MATCH($C770,'견적 Quotes'!$A$3:$A$1002,0)),'설정 Settings'!$C$20),""),"")</f>
      </c>
    </row>
    <row r="771" spans="12:14" x14ac:dyDescent="0.25">
      <c r="L771" s="42">
        <f>IF($A771="","",IF($G771="Y","완료 DONE",IF($F771="","날짜 없음",IF($F771&lt;'설정 Settings'!$C$15,"지남 OVERDUE",IF($F771='설정 Settings'!$C$15,"오늘 TODAY","예정 OPEN")))))</f>
      </c>
      <c r="M771" s="42">
        <f>IF($A771="","",IF($I771="Y","수신거부: 문자·이메일 보내지 않기",IF(OR($E771="SMS",$E771="EMAIL"),IF(OR($H771="",$H771="NONE"),"동의 근거 없음: 전화·방문만",IF($H771="INQUIRY",IF(N($N771)=0,"견적 요청일을 못 찾음: 관련 ID에 견적 ID(Q-…)를 넣었는지 확인",IF('설정 Settings'!$C$15&gt;N($N771),"문의 후 6개월 지남: 다른 동의 근거 필요","OK: 이름·주소·연락처·수신거부 문구 넣기")),IF($H771="REFERRAL","소개 후 첫 메시지만 OK: 소개자 이름 + 이름·주소·연락처·수신거부 문구. 두 번째부터는 다른 동의 근거 필요",IF(AND($H771="REPLY",$D771&lt;&gt;"QUOTE",$D771&lt;&gt;"CALLBACK"),"문의에 대한 답장이 아님: EXPRESS 또는 INQUIRY 동의 필요","OK: 이름·주소·연락처·수신거부 문구 넣기")))),"")))</f>
      </c>
      <c r="N771" s="40">
        <f>IF($H771="INQUIRY",IFERROR(EDATE(INDEX('견적 Quotes'!$B$3:$B$1002,MATCH($C771,'견적 Quotes'!$A$3:$A$1002,0)),'설정 Settings'!$C$20),""),"")</f>
      </c>
    </row>
    <row r="772" spans="12:14" x14ac:dyDescent="0.25">
      <c r="L772" s="42">
        <f>IF($A772="","",IF($G772="Y","완료 DONE",IF($F772="","날짜 없음",IF($F772&lt;'설정 Settings'!$C$15,"지남 OVERDUE",IF($F772='설정 Settings'!$C$15,"오늘 TODAY","예정 OPEN")))))</f>
      </c>
      <c r="M772" s="42">
        <f>IF($A772="","",IF($I772="Y","수신거부: 문자·이메일 보내지 않기",IF(OR($E772="SMS",$E772="EMAIL"),IF(OR($H772="",$H772="NONE"),"동의 근거 없음: 전화·방문만",IF($H772="INQUIRY",IF(N($N772)=0,"견적 요청일을 못 찾음: 관련 ID에 견적 ID(Q-…)를 넣었는지 확인",IF('설정 Settings'!$C$15&gt;N($N772),"문의 후 6개월 지남: 다른 동의 근거 필요","OK: 이름·주소·연락처·수신거부 문구 넣기")),IF($H772="REFERRAL","소개 후 첫 메시지만 OK: 소개자 이름 + 이름·주소·연락처·수신거부 문구. 두 번째부터는 다른 동의 근거 필요",IF(AND($H772="REPLY",$D772&lt;&gt;"QUOTE",$D772&lt;&gt;"CALLBACK"),"문의에 대한 답장이 아님: EXPRESS 또는 INQUIRY 동의 필요","OK: 이름·주소·연락처·수신거부 문구 넣기")))),"")))</f>
      </c>
      <c r="N772" s="40">
        <f>IF($H772="INQUIRY",IFERROR(EDATE(INDEX('견적 Quotes'!$B$3:$B$1002,MATCH($C772,'견적 Quotes'!$A$3:$A$1002,0)),'설정 Settings'!$C$20),""),"")</f>
      </c>
    </row>
    <row r="773" spans="12:14" x14ac:dyDescent="0.25">
      <c r="L773" s="42">
        <f>IF($A773="","",IF($G773="Y","완료 DONE",IF($F773="","날짜 없음",IF($F773&lt;'설정 Settings'!$C$15,"지남 OVERDUE",IF($F773='설정 Settings'!$C$15,"오늘 TODAY","예정 OPEN")))))</f>
      </c>
      <c r="M773" s="42">
        <f>IF($A773="","",IF($I773="Y","수신거부: 문자·이메일 보내지 않기",IF(OR($E773="SMS",$E773="EMAIL"),IF(OR($H773="",$H773="NONE"),"동의 근거 없음: 전화·방문만",IF($H773="INQUIRY",IF(N($N773)=0,"견적 요청일을 못 찾음: 관련 ID에 견적 ID(Q-…)를 넣었는지 확인",IF('설정 Settings'!$C$15&gt;N($N773),"문의 후 6개월 지남: 다른 동의 근거 필요","OK: 이름·주소·연락처·수신거부 문구 넣기")),IF($H773="REFERRAL","소개 후 첫 메시지만 OK: 소개자 이름 + 이름·주소·연락처·수신거부 문구. 두 번째부터는 다른 동의 근거 필요",IF(AND($H773="REPLY",$D773&lt;&gt;"QUOTE",$D773&lt;&gt;"CALLBACK"),"문의에 대한 답장이 아님: EXPRESS 또는 INQUIRY 동의 필요","OK: 이름·주소·연락처·수신거부 문구 넣기")))),"")))</f>
      </c>
      <c r="N773" s="40">
        <f>IF($H773="INQUIRY",IFERROR(EDATE(INDEX('견적 Quotes'!$B$3:$B$1002,MATCH($C773,'견적 Quotes'!$A$3:$A$1002,0)),'설정 Settings'!$C$20),""),"")</f>
      </c>
    </row>
    <row r="774" spans="12:14" x14ac:dyDescent="0.25">
      <c r="L774" s="42">
        <f>IF($A774="","",IF($G774="Y","완료 DONE",IF($F774="","날짜 없음",IF($F774&lt;'설정 Settings'!$C$15,"지남 OVERDUE",IF($F774='설정 Settings'!$C$15,"오늘 TODAY","예정 OPEN")))))</f>
      </c>
      <c r="M774" s="42">
        <f>IF($A774="","",IF($I774="Y","수신거부: 문자·이메일 보내지 않기",IF(OR($E774="SMS",$E774="EMAIL"),IF(OR($H774="",$H774="NONE"),"동의 근거 없음: 전화·방문만",IF($H774="INQUIRY",IF(N($N774)=0,"견적 요청일을 못 찾음: 관련 ID에 견적 ID(Q-…)를 넣었는지 확인",IF('설정 Settings'!$C$15&gt;N($N774),"문의 후 6개월 지남: 다른 동의 근거 필요","OK: 이름·주소·연락처·수신거부 문구 넣기")),IF($H774="REFERRAL","소개 후 첫 메시지만 OK: 소개자 이름 + 이름·주소·연락처·수신거부 문구. 두 번째부터는 다른 동의 근거 필요",IF(AND($H774="REPLY",$D774&lt;&gt;"QUOTE",$D774&lt;&gt;"CALLBACK"),"문의에 대한 답장이 아님: EXPRESS 또는 INQUIRY 동의 필요","OK: 이름·주소·연락처·수신거부 문구 넣기")))),"")))</f>
      </c>
      <c r="N774" s="40">
        <f>IF($H774="INQUIRY",IFERROR(EDATE(INDEX('견적 Quotes'!$B$3:$B$1002,MATCH($C774,'견적 Quotes'!$A$3:$A$1002,0)),'설정 Settings'!$C$20),""),"")</f>
      </c>
    </row>
    <row r="775" spans="12:14" x14ac:dyDescent="0.25">
      <c r="L775" s="42">
        <f>IF($A775="","",IF($G775="Y","완료 DONE",IF($F775="","날짜 없음",IF($F775&lt;'설정 Settings'!$C$15,"지남 OVERDUE",IF($F775='설정 Settings'!$C$15,"오늘 TODAY","예정 OPEN")))))</f>
      </c>
      <c r="M775" s="42">
        <f>IF($A775="","",IF($I775="Y","수신거부: 문자·이메일 보내지 않기",IF(OR($E775="SMS",$E775="EMAIL"),IF(OR($H775="",$H775="NONE"),"동의 근거 없음: 전화·방문만",IF($H775="INQUIRY",IF(N($N775)=0,"견적 요청일을 못 찾음: 관련 ID에 견적 ID(Q-…)를 넣었는지 확인",IF('설정 Settings'!$C$15&gt;N($N775),"문의 후 6개월 지남: 다른 동의 근거 필요","OK: 이름·주소·연락처·수신거부 문구 넣기")),IF($H775="REFERRAL","소개 후 첫 메시지만 OK: 소개자 이름 + 이름·주소·연락처·수신거부 문구. 두 번째부터는 다른 동의 근거 필요",IF(AND($H775="REPLY",$D775&lt;&gt;"QUOTE",$D775&lt;&gt;"CALLBACK"),"문의에 대한 답장이 아님: EXPRESS 또는 INQUIRY 동의 필요","OK: 이름·주소·연락처·수신거부 문구 넣기")))),"")))</f>
      </c>
      <c r="N775" s="40">
        <f>IF($H775="INQUIRY",IFERROR(EDATE(INDEX('견적 Quotes'!$B$3:$B$1002,MATCH($C775,'견적 Quotes'!$A$3:$A$1002,0)),'설정 Settings'!$C$20),""),"")</f>
      </c>
    </row>
    <row r="776" spans="12:14" x14ac:dyDescent="0.25">
      <c r="L776" s="42">
        <f>IF($A776="","",IF($G776="Y","완료 DONE",IF($F776="","날짜 없음",IF($F776&lt;'설정 Settings'!$C$15,"지남 OVERDUE",IF($F776='설정 Settings'!$C$15,"오늘 TODAY","예정 OPEN")))))</f>
      </c>
      <c r="M776" s="42">
        <f>IF($A776="","",IF($I776="Y","수신거부: 문자·이메일 보내지 않기",IF(OR($E776="SMS",$E776="EMAIL"),IF(OR($H776="",$H776="NONE"),"동의 근거 없음: 전화·방문만",IF($H776="INQUIRY",IF(N($N776)=0,"견적 요청일을 못 찾음: 관련 ID에 견적 ID(Q-…)를 넣었는지 확인",IF('설정 Settings'!$C$15&gt;N($N776),"문의 후 6개월 지남: 다른 동의 근거 필요","OK: 이름·주소·연락처·수신거부 문구 넣기")),IF($H776="REFERRAL","소개 후 첫 메시지만 OK: 소개자 이름 + 이름·주소·연락처·수신거부 문구. 두 번째부터는 다른 동의 근거 필요",IF(AND($H776="REPLY",$D776&lt;&gt;"QUOTE",$D776&lt;&gt;"CALLBACK"),"문의에 대한 답장이 아님: EXPRESS 또는 INQUIRY 동의 필요","OK: 이름·주소·연락처·수신거부 문구 넣기")))),"")))</f>
      </c>
      <c r="N776" s="40">
        <f>IF($H776="INQUIRY",IFERROR(EDATE(INDEX('견적 Quotes'!$B$3:$B$1002,MATCH($C776,'견적 Quotes'!$A$3:$A$1002,0)),'설정 Settings'!$C$20),""),"")</f>
      </c>
    </row>
    <row r="777" spans="12:14" x14ac:dyDescent="0.25">
      <c r="L777" s="42">
        <f>IF($A777="","",IF($G777="Y","완료 DONE",IF($F777="","날짜 없음",IF($F777&lt;'설정 Settings'!$C$15,"지남 OVERDUE",IF($F777='설정 Settings'!$C$15,"오늘 TODAY","예정 OPEN")))))</f>
      </c>
      <c r="M777" s="42">
        <f>IF($A777="","",IF($I777="Y","수신거부: 문자·이메일 보내지 않기",IF(OR($E777="SMS",$E777="EMAIL"),IF(OR($H777="",$H777="NONE"),"동의 근거 없음: 전화·방문만",IF($H777="INQUIRY",IF(N($N777)=0,"견적 요청일을 못 찾음: 관련 ID에 견적 ID(Q-…)를 넣었는지 확인",IF('설정 Settings'!$C$15&gt;N($N777),"문의 후 6개월 지남: 다른 동의 근거 필요","OK: 이름·주소·연락처·수신거부 문구 넣기")),IF($H777="REFERRAL","소개 후 첫 메시지만 OK: 소개자 이름 + 이름·주소·연락처·수신거부 문구. 두 번째부터는 다른 동의 근거 필요",IF(AND($H777="REPLY",$D777&lt;&gt;"QUOTE",$D777&lt;&gt;"CALLBACK"),"문의에 대한 답장이 아님: EXPRESS 또는 INQUIRY 동의 필요","OK: 이름·주소·연락처·수신거부 문구 넣기")))),"")))</f>
      </c>
      <c r="N777" s="40">
        <f>IF($H777="INQUIRY",IFERROR(EDATE(INDEX('견적 Quotes'!$B$3:$B$1002,MATCH($C777,'견적 Quotes'!$A$3:$A$1002,0)),'설정 Settings'!$C$20),""),"")</f>
      </c>
    </row>
    <row r="778" spans="12:14" x14ac:dyDescent="0.25">
      <c r="L778" s="42">
        <f>IF($A778="","",IF($G778="Y","완료 DONE",IF($F778="","날짜 없음",IF($F778&lt;'설정 Settings'!$C$15,"지남 OVERDUE",IF($F778='설정 Settings'!$C$15,"오늘 TODAY","예정 OPEN")))))</f>
      </c>
      <c r="M778" s="42">
        <f>IF($A778="","",IF($I778="Y","수신거부: 문자·이메일 보내지 않기",IF(OR($E778="SMS",$E778="EMAIL"),IF(OR($H778="",$H778="NONE"),"동의 근거 없음: 전화·방문만",IF($H778="INQUIRY",IF(N($N778)=0,"견적 요청일을 못 찾음: 관련 ID에 견적 ID(Q-…)를 넣었는지 확인",IF('설정 Settings'!$C$15&gt;N($N778),"문의 후 6개월 지남: 다른 동의 근거 필요","OK: 이름·주소·연락처·수신거부 문구 넣기")),IF($H778="REFERRAL","소개 후 첫 메시지만 OK: 소개자 이름 + 이름·주소·연락처·수신거부 문구. 두 번째부터는 다른 동의 근거 필요",IF(AND($H778="REPLY",$D778&lt;&gt;"QUOTE",$D778&lt;&gt;"CALLBACK"),"문의에 대한 답장이 아님: EXPRESS 또는 INQUIRY 동의 필요","OK: 이름·주소·연락처·수신거부 문구 넣기")))),"")))</f>
      </c>
      <c r="N778" s="40">
        <f>IF($H778="INQUIRY",IFERROR(EDATE(INDEX('견적 Quotes'!$B$3:$B$1002,MATCH($C778,'견적 Quotes'!$A$3:$A$1002,0)),'설정 Settings'!$C$20),""),"")</f>
      </c>
    </row>
    <row r="779" spans="12:14" x14ac:dyDescent="0.25">
      <c r="L779" s="42">
        <f>IF($A779="","",IF($G779="Y","완료 DONE",IF($F779="","날짜 없음",IF($F779&lt;'설정 Settings'!$C$15,"지남 OVERDUE",IF($F779='설정 Settings'!$C$15,"오늘 TODAY","예정 OPEN")))))</f>
      </c>
      <c r="M779" s="42">
        <f>IF($A779="","",IF($I779="Y","수신거부: 문자·이메일 보내지 않기",IF(OR($E779="SMS",$E779="EMAIL"),IF(OR($H779="",$H779="NONE"),"동의 근거 없음: 전화·방문만",IF($H779="INQUIRY",IF(N($N779)=0,"견적 요청일을 못 찾음: 관련 ID에 견적 ID(Q-…)를 넣었는지 확인",IF('설정 Settings'!$C$15&gt;N($N779),"문의 후 6개월 지남: 다른 동의 근거 필요","OK: 이름·주소·연락처·수신거부 문구 넣기")),IF($H779="REFERRAL","소개 후 첫 메시지만 OK: 소개자 이름 + 이름·주소·연락처·수신거부 문구. 두 번째부터는 다른 동의 근거 필요",IF(AND($H779="REPLY",$D779&lt;&gt;"QUOTE",$D779&lt;&gt;"CALLBACK"),"문의에 대한 답장이 아님: EXPRESS 또는 INQUIRY 동의 필요","OK: 이름·주소·연락처·수신거부 문구 넣기")))),"")))</f>
      </c>
      <c r="N779" s="40">
        <f>IF($H779="INQUIRY",IFERROR(EDATE(INDEX('견적 Quotes'!$B$3:$B$1002,MATCH($C779,'견적 Quotes'!$A$3:$A$1002,0)),'설정 Settings'!$C$20),""),"")</f>
      </c>
    </row>
    <row r="780" spans="12:14" x14ac:dyDescent="0.25">
      <c r="L780" s="42">
        <f>IF($A780="","",IF($G780="Y","완료 DONE",IF($F780="","날짜 없음",IF($F780&lt;'설정 Settings'!$C$15,"지남 OVERDUE",IF($F780='설정 Settings'!$C$15,"오늘 TODAY","예정 OPEN")))))</f>
      </c>
      <c r="M780" s="42">
        <f>IF($A780="","",IF($I780="Y","수신거부: 문자·이메일 보내지 않기",IF(OR($E780="SMS",$E780="EMAIL"),IF(OR($H780="",$H780="NONE"),"동의 근거 없음: 전화·방문만",IF($H780="INQUIRY",IF(N($N780)=0,"견적 요청일을 못 찾음: 관련 ID에 견적 ID(Q-…)를 넣었는지 확인",IF('설정 Settings'!$C$15&gt;N($N780),"문의 후 6개월 지남: 다른 동의 근거 필요","OK: 이름·주소·연락처·수신거부 문구 넣기")),IF($H780="REFERRAL","소개 후 첫 메시지만 OK: 소개자 이름 + 이름·주소·연락처·수신거부 문구. 두 번째부터는 다른 동의 근거 필요",IF(AND($H780="REPLY",$D780&lt;&gt;"QUOTE",$D780&lt;&gt;"CALLBACK"),"문의에 대한 답장이 아님: EXPRESS 또는 INQUIRY 동의 필요","OK: 이름·주소·연락처·수신거부 문구 넣기")))),"")))</f>
      </c>
      <c r="N780" s="40">
        <f>IF($H780="INQUIRY",IFERROR(EDATE(INDEX('견적 Quotes'!$B$3:$B$1002,MATCH($C780,'견적 Quotes'!$A$3:$A$1002,0)),'설정 Settings'!$C$20),""),"")</f>
      </c>
    </row>
    <row r="781" spans="12:14" x14ac:dyDescent="0.25">
      <c r="L781" s="42">
        <f>IF($A781="","",IF($G781="Y","완료 DONE",IF($F781="","날짜 없음",IF($F781&lt;'설정 Settings'!$C$15,"지남 OVERDUE",IF($F781='설정 Settings'!$C$15,"오늘 TODAY","예정 OPEN")))))</f>
      </c>
      <c r="M781" s="42">
        <f>IF($A781="","",IF($I781="Y","수신거부: 문자·이메일 보내지 않기",IF(OR($E781="SMS",$E781="EMAIL"),IF(OR($H781="",$H781="NONE"),"동의 근거 없음: 전화·방문만",IF($H781="INQUIRY",IF(N($N781)=0,"견적 요청일을 못 찾음: 관련 ID에 견적 ID(Q-…)를 넣었는지 확인",IF('설정 Settings'!$C$15&gt;N($N781),"문의 후 6개월 지남: 다른 동의 근거 필요","OK: 이름·주소·연락처·수신거부 문구 넣기")),IF($H781="REFERRAL","소개 후 첫 메시지만 OK: 소개자 이름 + 이름·주소·연락처·수신거부 문구. 두 번째부터는 다른 동의 근거 필요",IF(AND($H781="REPLY",$D781&lt;&gt;"QUOTE",$D781&lt;&gt;"CALLBACK"),"문의에 대한 답장이 아님: EXPRESS 또는 INQUIRY 동의 필요","OK: 이름·주소·연락처·수신거부 문구 넣기")))),"")))</f>
      </c>
      <c r="N781" s="40">
        <f>IF($H781="INQUIRY",IFERROR(EDATE(INDEX('견적 Quotes'!$B$3:$B$1002,MATCH($C781,'견적 Quotes'!$A$3:$A$1002,0)),'설정 Settings'!$C$20),""),"")</f>
      </c>
    </row>
    <row r="782" spans="12:14" x14ac:dyDescent="0.25">
      <c r="L782" s="42">
        <f>IF($A782="","",IF($G782="Y","완료 DONE",IF($F782="","날짜 없음",IF($F782&lt;'설정 Settings'!$C$15,"지남 OVERDUE",IF($F782='설정 Settings'!$C$15,"오늘 TODAY","예정 OPEN")))))</f>
      </c>
      <c r="M782" s="42">
        <f>IF($A782="","",IF($I782="Y","수신거부: 문자·이메일 보내지 않기",IF(OR($E782="SMS",$E782="EMAIL"),IF(OR($H782="",$H782="NONE"),"동의 근거 없음: 전화·방문만",IF($H782="INQUIRY",IF(N($N782)=0,"견적 요청일을 못 찾음: 관련 ID에 견적 ID(Q-…)를 넣었는지 확인",IF('설정 Settings'!$C$15&gt;N($N782),"문의 후 6개월 지남: 다른 동의 근거 필요","OK: 이름·주소·연락처·수신거부 문구 넣기")),IF($H782="REFERRAL","소개 후 첫 메시지만 OK: 소개자 이름 + 이름·주소·연락처·수신거부 문구. 두 번째부터는 다른 동의 근거 필요",IF(AND($H782="REPLY",$D782&lt;&gt;"QUOTE",$D782&lt;&gt;"CALLBACK"),"문의에 대한 답장이 아님: EXPRESS 또는 INQUIRY 동의 필요","OK: 이름·주소·연락처·수신거부 문구 넣기")))),"")))</f>
      </c>
      <c r="N782" s="40">
        <f>IF($H782="INQUIRY",IFERROR(EDATE(INDEX('견적 Quotes'!$B$3:$B$1002,MATCH($C782,'견적 Quotes'!$A$3:$A$1002,0)),'설정 Settings'!$C$20),""),"")</f>
      </c>
    </row>
    <row r="783" spans="12:14" x14ac:dyDescent="0.25">
      <c r="L783" s="42">
        <f>IF($A783="","",IF($G783="Y","완료 DONE",IF($F783="","날짜 없음",IF($F783&lt;'설정 Settings'!$C$15,"지남 OVERDUE",IF($F783='설정 Settings'!$C$15,"오늘 TODAY","예정 OPEN")))))</f>
      </c>
      <c r="M783" s="42">
        <f>IF($A783="","",IF($I783="Y","수신거부: 문자·이메일 보내지 않기",IF(OR($E783="SMS",$E783="EMAIL"),IF(OR($H783="",$H783="NONE"),"동의 근거 없음: 전화·방문만",IF($H783="INQUIRY",IF(N($N783)=0,"견적 요청일을 못 찾음: 관련 ID에 견적 ID(Q-…)를 넣었는지 확인",IF('설정 Settings'!$C$15&gt;N($N783),"문의 후 6개월 지남: 다른 동의 근거 필요","OK: 이름·주소·연락처·수신거부 문구 넣기")),IF($H783="REFERRAL","소개 후 첫 메시지만 OK: 소개자 이름 + 이름·주소·연락처·수신거부 문구. 두 번째부터는 다른 동의 근거 필요",IF(AND($H783="REPLY",$D783&lt;&gt;"QUOTE",$D783&lt;&gt;"CALLBACK"),"문의에 대한 답장이 아님: EXPRESS 또는 INQUIRY 동의 필요","OK: 이름·주소·연락처·수신거부 문구 넣기")))),"")))</f>
      </c>
      <c r="N783" s="40">
        <f>IF($H783="INQUIRY",IFERROR(EDATE(INDEX('견적 Quotes'!$B$3:$B$1002,MATCH($C783,'견적 Quotes'!$A$3:$A$1002,0)),'설정 Settings'!$C$20),""),"")</f>
      </c>
    </row>
    <row r="784" spans="12:14" x14ac:dyDescent="0.25">
      <c r="L784" s="42">
        <f>IF($A784="","",IF($G784="Y","완료 DONE",IF($F784="","날짜 없음",IF($F784&lt;'설정 Settings'!$C$15,"지남 OVERDUE",IF($F784='설정 Settings'!$C$15,"오늘 TODAY","예정 OPEN")))))</f>
      </c>
      <c r="M784" s="42">
        <f>IF($A784="","",IF($I784="Y","수신거부: 문자·이메일 보내지 않기",IF(OR($E784="SMS",$E784="EMAIL"),IF(OR($H784="",$H784="NONE"),"동의 근거 없음: 전화·방문만",IF($H784="INQUIRY",IF(N($N784)=0,"견적 요청일을 못 찾음: 관련 ID에 견적 ID(Q-…)를 넣었는지 확인",IF('설정 Settings'!$C$15&gt;N($N784),"문의 후 6개월 지남: 다른 동의 근거 필요","OK: 이름·주소·연락처·수신거부 문구 넣기")),IF($H784="REFERRAL","소개 후 첫 메시지만 OK: 소개자 이름 + 이름·주소·연락처·수신거부 문구. 두 번째부터는 다른 동의 근거 필요",IF(AND($H784="REPLY",$D784&lt;&gt;"QUOTE",$D784&lt;&gt;"CALLBACK"),"문의에 대한 답장이 아님: EXPRESS 또는 INQUIRY 동의 필요","OK: 이름·주소·연락처·수신거부 문구 넣기")))),"")))</f>
      </c>
      <c r="N784" s="40">
        <f>IF($H784="INQUIRY",IFERROR(EDATE(INDEX('견적 Quotes'!$B$3:$B$1002,MATCH($C784,'견적 Quotes'!$A$3:$A$1002,0)),'설정 Settings'!$C$20),""),"")</f>
      </c>
    </row>
    <row r="785" spans="12:14" x14ac:dyDescent="0.25">
      <c r="L785" s="42">
        <f>IF($A785="","",IF($G785="Y","완료 DONE",IF($F785="","날짜 없음",IF($F785&lt;'설정 Settings'!$C$15,"지남 OVERDUE",IF($F785='설정 Settings'!$C$15,"오늘 TODAY","예정 OPEN")))))</f>
      </c>
      <c r="M785" s="42">
        <f>IF($A785="","",IF($I785="Y","수신거부: 문자·이메일 보내지 않기",IF(OR($E785="SMS",$E785="EMAIL"),IF(OR($H785="",$H785="NONE"),"동의 근거 없음: 전화·방문만",IF($H785="INQUIRY",IF(N($N785)=0,"견적 요청일을 못 찾음: 관련 ID에 견적 ID(Q-…)를 넣었는지 확인",IF('설정 Settings'!$C$15&gt;N($N785),"문의 후 6개월 지남: 다른 동의 근거 필요","OK: 이름·주소·연락처·수신거부 문구 넣기")),IF($H785="REFERRAL","소개 후 첫 메시지만 OK: 소개자 이름 + 이름·주소·연락처·수신거부 문구. 두 번째부터는 다른 동의 근거 필요",IF(AND($H785="REPLY",$D785&lt;&gt;"QUOTE",$D785&lt;&gt;"CALLBACK"),"문의에 대한 답장이 아님: EXPRESS 또는 INQUIRY 동의 필요","OK: 이름·주소·연락처·수신거부 문구 넣기")))),"")))</f>
      </c>
      <c r="N785" s="40">
        <f>IF($H785="INQUIRY",IFERROR(EDATE(INDEX('견적 Quotes'!$B$3:$B$1002,MATCH($C785,'견적 Quotes'!$A$3:$A$1002,0)),'설정 Settings'!$C$20),""),"")</f>
      </c>
    </row>
    <row r="786" spans="12:14" x14ac:dyDescent="0.25">
      <c r="L786" s="42">
        <f>IF($A786="","",IF($G786="Y","완료 DONE",IF($F786="","날짜 없음",IF($F786&lt;'설정 Settings'!$C$15,"지남 OVERDUE",IF($F786='설정 Settings'!$C$15,"오늘 TODAY","예정 OPEN")))))</f>
      </c>
      <c r="M786" s="42">
        <f>IF($A786="","",IF($I786="Y","수신거부: 문자·이메일 보내지 않기",IF(OR($E786="SMS",$E786="EMAIL"),IF(OR($H786="",$H786="NONE"),"동의 근거 없음: 전화·방문만",IF($H786="INQUIRY",IF(N($N786)=0,"견적 요청일을 못 찾음: 관련 ID에 견적 ID(Q-…)를 넣었는지 확인",IF('설정 Settings'!$C$15&gt;N($N786),"문의 후 6개월 지남: 다른 동의 근거 필요","OK: 이름·주소·연락처·수신거부 문구 넣기")),IF($H786="REFERRAL","소개 후 첫 메시지만 OK: 소개자 이름 + 이름·주소·연락처·수신거부 문구. 두 번째부터는 다른 동의 근거 필요",IF(AND($H786="REPLY",$D786&lt;&gt;"QUOTE",$D786&lt;&gt;"CALLBACK"),"문의에 대한 답장이 아님: EXPRESS 또는 INQUIRY 동의 필요","OK: 이름·주소·연락처·수신거부 문구 넣기")))),"")))</f>
      </c>
      <c r="N786" s="40">
        <f>IF($H786="INQUIRY",IFERROR(EDATE(INDEX('견적 Quotes'!$B$3:$B$1002,MATCH($C786,'견적 Quotes'!$A$3:$A$1002,0)),'설정 Settings'!$C$20),""),"")</f>
      </c>
    </row>
    <row r="787" spans="12:14" x14ac:dyDescent="0.25">
      <c r="L787" s="42">
        <f>IF($A787="","",IF($G787="Y","완료 DONE",IF($F787="","날짜 없음",IF($F787&lt;'설정 Settings'!$C$15,"지남 OVERDUE",IF($F787='설정 Settings'!$C$15,"오늘 TODAY","예정 OPEN")))))</f>
      </c>
      <c r="M787" s="42">
        <f>IF($A787="","",IF($I787="Y","수신거부: 문자·이메일 보내지 않기",IF(OR($E787="SMS",$E787="EMAIL"),IF(OR($H787="",$H787="NONE"),"동의 근거 없음: 전화·방문만",IF($H787="INQUIRY",IF(N($N787)=0,"견적 요청일을 못 찾음: 관련 ID에 견적 ID(Q-…)를 넣었는지 확인",IF('설정 Settings'!$C$15&gt;N($N787),"문의 후 6개월 지남: 다른 동의 근거 필요","OK: 이름·주소·연락처·수신거부 문구 넣기")),IF($H787="REFERRAL","소개 후 첫 메시지만 OK: 소개자 이름 + 이름·주소·연락처·수신거부 문구. 두 번째부터는 다른 동의 근거 필요",IF(AND($H787="REPLY",$D787&lt;&gt;"QUOTE",$D787&lt;&gt;"CALLBACK"),"문의에 대한 답장이 아님: EXPRESS 또는 INQUIRY 동의 필요","OK: 이름·주소·연락처·수신거부 문구 넣기")))),"")))</f>
      </c>
      <c r="N787" s="40">
        <f>IF($H787="INQUIRY",IFERROR(EDATE(INDEX('견적 Quotes'!$B$3:$B$1002,MATCH($C787,'견적 Quotes'!$A$3:$A$1002,0)),'설정 Settings'!$C$20),""),"")</f>
      </c>
    </row>
    <row r="788" spans="12:14" x14ac:dyDescent="0.25">
      <c r="L788" s="42">
        <f>IF($A788="","",IF($G788="Y","완료 DONE",IF($F788="","날짜 없음",IF($F788&lt;'설정 Settings'!$C$15,"지남 OVERDUE",IF($F788='설정 Settings'!$C$15,"오늘 TODAY","예정 OPEN")))))</f>
      </c>
      <c r="M788" s="42">
        <f>IF($A788="","",IF($I788="Y","수신거부: 문자·이메일 보내지 않기",IF(OR($E788="SMS",$E788="EMAIL"),IF(OR($H788="",$H788="NONE"),"동의 근거 없음: 전화·방문만",IF($H788="INQUIRY",IF(N($N788)=0,"견적 요청일을 못 찾음: 관련 ID에 견적 ID(Q-…)를 넣었는지 확인",IF('설정 Settings'!$C$15&gt;N($N788),"문의 후 6개월 지남: 다른 동의 근거 필요","OK: 이름·주소·연락처·수신거부 문구 넣기")),IF($H788="REFERRAL","소개 후 첫 메시지만 OK: 소개자 이름 + 이름·주소·연락처·수신거부 문구. 두 번째부터는 다른 동의 근거 필요",IF(AND($H788="REPLY",$D788&lt;&gt;"QUOTE",$D788&lt;&gt;"CALLBACK"),"문의에 대한 답장이 아님: EXPRESS 또는 INQUIRY 동의 필요","OK: 이름·주소·연락처·수신거부 문구 넣기")))),"")))</f>
      </c>
      <c r="N788" s="40">
        <f>IF($H788="INQUIRY",IFERROR(EDATE(INDEX('견적 Quotes'!$B$3:$B$1002,MATCH($C788,'견적 Quotes'!$A$3:$A$1002,0)),'설정 Settings'!$C$20),""),"")</f>
      </c>
    </row>
    <row r="789" spans="12:14" x14ac:dyDescent="0.25">
      <c r="L789" s="42">
        <f>IF($A789="","",IF($G789="Y","완료 DONE",IF($F789="","날짜 없음",IF($F789&lt;'설정 Settings'!$C$15,"지남 OVERDUE",IF($F789='설정 Settings'!$C$15,"오늘 TODAY","예정 OPEN")))))</f>
      </c>
      <c r="M789" s="42">
        <f>IF($A789="","",IF($I789="Y","수신거부: 문자·이메일 보내지 않기",IF(OR($E789="SMS",$E789="EMAIL"),IF(OR($H789="",$H789="NONE"),"동의 근거 없음: 전화·방문만",IF($H789="INQUIRY",IF(N($N789)=0,"견적 요청일을 못 찾음: 관련 ID에 견적 ID(Q-…)를 넣었는지 확인",IF('설정 Settings'!$C$15&gt;N($N789),"문의 후 6개월 지남: 다른 동의 근거 필요","OK: 이름·주소·연락처·수신거부 문구 넣기")),IF($H789="REFERRAL","소개 후 첫 메시지만 OK: 소개자 이름 + 이름·주소·연락처·수신거부 문구. 두 번째부터는 다른 동의 근거 필요",IF(AND($H789="REPLY",$D789&lt;&gt;"QUOTE",$D789&lt;&gt;"CALLBACK"),"문의에 대한 답장이 아님: EXPRESS 또는 INQUIRY 동의 필요","OK: 이름·주소·연락처·수신거부 문구 넣기")))),"")))</f>
      </c>
      <c r="N789" s="40">
        <f>IF($H789="INQUIRY",IFERROR(EDATE(INDEX('견적 Quotes'!$B$3:$B$1002,MATCH($C789,'견적 Quotes'!$A$3:$A$1002,0)),'설정 Settings'!$C$20),""),"")</f>
      </c>
    </row>
    <row r="790" spans="12:14" x14ac:dyDescent="0.25">
      <c r="L790" s="42">
        <f>IF($A790="","",IF($G790="Y","완료 DONE",IF($F790="","날짜 없음",IF($F790&lt;'설정 Settings'!$C$15,"지남 OVERDUE",IF($F790='설정 Settings'!$C$15,"오늘 TODAY","예정 OPEN")))))</f>
      </c>
      <c r="M790" s="42">
        <f>IF($A790="","",IF($I790="Y","수신거부: 문자·이메일 보내지 않기",IF(OR($E790="SMS",$E790="EMAIL"),IF(OR($H790="",$H790="NONE"),"동의 근거 없음: 전화·방문만",IF($H790="INQUIRY",IF(N($N790)=0,"견적 요청일을 못 찾음: 관련 ID에 견적 ID(Q-…)를 넣었는지 확인",IF('설정 Settings'!$C$15&gt;N($N790),"문의 후 6개월 지남: 다른 동의 근거 필요","OK: 이름·주소·연락처·수신거부 문구 넣기")),IF($H790="REFERRAL","소개 후 첫 메시지만 OK: 소개자 이름 + 이름·주소·연락처·수신거부 문구. 두 번째부터는 다른 동의 근거 필요",IF(AND($H790="REPLY",$D790&lt;&gt;"QUOTE",$D790&lt;&gt;"CALLBACK"),"문의에 대한 답장이 아님: EXPRESS 또는 INQUIRY 동의 필요","OK: 이름·주소·연락처·수신거부 문구 넣기")))),"")))</f>
      </c>
      <c r="N790" s="40">
        <f>IF($H790="INQUIRY",IFERROR(EDATE(INDEX('견적 Quotes'!$B$3:$B$1002,MATCH($C790,'견적 Quotes'!$A$3:$A$1002,0)),'설정 Settings'!$C$20),""),"")</f>
      </c>
    </row>
    <row r="791" spans="12:14" x14ac:dyDescent="0.25">
      <c r="L791" s="42">
        <f>IF($A791="","",IF($G791="Y","완료 DONE",IF($F791="","날짜 없음",IF($F791&lt;'설정 Settings'!$C$15,"지남 OVERDUE",IF($F791='설정 Settings'!$C$15,"오늘 TODAY","예정 OPEN")))))</f>
      </c>
      <c r="M791" s="42">
        <f>IF($A791="","",IF($I791="Y","수신거부: 문자·이메일 보내지 않기",IF(OR($E791="SMS",$E791="EMAIL"),IF(OR($H791="",$H791="NONE"),"동의 근거 없음: 전화·방문만",IF($H791="INQUIRY",IF(N($N791)=0,"견적 요청일을 못 찾음: 관련 ID에 견적 ID(Q-…)를 넣었는지 확인",IF('설정 Settings'!$C$15&gt;N($N791),"문의 후 6개월 지남: 다른 동의 근거 필요","OK: 이름·주소·연락처·수신거부 문구 넣기")),IF($H791="REFERRAL","소개 후 첫 메시지만 OK: 소개자 이름 + 이름·주소·연락처·수신거부 문구. 두 번째부터는 다른 동의 근거 필요",IF(AND($H791="REPLY",$D791&lt;&gt;"QUOTE",$D791&lt;&gt;"CALLBACK"),"문의에 대한 답장이 아님: EXPRESS 또는 INQUIRY 동의 필요","OK: 이름·주소·연락처·수신거부 문구 넣기")))),"")))</f>
      </c>
      <c r="N791" s="40">
        <f>IF($H791="INQUIRY",IFERROR(EDATE(INDEX('견적 Quotes'!$B$3:$B$1002,MATCH($C791,'견적 Quotes'!$A$3:$A$1002,0)),'설정 Settings'!$C$20),""),"")</f>
      </c>
    </row>
    <row r="792" spans="12:14" x14ac:dyDescent="0.25">
      <c r="L792" s="42">
        <f>IF($A792="","",IF($G792="Y","완료 DONE",IF($F792="","날짜 없음",IF($F792&lt;'설정 Settings'!$C$15,"지남 OVERDUE",IF($F792='설정 Settings'!$C$15,"오늘 TODAY","예정 OPEN")))))</f>
      </c>
      <c r="M792" s="42">
        <f>IF($A792="","",IF($I792="Y","수신거부: 문자·이메일 보내지 않기",IF(OR($E792="SMS",$E792="EMAIL"),IF(OR($H792="",$H792="NONE"),"동의 근거 없음: 전화·방문만",IF($H792="INQUIRY",IF(N($N792)=0,"견적 요청일을 못 찾음: 관련 ID에 견적 ID(Q-…)를 넣었는지 확인",IF('설정 Settings'!$C$15&gt;N($N792),"문의 후 6개월 지남: 다른 동의 근거 필요","OK: 이름·주소·연락처·수신거부 문구 넣기")),IF($H792="REFERRAL","소개 후 첫 메시지만 OK: 소개자 이름 + 이름·주소·연락처·수신거부 문구. 두 번째부터는 다른 동의 근거 필요",IF(AND($H792="REPLY",$D792&lt;&gt;"QUOTE",$D792&lt;&gt;"CALLBACK"),"문의에 대한 답장이 아님: EXPRESS 또는 INQUIRY 동의 필요","OK: 이름·주소·연락처·수신거부 문구 넣기")))),"")))</f>
      </c>
      <c r="N792" s="40">
        <f>IF($H792="INQUIRY",IFERROR(EDATE(INDEX('견적 Quotes'!$B$3:$B$1002,MATCH($C792,'견적 Quotes'!$A$3:$A$1002,0)),'설정 Settings'!$C$20),""),"")</f>
      </c>
    </row>
    <row r="793" spans="12:14" x14ac:dyDescent="0.25">
      <c r="L793" s="42">
        <f>IF($A793="","",IF($G793="Y","완료 DONE",IF($F793="","날짜 없음",IF($F793&lt;'설정 Settings'!$C$15,"지남 OVERDUE",IF($F793='설정 Settings'!$C$15,"오늘 TODAY","예정 OPEN")))))</f>
      </c>
      <c r="M793" s="42">
        <f>IF($A793="","",IF($I793="Y","수신거부: 문자·이메일 보내지 않기",IF(OR($E793="SMS",$E793="EMAIL"),IF(OR($H793="",$H793="NONE"),"동의 근거 없음: 전화·방문만",IF($H793="INQUIRY",IF(N($N793)=0,"견적 요청일을 못 찾음: 관련 ID에 견적 ID(Q-…)를 넣었는지 확인",IF('설정 Settings'!$C$15&gt;N($N793),"문의 후 6개월 지남: 다른 동의 근거 필요","OK: 이름·주소·연락처·수신거부 문구 넣기")),IF($H793="REFERRAL","소개 후 첫 메시지만 OK: 소개자 이름 + 이름·주소·연락처·수신거부 문구. 두 번째부터는 다른 동의 근거 필요",IF(AND($H793="REPLY",$D793&lt;&gt;"QUOTE",$D793&lt;&gt;"CALLBACK"),"문의에 대한 답장이 아님: EXPRESS 또는 INQUIRY 동의 필요","OK: 이름·주소·연락처·수신거부 문구 넣기")))),"")))</f>
      </c>
      <c r="N793" s="40">
        <f>IF($H793="INQUIRY",IFERROR(EDATE(INDEX('견적 Quotes'!$B$3:$B$1002,MATCH($C793,'견적 Quotes'!$A$3:$A$1002,0)),'설정 Settings'!$C$20),""),"")</f>
      </c>
    </row>
    <row r="794" spans="12:14" x14ac:dyDescent="0.25">
      <c r="L794" s="42">
        <f>IF($A794="","",IF($G794="Y","완료 DONE",IF($F794="","날짜 없음",IF($F794&lt;'설정 Settings'!$C$15,"지남 OVERDUE",IF($F794='설정 Settings'!$C$15,"오늘 TODAY","예정 OPEN")))))</f>
      </c>
      <c r="M794" s="42">
        <f>IF($A794="","",IF($I794="Y","수신거부: 문자·이메일 보내지 않기",IF(OR($E794="SMS",$E794="EMAIL"),IF(OR($H794="",$H794="NONE"),"동의 근거 없음: 전화·방문만",IF($H794="INQUIRY",IF(N($N794)=0,"견적 요청일을 못 찾음: 관련 ID에 견적 ID(Q-…)를 넣었는지 확인",IF('설정 Settings'!$C$15&gt;N($N794),"문의 후 6개월 지남: 다른 동의 근거 필요","OK: 이름·주소·연락처·수신거부 문구 넣기")),IF($H794="REFERRAL","소개 후 첫 메시지만 OK: 소개자 이름 + 이름·주소·연락처·수신거부 문구. 두 번째부터는 다른 동의 근거 필요",IF(AND($H794="REPLY",$D794&lt;&gt;"QUOTE",$D794&lt;&gt;"CALLBACK"),"문의에 대한 답장이 아님: EXPRESS 또는 INQUIRY 동의 필요","OK: 이름·주소·연락처·수신거부 문구 넣기")))),"")))</f>
      </c>
      <c r="N794" s="40">
        <f>IF($H794="INQUIRY",IFERROR(EDATE(INDEX('견적 Quotes'!$B$3:$B$1002,MATCH($C794,'견적 Quotes'!$A$3:$A$1002,0)),'설정 Settings'!$C$20),""),"")</f>
      </c>
    </row>
    <row r="795" spans="12:14" x14ac:dyDescent="0.25">
      <c r="L795" s="42">
        <f>IF($A795="","",IF($G795="Y","완료 DONE",IF($F795="","날짜 없음",IF($F795&lt;'설정 Settings'!$C$15,"지남 OVERDUE",IF($F795='설정 Settings'!$C$15,"오늘 TODAY","예정 OPEN")))))</f>
      </c>
      <c r="M795" s="42">
        <f>IF($A795="","",IF($I795="Y","수신거부: 문자·이메일 보내지 않기",IF(OR($E795="SMS",$E795="EMAIL"),IF(OR($H795="",$H795="NONE"),"동의 근거 없음: 전화·방문만",IF($H795="INQUIRY",IF(N($N795)=0,"견적 요청일을 못 찾음: 관련 ID에 견적 ID(Q-…)를 넣었는지 확인",IF('설정 Settings'!$C$15&gt;N($N795),"문의 후 6개월 지남: 다른 동의 근거 필요","OK: 이름·주소·연락처·수신거부 문구 넣기")),IF($H795="REFERRAL","소개 후 첫 메시지만 OK: 소개자 이름 + 이름·주소·연락처·수신거부 문구. 두 번째부터는 다른 동의 근거 필요",IF(AND($H795="REPLY",$D795&lt;&gt;"QUOTE",$D795&lt;&gt;"CALLBACK"),"문의에 대한 답장이 아님: EXPRESS 또는 INQUIRY 동의 필요","OK: 이름·주소·연락처·수신거부 문구 넣기")))),"")))</f>
      </c>
      <c r="N795" s="40">
        <f>IF($H795="INQUIRY",IFERROR(EDATE(INDEX('견적 Quotes'!$B$3:$B$1002,MATCH($C795,'견적 Quotes'!$A$3:$A$1002,0)),'설정 Settings'!$C$20),""),"")</f>
      </c>
    </row>
    <row r="796" spans="12:14" x14ac:dyDescent="0.25">
      <c r="L796" s="42">
        <f>IF($A796="","",IF($G796="Y","완료 DONE",IF($F796="","날짜 없음",IF($F796&lt;'설정 Settings'!$C$15,"지남 OVERDUE",IF($F796='설정 Settings'!$C$15,"오늘 TODAY","예정 OPEN")))))</f>
      </c>
      <c r="M796" s="42">
        <f>IF($A796="","",IF($I796="Y","수신거부: 문자·이메일 보내지 않기",IF(OR($E796="SMS",$E796="EMAIL"),IF(OR($H796="",$H796="NONE"),"동의 근거 없음: 전화·방문만",IF($H796="INQUIRY",IF(N($N796)=0,"견적 요청일을 못 찾음: 관련 ID에 견적 ID(Q-…)를 넣었는지 확인",IF('설정 Settings'!$C$15&gt;N($N796),"문의 후 6개월 지남: 다른 동의 근거 필요","OK: 이름·주소·연락처·수신거부 문구 넣기")),IF($H796="REFERRAL","소개 후 첫 메시지만 OK: 소개자 이름 + 이름·주소·연락처·수신거부 문구. 두 번째부터는 다른 동의 근거 필요",IF(AND($H796="REPLY",$D796&lt;&gt;"QUOTE",$D796&lt;&gt;"CALLBACK"),"문의에 대한 답장이 아님: EXPRESS 또는 INQUIRY 동의 필요","OK: 이름·주소·연락처·수신거부 문구 넣기")))),"")))</f>
      </c>
      <c r="N796" s="40">
        <f>IF($H796="INQUIRY",IFERROR(EDATE(INDEX('견적 Quotes'!$B$3:$B$1002,MATCH($C796,'견적 Quotes'!$A$3:$A$1002,0)),'설정 Settings'!$C$20),""),"")</f>
      </c>
    </row>
    <row r="797" spans="12:14" x14ac:dyDescent="0.25">
      <c r="L797" s="42">
        <f>IF($A797="","",IF($G797="Y","완료 DONE",IF($F797="","날짜 없음",IF($F797&lt;'설정 Settings'!$C$15,"지남 OVERDUE",IF($F797='설정 Settings'!$C$15,"오늘 TODAY","예정 OPEN")))))</f>
      </c>
      <c r="M797" s="42">
        <f>IF($A797="","",IF($I797="Y","수신거부: 문자·이메일 보내지 않기",IF(OR($E797="SMS",$E797="EMAIL"),IF(OR($H797="",$H797="NONE"),"동의 근거 없음: 전화·방문만",IF($H797="INQUIRY",IF(N($N797)=0,"견적 요청일을 못 찾음: 관련 ID에 견적 ID(Q-…)를 넣었는지 확인",IF('설정 Settings'!$C$15&gt;N($N797),"문의 후 6개월 지남: 다른 동의 근거 필요","OK: 이름·주소·연락처·수신거부 문구 넣기")),IF($H797="REFERRAL","소개 후 첫 메시지만 OK: 소개자 이름 + 이름·주소·연락처·수신거부 문구. 두 번째부터는 다른 동의 근거 필요",IF(AND($H797="REPLY",$D797&lt;&gt;"QUOTE",$D797&lt;&gt;"CALLBACK"),"문의에 대한 답장이 아님: EXPRESS 또는 INQUIRY 동의 필요","OK: 이름·주소·연락처·수신거부 문구 넣기")))),"")))</f>
      </c>
      <c r="N797" s="40">
        <f>IF($H797="INQUIRY",IFERROR(EDATE(INDEX('견적 Quotes'!$B$3:$B$1002,MATCH($C797,'견적 Quotes'!$A$3:$A$1002,0)),'설정 Settings'!$C$20),""),"")</f>
      </c>
    </row>
    <row r="798" spans="12:14" x14ac:dyDescent="0.25">
      <c r="L798" s="42">
        <f>IF($A798="","",IF($G798="Y","완료 DONE",IF($F798="","날짜 없음",IF($F798&lt;'설정 Settings'!$C$15,"지남 OVERDUE",IF($F798='설정 Settings'!$C$15,"오늘 TODAY","예정 OPEN")))))</f>
      </c>
      <c r="M798" s="42">
        <f>IF($A798="","",IF($I798="Y","수신거부: 문자·이메일 보내지 않기",IF(OR($E798="SMS",$E798="EMAIL"),IF(OR($H798="",$H798="NONE"),"동의 근거 없음: 전화·방문만",IF($H798="INQUIRY",IF(N($N798)=0,"견적 요청일을 못 찾음: 관련 ID에 견적 ID(Q-…)를 넣었는지 확인",IF('설정 Settings'!$C$15&gt;N($N798),"문의 후 6개월 지남: 다른 동의 근거 필요","OK: 이름·주소·연락처·수신거부 문구 넣기")),IF($H798="REFERRAL","소개 후 첫 메시지만 OK: 소개자 이름 + 이름·주소·연락처·수신거부 문구. 두 번째부터는 다른 동의 근거 필요",IF(AND($H798="REPLY",$D798&lt;&gt;"QUOTE",$D798&lt;&gt;"CALLBACK"),"문의에 대한 답장이 아님: EXPRESS 또는 INQUIRY 동의 필요","OK: 이름·주소·연락처·수신거부 문구 넣기")))),"")))</f>
      </c>
      <c r="N798" s="40">
        <f>IF($H798="INQUIRY",IFERROR(EDATE(INDEX('견적 Quotes'!$B$3:$B$1002,MATCH($C798,'견적 Quotes'!$A$3:$A$1002,0)),'설정 Settings'!$C$20),""),"")</f>
      </c>
    </row>
    <row r="799" spans="12:14" x14ac:dyDescent="0.25">
      <c r="L799" s="42">
        <f>IF($A799="","",IF($G799="Y","완료 DONE",IF($F799="","날짜 없음",IF($F799&lt;'설정 Settings'!$C$15,"지남 OVERDUE",IF($F799='설정 Settings'!$C$15,"오늘 TODAY","예정 OPEN")))))</f>
      </c>
      <c r="M799" s="42">
        <f>IF($A799="","",IF($I799="Y","수신거부: 문자·이메일 보내지 않기",IF(OR($E799="SMS",$E799="EMAIL"),IF(OR($H799="",$H799="NONE"),"동의 근거 없음: 전화·방문만",IF($H799="INQUIRY",IF(N($N799)=0,"견적 요청일을 못 찾음: 관련 ID에 견적 ID(Q-…)를 넣었는지 확인",IF('설정 Settings'!$C$15&gt;N($N799),"문의 후 6개월 지남: 다른 동의 근거 필요","OK: 이름·주소·연락처·수신거부 문구 넣기")),IF($H799="REFERRAL","소개 후 첫 메시지만 OK: 소개자 이름 + 이름·주소·연락처·수신거부 문구. 두 번째부터는 다른 동의 근거 필요",IF(AND($H799="REPLY",$D799&lt;&gt;"QUOTE",$D799&lt;&gt;"CALLBACK"),"문의에 대한 답장이 아님: EXPRESS 또는 INQUIRY 동의 필요","OK: 이름·주소·연락처·수신거부 문구 넣기")))),"")))</f>
      </c>
      <c r="N799" s="40">
        <f>IF($H799="INQUIRY",IFERROR(EDATE(INDEX('견적 Quotes'!$B$3:$B$1002,MATCH($C799,'견적 Quotes'!$A$3:$A$1002,0)),'설정 Settings'!$C$20),""),"")</f>
      </c>
    </row>
    <row r="800" spans="12:14" x14ac:dyDescent="0.25">
      <c r="L800" s="42">
        <f>IF($A800="","",IF($G800="Y","완료 DONE",IF($F800="","날짜 없음",IF($F800&lt;'설정 Settings'!$C$15,"지남 OVERDUE",IF($F800='설정 Settings'!$C$15,"오늘 TODAY","예정 OPEN")))))</f>
      </c>
      <c r="M800" s="42">
        <f>IF($A800="","",IF($I800="Y","수신거부: 문자·이메일 보내지 않기",IF(OR($E800="SMS",$E800="EMAIL"),IF(OR($H800="",$H800="NONE"),"동의 근거 없음: 전화·방문만",IF($H800="INQUIRY",IF(N($N800)=0,"견적 요청일을 못 찾음: 관련 ID에 견적 ID(Q-…)를 넣었는지 확인",IF('설정 Settings'!$C$15&gt;N($N800),"문의 후 6개월 지남: 다른 동의 근거 필요","OK: 이름·주소·연락처·수신거부 문구 넣기")),IF($H800="REFERRAL","소개 후 첫 메시지만 OK: 소개자 이름 + 이름·주소·연락처·수신거부 문구. 두 번째부터는 다른 동의 근거 필요",IF(AND($H800="REPLY",$D800&lt;&gt;"QUOTE",$D800&lt;&gt;"CALLBACK"),"문의에 대한 답장이 아님: EXPRESS 또는 INQUIRY 동의 필요","OK: 이름·주소·연락처·수신거부 문구 넣기")))),"")))</f>
      </c>
      <c r="N800" s="40">
        <f>IF($H800="INQUIRY",IFERROR(EDATE(INDEX('견적 Quotes'!$B$3:$B$1002,MATCH($C800,'견적 Quotes'!$A$3:$A$1002,0)),'설정 Settings'!$C$20),""),"")</f>
      </c>
    </row>
    <row r="801" spans="12:14" x14ac:dyDescent="0.25">
      <c r="L801" s="42">
        <f>IF($A801="","",IF($G801="Y","완료 DONE",IF($F801="","날짜 없음",IF($F801&lt;'설정 Settings'!$C$15,"지남 OVERDUE",IF($F801='설정 Settings'!$C$15,"오늘 TODAY","예정 OPEN")))))</f>
      </c>
      <c r="M801" s="42">
        <f>IF($A801="","",IF($I801="Y","수신거부: 문자·이메일 보내지 않기",IF(OR($E801="SMS",$E801="EMAIL"),IF(OR($H801="",$H801="NONE"),"동의 근거 없음: 전화·방문만",IF($H801="INQUIRY",IF(N($N801)=0,"견적 요청일을 못 찾음: 관련 ID에 견적 ID(Q-…)를 넣었는지 확인",IF('설정 Settings'!$C$15&gt;N($N801),"문의 후 6개월 지남: 다른 동의 근거 필요","OK: 이름·주소·연락처·수신거부 문구 넣기")),IF($H801="REFERRAL","소개 후 첫 메시지만 OK: 소개자 이름 + 이름·주소·연락처·수신거부 문구. 두 번째부터는 다른 동의 근거 필요",IF(AND($H801="REPLY",$D801&lt;&gt;"QUOTE",$D801&lt;&gt;"CALLBACK"),"문의에 대한 답장이 아님: EXPRESS 또는 INQUIRY 동의 필요","OK: 이름·주소·연락처·수신거부 문구 넣기")))),"")))</f>
      </c>
      <c r="N801" s="40">
        <f>IF($H801="INQUIRY",IFERROR(EDATE(INDEX('견적 Quotes'!$B$3:$B$1002,MATCH($C801,'견적 Quotes'!$A$3:$A$1002,0)),'설정 Settings'!$C$20),""),"")</f>
      </c>
    </row>
    <row r="802" spans="12:14" x14ac:dyDescent="0.25">
      <c r="L802" s="42">
        <f>IF($A802="","",IF($G802="Y","완료 DONE",IF($F802="","날짜 없음",IF($F802&lt;'설정 Settings'!$C$15,"지남 OVERDUE",IF($F802='설정 Settings'!$C$15,"오늘 TODAY","예정 OPEN")))))</f>
      </c>
      <c r="M802" s="42">
        <f>IF($A802="","",IF($I802="Y","수신거부: 문자·이메일 보내지 않기",IF(OR($E802="SMS",$E802="EMAIL"),IF(OR($H802="",$H802="NONE"),"동의 근거 없음: 전화·방문만",IF($H802="INQUIRY",IF(N($N802)=0,"견적 요청일을 못 찾음: 관련 ID에 견적 ID(Q-…)를 넣었는지 확인",IF('설정 Settings'!$C$15&gt;N($N802),"문의 후 6개월 지남: 다른 동의 근거 필요","OK: 이름·주소·연락처·수신거부 문구 넣기")),IF($H802="REFERRAL","소개 후 첫 메시지만 OK: 소개자 이름 + 이름·주소·연락처·수신거부 문구. 두 번째부터는 다른 동의 근거 필요",IF(AND($H802="REPLY",$D802&lt;&gt;"QUOTE",$D802&lt;&gt;"CALLBACK"),"문의에 대한 답장이 아님: EXPRESS 또는 INQUIRY 동의 필요","OK: 이름·주소·연락처·수신거부 문구 넣기")))),"")))</f>
      </c>
      <c r="N802" s="40">
        <f>IF($H802="INQUIRY",IFERROR(EDATE(INDEX('견적 Quotes'!$B$3:$B$1002,MATCH($C802,'견적 Quotes'!$A$3:$A$1002,0)),'설정 Settings'!$C$20),""),"")</f>
      </c>
    </row>
    <row r="803" spans="12:14" x14ac:dyDescent="0.25">
      <c r="L803" s="42">
        <f>IF($A803="","",IF($G803="Y","완료 DONE",IF($F803="","날짜 없음",IF($F803&lt;'설정 Settings'!$C$15,"지남 OVERDUE",IF($F803='설정 Settings'!$C$15,"오늘 TODAY","예정 OPEN")))))</f>
      </c>
      <c r="M803" s="42">
        <f>IF($A803="","",IF($I803="Y","수신거부: 문자·이메일 보내지 않기",IF(OR($E803="SMS",$E803="EMAIL"),IF(OR($H803="",$H803="NONE"),"동의 근거 없음: 전화·방문만",IF($H803="INQUIRY",IF(N($N803)=0,"견적 요청일을 못 찾음: 관련 ID에 견적 ID(Q-…)를 넣었는지 확인",IF('설정 Settings'!$C$15&gt;N($N803),"문의 후 6개월 지남: 다른 동의 근거 필요","OK: 이름·주소·연락처·수신거부 문구 넣기")),IF($H803="REFERRAL","소개 후 첫 메시지만 OK: 소개자 이름 + 이름·주소·연락처·수신거부 문구. 두 번째부터는 다른 동의 근거 필요",IF(AND($H803="REPLY",$D803&lt;&gt;"QUOTE",$D803&lt;&gt;"CALLBACK"),"문의에 대한 답장이 아님: EXPRESS 또는 INQUIRY 동의 필요","OK: 이름·주소·연락처·수신거부 문구 넣기")))),"")))</f>
      </c>
      <c r="N803" s="40">
        <f>IF($H803="INQUIRY",IFERROR(EDATE(INDEX('견적 Quotes'!$B$3:$B$1002,MATCH($C803,'견적 Quotes'!$A$3:$A$1002,0)),'설정 Settings'!$C$20),""),"")</f>
      </c>
    </row>
    <row r="804" spans="12:14" x14ac:dyDescent="0.25">
      <c r="L804" s="42">
        <f>IF($A804="","",IF($G804="Y","완료 DONE",IF($F804="","날짜 없음",IF($F804&lt;'설정 Settings'!$C$15,"지남 OVERDUE",IF($F804='설정 Settings'!$C$15,"오늘 TODAY","예정 OPEN")))))</f>
      </c>
      <c r="M804" s="42">
        <f>IF($A804="","",IF($I804="Y","수신거부: 문자·이메일 보내지 않기",IF(OR($E804="SMS",$E804="EMAIL"),IF(OR($H804="",$H804="NONE"),"동의 근거 없음: 전화·방문만",IF($H804="INQUIRY",IF(N($N804)=0,"견적 요청일을 못 찾음: 관련 ID에 견적 ID(Q-…)를 넣었는지 확인",IF('설정 Settings'!$C$15&gt;N($N804),"문의 후 6개월 지남: 다른 동의 근거 필요","OK: 이름·주소·연락처·수신거부 문구 넣기")),IF($H804="REFERRAL","소개 후 첫 메시지만 OK: 소개자 이름 + 이름·주소·연락처·수신거부 문구. 두 번째부터는 다른 동의 근거 필요",IF(AND($H804="REPLY",$D804&lt;&gt;"QUOTE",$D804&lt;&gt;"CALLBACK"),"문의에 대한 답장이 아님: EXPRESS 또는 INQUIRY 동의 필요","OK: 이름·주소·연락처·수신거부 문구 넣기")))),"")))</f>
      </c>
      <c r="N804" s="40">
        <f>IF($H804="INQUIRY",IFERROR(EDATE(INDEX('견적 Quotes'!$B$3:$B$1002,MATCH($C804,'견적 Quotes'!$A$3:$A$1002,0)),'설정 Settings'!$C$20),""),"")</f>
      </c>
    </row>
    <row r="805" spans="12:14" x14ac:dyDescent="0.25">
      <c r="L805" s="42">
        <f>IF($A805="","",IF($G805="Y","완료 DONE",IF($F805="","날짜 없음",IF($F805&lt;'설정 Settings'!$C$15,"지남 OVERDUE",IF($F805='설정 Settings'!$C$15,"오늘 TODAY","예정 OPEN")))))</f>
      </c>
      <c r="M805" s="42">
        <f>IF($A805="","",IF($I805="Y","수신거부: 문자·이메일 보내지 않기",IF(OR($E805="SMS",$E805="EMAIL"),IF(OR($H805="",$H805="NONE"),"동의 근거 없음: 전화·방문만",IF($H805="INQUIRY",IF(N($N805)=0,"견적 요청일을 못 찾음: 관련 ID에 견적 ID(Q-…)를 넣었는지 확인",IF('설정 Settings'!$C$15&gt;N($N805),"문의 후 6개월 지남: 다른 동의 근거 필요","OK: 이름·주소·연락처·수신거부 문구 넣기")),IF($H805="REFERRAL","소개 후 첫 메시지만 OK: 소개자 이름 + 이름·주소·연락처·수신거부 문구. 두 번째부터는 다른 동의 근거 필요",IF(AND($H805="REPLY",$D805&lt;&gt;"QUOTE",$D805&lt;&gt;"CALLBACK"),"문의에 대한 답장이 아님: EXPRESS 또는 INQUIRY 동의 필요","OK: 이름·주소·연락처·수신거부 문구 넣기")))),"")))</f>
      </c>
      <c r="N805" s="40">
        <f>IF($H805="INQUIRY",IFERROR(EDATE(INDEX('견적 Quotes'!$B$3:$B$1002,MATCH($C805,'견적 Quotes'!$A$3:$A$1002,0)),'설정 Settings'!$C$20),""),"")</f>
      </c>
    </row>
    <row r="806" spans="12:14" x14ac:dyDescent="0.25">
      <c r="L806" s="42">
        <f>IF($A806="","",IF($G806="Y","완료 DONE",IF($F806="","날짜 없음",IF($F806&lt;'설정 Settings'!$C$15,"지남 OVERDUE",IF($F806='설정 Settings'!$C$15,"오늘 TODAY","예정 OPEN")))))</f>
      </c>
      <c r="M806" s="42">
        <f>IF($A806="","",IF($I806="Y","수신거부: 문자·이메일 보내지 않기",IF(OR($E806="SMS",$E806="EMAIL"),IF(OR($H806="",$H806="NONE"),"동의 근거 없음: 전화·방문만",IF($H806="INQUIRY",IF(N($N806)=0,"견적 요청일을 못 찾음: 관련 ID에 견적 ID(Q-…)를 넣었는지 확인",IF('설정 Settings'!$C$15&gt;N($N806),"문의 후 6개월 지남: 다른 동의 근거 필요","OK: 이름·주소·연락처·수신거부 문구 넣기")),IF($H806="REFERRAL","소개 후 첫 메시지만 OK: 소개자 이름 + 이름·주소·연락처·수신거부 문구. 두 번째부터는 다른 동의 근거 필요",IF(AND($H806="REPLY",$D806&lt;&gt;"QUOTE",$D806&lt;&gt;"CALLBACK"),"문의에 대한 답장이 아님: EXPRESS 또는 INQUIRY 동의 필요","OK: 이름·주소·연락처·수신거부 문구 넣기")))),"")))</f>
      </c>
      <c r="N806" s="40">
        <f>IF($H806="INQUIRY",IFERROR(EDATE(INDEX('견적 Quotes'!$B$3:$B$1002,MATCH($C806,'견적 Quotes'!$A$3:$A$1002,0)),'설정 Settings'!$C$20),""),"")</f>
      </c>
    </row>
    <row r="807" spans="12:14" x14ac:dyDescent="0.25">
      <c r="L807" s="42">
        <f>IF($A807="","",IF($G807="Y","완료 DONE",IF($F807="","날짜 없음",IF($F807&lt;'설정 Settings'!$C$15,"지남 OVERDUE",IF($F807='설정 Settings'!$C$15,"오늘 TODAY","예정 OPEN")))))</f>
      </c>
      <c r="M807" s="42">
        <f>IF($A807="","",IF($I807="Y","수신거부: 문자·이메일 보내지 않기",IF(OR($E807="SMS",$E807="EMAIL"),IF(OR($H807="",$H807="NONE"),"동의 근거 없음: 전화·방문만",IF($H807="INQUIRY",IF(N($N807)=0,"견적 요청일을 못 찾음: 관련 ID에 견적 ID(Q-…)를 넣었는지 확인",IF('설정 Settings'!$C$15&gt;N($N807),"문의 후 6개월 지남: 다른 동의 근거 필요","OK: 이름·주소·연락처·수신거부 문구 넣기")),IF($H807="REFERRAL","소개 후 첫 메시지만 OK: 소개자 이름 + 이름·주소·연락처·수신거부 문구. 두 번째부터는 다른 동의 근거 필요",IF(AND($H807="REPLY",$D807&lt;&gt;"QUOTE",$D807&lt;&gt;"CALLBACK"),"문의에 대한 답장이 아님: EXPRESS 또는 INQUIRY 동의 필요","OK: 이름·주소·연락처·수신거부 문구 넣기")))),"")))</f>
      </c>
      <c r="N807" s="40">
        <f>IF($H807="INQUIRY",IFERROR(EDATE(INDEX('견적 Quotes'!$B$3:$B$1002,MATCH($C807,'견적 Quotes'!$A$3:$A$1002,0)),'설정 Settings'!$C$20),""),"")</f>
      </c>
    </row>
    <row r="808" spans="12:14" x14ac:dyDescent="0.25">
      <c r="L808" s="42">
        <f>IF($A808="","",IF($G808="Y","완료 DONE",IF($F808="","날짜 없음",IF($F808&lt;'설정 Settings'!$C$15,"지남 OVERDUE",IF($F808='설정 Settings'!$C$15,"오늘 TODAY","예정 OPEN")))))</f>
      </c>
      <c r="M808" s="42">
        <f>IF($A808="","",IF($I808="Y","수신거부: 문자·이메일 보내지 않기",IF(OR($E808="SMS",$E808="EMAIL"),IF(OR($H808="",$H808="NONE"),"동의 근거 없음: 전화·방문만",IF($H808="INQUIRY",IF(N($N808)=0,"견적 요청일을 못 찾음: 관련 ID에 견적 ID(Q-…)를 넣었는지 확인",IF('설정 Settings'!$C$15&gt;N($N808),"문의 후 6개월 지남: 다른 동의 근거 필요","OK: 이름·주소·연락처·수신거부 문구 넣기")),IF($H808="REFERRAL","소개 후 첫 메시지만 OK: 소개자 이름 + 이름·주소·연락처·수신거부 문구. 두 번째부터는 다른 동의 근거 필요",IF(AND($H808="REPLY",$D808&lt;&gt;"QUOTE",$D808&lt;&gt;"CALLBACK"),"문의에 대한 답장이 아님: EXPRESS 또는 INQUIRY 동의 필요","OK: 이름·주소·연락처·수신거부 문구 넣기")))),"")))</f>
      </c>
      <c r="N808" s="40">
        <f>IF($H808="INQUIRY",IFERROR(EDATE(INDEX('견적 Quotes'!$B$3:$B$1002,MATCH($C808,'견적 Quotes'!$A$3:$A$1002,0)),'설정 Settings'!$C$20),""),"")</f>
      </c>
    </row>
    <row r="809" spans="12:14" x14ac:dyDescent="0.25">
      <c r="L809" s="42">
        <f>IF($A809="","",IF($G809="Y","완료 DONE",IF($F809="","날짜 없음",IF($F809&lt;'설정 Settings'!$C$15,"지남 OVERDUE",IF($F809='설정 Settings'!$C$15,"오늘 TODAY","예정 OPEN")))))</f>
      </c>
      <c r="M809" s="42">
        <f>IF($A809="","",IF($I809="Y","수신거부: 문자·이메일 보내지 않기",IF(OR($E809="SMS",$E809="EMAIL"),IF(OR($H809="",$H809="NONE"),"동의 근거 없음: 전화·방문만",IF($H809="INQUIRY",IF(N($N809)=0,"견적 요청일을 못 찾음: 관련 ID에 견적 ID(Q-…)를 넣었는지 확인",IF('설정 Settings'!$C$15&gt;N($N809),"문의 후 6개월 지남: 다른 동의 근거 필요","OK: 이름·주소·연락처·수신거부 문구 넣기")),IF($H809="REFERRAL","소개 후 첫 메시지만 OK: 소개자 이름 + 이름·주소·연락처·수신거부 문구. 두 번째부터는 다른 동의 근거 필요",IF(AND($H809="REPLY",$D809&lt;&gt;"QUOTE",$D809&lt;&gt;"CALLBACK"),"문의에 대한 답장이 아님: EXPRESS 또는 INQUIRY 동의 필요","OK: 이름·주소·연락처·수신거부 문구 넣기")))),"")))</f>
      </c>
      <c r="N809" s="40">
        <f>IF($H809="INQUIRY",IFERROR(EDATE(INDEX('견적 Quotes'!$B$3:$B$1002,MATCH($C809,'견적 Quotes'!$A$3:$A$1002,0)),'설정 Settings'!$C$20),""),"")</f>
      </c>
    </row>
    <row r="810" spans="12:14" x14ac:dyDescent="0.25">
      <c r="L810" s="42">
        <f>IF($A810="","",IF($G810="Y","완료 DONE",IF($F810="","날짜 없음",IF($F810&lt;'설정 Settings'!$C$15,"지남 OVERDUE",IF($F810='설정 Settings'!$C$15,"오늘 TODAY","예정 OPEN")))))</f>
      </c>
      <c r="M810" s="42">
        <f>IF($A810="","",IF($I810="Y","수신거부: 문자·이메일 보내지 않기",IF(OR($E810="SMS",$E810="EMAIL"),IF(OR($H810="",$H810="NONE"),"동의 근거 없음: 전화·방문만",IF($H810="INQUIRY",IF(N($N810)=0,"견적 요청일을 못 찾음: 관련 ID에 견적 ID(Q-…)를 넣었는지 확인",IF('설정 Settings'!$C$15&gt;N($N810),"문의 후 6개월 지남: 다른 동의 근거 필요","OK: 이름·주소·연락처·수신거부 문구 넣기")),IF($H810="REFERRAL","소개 후 첫 메시지만 OK: 소개자 이름 + 이름·주소·연락처·수신거부 문구. 두 번째부터는 다른 동의 근거 필요",IF(AND($H810="REPLY",$D810&lt;&gt;"QUOTE",$D810&lt;&gt;"CALLBACK"),"문의에 대한 답장이 아님: EXPRESS 또는 INQUIRY 동의 필요","OK: 이름·주소·연락처·수신거부 문구 넣기")))),"")))</f>
      </c>
      <c r="N810" s="40">
        <f>IF($H810="INQUIRY",IFERROR(EDATE(INDEX('견적 Quotes'!$B$3:$B$1002,MATCH($C810,'견적 Quotes'!$A$3:$A$1002,0)),'설정 Settings'!$C$20),""),"")</f>
      </c>
    </row>
    <row r="811" spans="12:14" x14ac:dyDescent="0.25">
      <c r="L811" s="42">
        <f>IF($A811="","",IF($G811="Y","완료 DONE",IF($F811="","날짜 없음",IF($F811&lt;'설정 Settings'!$C$15,"지남 OVERDUE",IF($F811='설정 Settings'!$C$15,"오늘 TODAY","예정 OPEN")))))</f>
      </c>
      <c r="M811" s="42">
        <f>IF($A811="","",IF($I811="Y","수신거부: 문자·이메일 보내지 않기",IF(OR($E811="SMS",$E811="EMAIL"),IF(OR($H811="",$H811="NONE"),"동의 근거 없음: 전화·방문만",IF($H811="INQUIRY",IF(N($N811)=0,"견적 요청일을 못 찾음: 관련 ID에 견적 ID(Q-…)를 넣었는지 확인",IF('설정 Settings'!$C$15&gt;N($N811),"문의 후 6개월 지남: 다른 동의 근거 필요","OK: 이름·주소·연락처·수신거부 문구 넣기")),IF($H811="REFERRAL","소개 후 첫 메시지만 OK: 소개자 이름 + 이름·주소·연락처·수신거부 문구. 두 번째부터는 다른 동의 근거 필요",IF(AND($H811="REPLY",$D811&lt;&gt;"QUOTE",$D811&lt;&gt;"CALLBACK"),"문의에 대한 답장이 아님: EXPRESS 또는 INQUIRY 동의 필요","OK: 이름·주소·연락처·수신거부 문구 넣기")))),"")))</f>
      </c>
      <c r="N811" s="40">
        <f>IF($H811="INQUIRY",IFERROR(EDATE(INDEX('견적 Quotes'!$B$3:$B$1002,MATCH($C811,'견적 Quotes'!$A$3:$A$1002,0)),'설정 Settings'!$C$20),""),"")</f>
      </c>
    </row>
    <row r="812" spans="12:14" x14ac:dyDescent="0.25">
      <c r="L812" s="42">
        <f>IF($A812="","",IF($G812="Y","완료 DONE",IF($F812="","날짜 없음",IF($F812&lt;'설정 Settings'!$C$15,"지남 OVERDUE",IF($F812='설정 Settings'!$C$15,"오늘 TODAY","예정 OPEN")))))</f>
      </c>
      <c r="M812" s="42">
        <f>IF($A812="","",IF($I812="Y","수신거부: 문자·이메일 보내지 않기",IF(OR($E812="SMS",$E812="EMAIL"),IF(OR($H812="",$H812="NONE"),"동의 근거 없음: 전화·방문만",IF($H812="INQUIRY",IF(N($N812)=0,"견적 요청일을 못 찾음: 관련 ID에 견적 ID(Q-…)를 넣었는지 확인",IF('설정 Settings'!$C$15&gt;N($N812),"문의 후 6개월 지남: 다른 동의 근거 필요","OK: 이름·주소·연락처·수신거부 문구 넣기")),IF($H812="REFERRAL","소개 후 첫 메시지만 OK: 소개자 이름 + 이름·주소·연락처·수신거부 문구. 두 번째부터는 다른 동의 근거 필요",IF(AND($H812="REPLY",$D812&lt;&gt;"QUOTE",$D812&lt;&gt;"CALLBACK"),"문의에 대한 답장이 아님: EXPRESS 또는 INQUIRY 동의 필요","OK: 이름·주소·연락처·수신거부 문구 넣기")))),"")))</f>
      </c>
      <c r="N812" s="40">
        <f>IF($H812="INQUIRY",IFERROR(EDATE(INDEX('견적 Quotes'!$B$3:$B$1002,MATCH($C812,'견적 Quotes'!$A$3:$A$1002,0)),'설정 Settings'!$C$20),""),"")</f>
      </c>
    </row>
    <row r="813" spans="12:14" x14ac:dyDescent="0.25">
      <c r="L813" s="42">
        <f>IF($A813="","",IF($G813="Y","완료 DONE",IF($F813="","날짜 없음",IF($F813&lt;'설정 Settings'!$C$15,"지남 OVERDUE",IF($F813='설정 Settings'!$C$15,"오늘 TODAY","예정 OPEN")))))</f>
      </c>
      <c r="M813" s="42">
        <f>IF($A813="","",IF($I813="Y","수신거부: 문자·이메일 보내지 않기",IF(OR($E813="SMS",$E813="EMAIL"),IF(OR($H813="",$H813="NONE"),"동의 근거 없음: 전화·방문만",IF($H813="INQUIRY",IF(N($N813)=0,"견적 요청일을 못 찾음: 관련 ID에 견적 ID(Q-…)를 넣었는지 확인",IF('설정 Settings'!$C$15&gt;N($N813),"문의 후 6개월 지남: 다른 동의 근거 필요","OK: 이름·주소·연락처·수신거부 문구 넣기")),IF($H813="REFERRAL","소개 후 첫 메시지만 OK: 소개자 이름 + 이름·주소·연락처·수신거부 문구. 두 번째부터는 다른 동의 근거 필요",IF(AND($H813="REPLY",$D813&lt;&gt;"QUOTE",$D813&lt;&gt;"CALLBACK"),"문의에 대한 답장이 아님: EXPRESS 또는 INQUIRY 동의 필요","OK: 이름·주소·연락처·수신거부 문구 넣기")))),"")))</f>
      </c>
      <c r="N813" s="40">
        <f>IF($H813="INQUIRY",IFERROR(EDATE(INDEX('견적 Quotes'!$B$3:$B$1002,MATCH($C813,'견적 Quotes'!$A$3:$A$1002,0)),'설정 Settings'!$C$20),""),"")</f>
      </c>
    </row>
    <row r="814" spans="12:14" x14ac:dyDescent="0.25">
      <c r="L814" s="42">
        <f>IF($A814="","",IF($G814="Y","완료 DONE",IF($F814="","날짜 없음",IF($F814&lt;'설정 Settings'!$C$15,"지남 OVERDUE",IF($F814='설정 Settings'!$C$15,"오늘 TODAY","예정 OPEN")))))</f>
      </c>
      <c r="M814" s="42">
        <f>IF($A814="","",IF($I814="Y","수신거부: 문자·이메일 보내지 않기",IF(OR($E814="SMS",$E814="EMAIL"),IF(OR($H814="",$H814="NONE"),"동의 근거 없음: 전화·방문만",IF($H814="INQUIRY",IF(N($N814)=0,"견적 요청일을 못 찾음: 관련 ID에 견적 ID(Q-…)를 넣었는지 확인",IF('설정 Settings'!$C$15&gt;N($N814),"문의 후 6개월 지남: 다른 동의 근거 필요","OK: 이름·주소·연락처·수신거부 문구 넣기")),IF($H814="REFERRAL","소개 후 첫 메시지만 OK: 소개자 이름 + 이름·주소·연락처·수신거부 문구. 두 번째부터는 다른 동의 근거 필요",IF(AND($H814="REPLY",$D814&lt;&gt;"QUOTE",$D814&lt;&gt;"CALLBACK"),"문의에 대한 답장이 아님: EXPRESS 또는 INQUIRY 동의 필요","OK: 이름·주소·연락처·수신거부 문구 넣기")))),"")))</f>
      </c>
      <c r="N814" s="40">
        <f>IF($H814="INQUIRY",IFERROR(EDATE(INDEX('견적 Quotes'!$B$3:$B$1002,MATCH($C814,'견적 Quotes'!$A$3:$A$1002,0)),'설정 Settings'!$C$20),""),"")</f>
      </c>
    </row>
    <row r="815" spans="12:14" x14ac:dyDescent="0.25">
      <c r="L815" s="42">
        <f>IF($A815="","",IF($G815="Y","완료 DONE",IF($F815="","날짜 없음",IF($F815&lt;'설정 Settings'!$C$15,"지남 OVERDUE",IF($F815='설정 Settings'!$C$15,"오늘 TODAY","예정 OPEN")))))</f>
      </c>
      <c r="M815" s="42">
        <f>IF($A815="","",IF($I815="Y","수신거부: 문자·이메일 보내지 않기",IF(OR($E815="SMS",$E815="EMAIL"),IF(OR($H815="",$H815="NONE"),"동의 근거 없음: 전화·방문만",IF($H815="INQUIRY",IF(N($N815)=0,"견적 요청일을 못 찾음: 관련 ID에 견적 ID(Q-…)를 넣었는지 확인",IF('설정 Settings'!$C$15&gt;N($N815),"문의 후 6개월 지남: 다른 동의 근거 필요","OK: 이름·주소·연락처·수신거부 문구 넣기")),IF($H815="REFERRAL","소개 후 첫 메시지만 OK: 소개자 이름 + 이름·주소·연락처·수신거부 문구. 두 번째부터는 다른 동의 근거 필요",IF(AND($H815="REPLY",$D815&lt;&gt;"QUOTE",$D815&lt;&gt;"CALLBACK"),"문의에 대한 답장이 아님: EXPRESS 또는 INQUIRY 동의 필요","OK: 이름·주소·연락처·수신거부 문구 넣기")))),"")))</f>
      </c>
      <c r="N815" s="40">
        <f>IF($H815="INQUIRY",IFERROR(EDATE(INDEX('견적 Quotes'!$B$3:$B$1002,MATCH($C815,'견적 Quotes'!$A$3:$A$1002,0)),'설정 Settings'!$C$20),""),"")</f>
      </c>
    </row>
    <row r="816" spans="12:14" x14ac:dyDescent="0.25">
      <c r="L816" s="42">
        <f>IF($A816="","",IF($G816="Y","완료 DONE",IF($F816="","날짜 없음",IF($F816&lt;'설정 Settings'!$C$15,"지남 OVERDUE",IF($F816='설정 Settings'!$C$15,"오늘 TODAY","예정 OPEN")))))</f>
      </c>
      <c r="M816" s="42">
        <f>IF($A816="","",IF($I816="Y","수신거부: 문자·이메일 보내지 않기",IF(OR($E816="SMS",$E816="EMAIL"),IF(OR($H816="",$H816="NONE"),"동의 근거 없음: 전화·방문만",IF($H816="INQUIRY",IF(N($N816)=0,"견적 요청일을 못 찾음: 관련 ID에 견적 ID(Q-…)를 넣었는지 확인",IF('설정 Settings'!$C$15&gt;N($N816),"문의 후 6개월 지남: 다른 동의 근거 필요","OK: 이름·주소·연락처·수신거부 문구 넣기")),IF($H816="REFERRAL","소개 후 첫 메시지만 OK: 소개자 이름 + 이름·주소·연락처·수신거부 문구. 두 번째부터는 다른 동의 근거 필요",IF(AND($H816="REPLY",$D816&lt;&gt;"QUOTE",$D816&lt;&gt;"CALLBACK"),"문의에 대한 답장이 아님: EXPRESS 또는 INQUIRY 동의 필요","OK: 이름·주소·연락처·수신거부 문구 넣기")))),"")))</f>
      </c>
      <c r="N816" s="40">
        <f>IF($H816="INQUIRY",IFERROR(EDATE(INDEX('견적 Quotes'!$B$3:$B$1002,MATCH($C816,'견적 Quotes'!$A$3:$A$1002,0)),'설정 Settings'!$C$20),""),"")</f>
      </c>
    </row>
    <row r="817" spans="12:14" x14ac:dyDescent="0.25">
      <c r="L817" s="42">
        <f>IF($A817="","",IF($G817="Y","완료 DONE",IF($F817="","날짜 없음",IF($F817&lt;'설정 Settings'!$C$15,"지남 OVERDUE",IF($F817='설정 Settings'!$C$15,"오늘 TODAY","예정 OPEN")))))</f>
      </c>
      <c r="M817" s="42">
        <f>IF($A817="","",IF($I817="Y","수신거부: 문자·이메일 보내지 않기",IF(OR($E817="SMS",$E817="EMAIL"),IF(OR($H817="",$H817="NONE"),"동의 근거 없음: 전화·방문만",IF($H817="INQUIRY",IF(N($N817)=0,"견적 요청일을 못 찾음: 관련 ID에 견적 ID(Q-…)를 넣었는지 확인",IF('설정 Settings'!$C$15&gt;N($N817),"문의 후 6개월 지남: 다른 동의 근거 필요","OK: 이름·주소·연락처·수신거부 문구 넣기")),IF($H817="REFERRAL","소개 후 첫 메시지만 OK: 소개자 이름 + 이름·주소·연락처·수신거부 문구. 두 번째부터는 다른 동의 근거 필요",IF(AND($H817="REPLY",$D817&lt;&gt;"QUOTE",$D817&lt;&gt;"CALLBACK"),"문의에 대한 답장이 아님: EXPRESS 또는 INQUIRY 동의 필요","OK: 이름·주소·연락처·수신거부 문구 넣기")))),"")))</f>
      </c>
      <c r="N817" s="40">
        <f>IF($H817="INQUIRY",IFERROR(EDATE(INDEX('견적 Quotes'!$B$3:$B$1002,MATCH($C817,'견적 Quotes'!$A$3:$A$1002,0)),'설정 Settings'!$C$20),""),"")</f>
      </c>
    </row>
    <row r="818" spans="12:14" x14ac:dyDescent="0.25">
      <c r="L818" s="42">
        <f>IF($A818="","",IF($G818="Y","완료 DONE",IF($F818="","날짜 없음",IF($F818&lt;'설정 Settings'!$C$15,"지남 OVERDUE",IF($F818='설정 Settings'!$C$15,"오늘 TODAY","예정 OPEN")))))</f>
      </c>
      <c r="M818" s="42">
        <f>IF($A818="","",IF($I818="Y","수신거부: 문자·이메일 보내지 않기",IF(OR($E818="SMS",$E818="EMAIL"),IF(OR($H818="",$H818="NONE"),"동의 근거 없음: 전화·방문만",IF($H818="INQUIRY",IF(N($N818)=0,"견적 요청일을 못 찾음: 관련 ID에 견적 ID(Q-…)를 넣었는지 확인",IF('설정 Settings'!$C$15&gt;N($N818),"문의 후 6개월 지남: 다른 동의 근거 필요","OK: 이름·주소·연락처·수신거부 문구 넣기")),IF($H818="REFERRAL","소개 후 첫 메시지만 OK: 소개자 이름 + 이름·주소·연락처·수신거부 문구. 두 번째부터는 다른 동의 근거 필요",IF(AND($H818="REPLY",$D818&lt;&gt;"QUOTE",$D818&lt;&gt;"CALLBACK"),"문의에 대한 답장이 아님: EXPRESS 또는 INQUIRY 동의 필요","OK: 이름·주소·연락처·수신거부 문구 넣기")))),"")))</f>
      </c>
      <c r="N818" s="40">
        <f>IF($H818="INQUIRY",IFERROR(EDATE(INDEX('견적 Quotes'!$B$3:$B$1002,MATCH($C818,'견적 Quotes'!$A$3:$A$1002,0)),'설정 Settings'!$C$20),""),"")</f>
      </c>
    </row>
    <row r="819" spans="12:14" x14ac:dyDescent="0.25">
      <c r="L819" s="42">
        <f>IF($A819="","",IF($G819="Y","완료 DONE",IF($F819="","날짜 없음",IF($F819&lt;'설정 Settings'!$C$15,"지남 OVERDUE",IF($F819='설정 Settings'!$C$15,"오늘 TODAY","예정 OPEN")))))</f>
      </c>
      <c r="M819" s="42">
        <f>IF($A819="","",IF($I819="Y","수신거부: 문자·이메일 보내지 않기",IF(OR($E819="SMS",$E819="EMAIL"),IF(OR($H819="",$H819="NONE"),"동의 근거 없음: 전화·방문만",IF($H819="INQUIRY",IF(N($N819)=0,"견적 요청일을 못 찾음: 관련 ID에 견적 ID(Q-…)를 넣었는지 확인",IF('설정 Settings'!$C$15&gt;N($N819),"문의 후 6개월 지남: 다른 동의 근거 필요","OK: 이름·주소·연락처·수신거부 문구 넣기")),IF($H819="REFERRAL","소개 후 첫 메시지만 OK: 소개자 이름 + 이름·주소·연락처·수신거부 문구. 두 번째부터는 다른 동의 근거 필요",IF(AND($H819="REPLY",$D819&lt;&gt;"QUOTE",$D819&lt;&gt;"CALLBACK"),"문의에 대한 답장이 아님: EXPRESS 또는 INQUIRY 동의 필요","OK: 이름·주소·연락처·수신거부 문구 넣기")))),"")))</f>
      </c>
      <c r="N819" s="40">
        <f>IF($H819="INQUIRY",IFERROR(EDATE(INDEX('견적 Quotes'!$B$3:$B$1002,MATCH($C819,'견적 Quotes'!$A$3:$A$1002,0)),'설정 Settings'!$C$20),""),"")</f>
      </c>
    </row>
    <row r="820" spans="12:14" x14ac:dyDescent="0.25">
      <c r="L820" s="42">
        <f>IF($A820="","",IF($G820="Y","완료 DONE",IF($F820="","날짜 없음",IF($F820&lt;'설정 Settings'!$C$15,"지남 OVERDUE",IF($F820='설정 Settings'!$C$15,"오늘 TODAY","예정 OPEN")))))</f>
      </c>
      <c r="M820" s="42">
        <f>IF($A820="","",IF($I820="Y","수신거부: 문자·이메일 보내지 않기",IF(OR($E820="SMS",$E820="EMAIL"),IF(OR($H820="",$H820="NONE"),"동의 근거 없음: 전화·방문만",IF($H820="INQUIRY",IF(N($N820)=0,"견적 요청일을 못 찾음: 관련 ID에 견적 ID(Q-…)를 넣었는지 확인",IF('설정 Settings'!$C$15&gt;N($N820),"문의 후 6개월 지남: 다른 동의 근거 필요","OK: 이름·주소·연락처·수신거부 문구 넣기")),IF($H820="REFERRAL","소개 후 첫 메시지만 OK: 소개자 이름 + 이름·주소·연락처·수신거부 문구. 두 번째부터는 다른 동의 근거 필요",IF(AND($H820="REPLY",$D820&lt;&gt;"QUOTE",$D820&lt;&gt;"CALLBACK"),"문의에 대한 답장이 아님: EXPRESS 또는 INQUIRY 동의 필요","OK: 이름·주소·연락처·수신거부 문구 넣기")))),"")))</f>
      </c>
      <c r="N820" s="40">
        <f>IF($H820="INQUIRY",IFERROR(EDATE(INDEX('견적 Quotes'!$B$3:$B$1002,MATCH($C820,'견적 Quotes'!$A$3:$A$1002,0)),'설정 Settings'!$C$20),""),"")</f>
      </c>
    </row>
    <row r="821" spans="12:14" x14ac:dyDescent="0.25">
      <c r="L821" s="42">
        <f>IF($A821="","",IF($G821="Y","완료 DONE",IF($F821="","날짜 없음",IF($F821&lt;'설정 Settings'!$C$15,"지남 OVERDUE",IF($F821='설정 Settings'!$C$15,"오늘 TODAY","예정 OPEN")))))</f>
      </c>
      <c r="M821" s="42">
        <f>IF($A821="","",IF($I821="Y","수신거부: 문자·이메일 보내지 않기",IF(OR($E821="SMS",$E821="EMAIL"),IF(OR($H821="",$H821="NONE"),"동의 근거 없음: 전화·방문만",IF($H821="INQUIRY",IF(N($N821)=0,"견적 요청일을 못 찾음: 관련 ID에 견적 ID(Q-…)를 넣었는지 확인",IF('설정 Settings'!$C$15&gt;N($N821),"문의 후 6개월 지남: 다른 동의 근거 필요","OK: 이름·주소·연락처·수신거부 문구 넣기")),IF($H821="REFERRAL","소개 후 첫 메시지만 OK: 소개자 이름 + 이름·주소·연락처·수신거부 문구. 두 번째부터는 다른 동의 근거 필요",IF(AND($H821="REPLY",$D821&lt;&gt;"QUOTE",$D821&lt;&gt;"CALLBACK"),"문의에 대한 답장이 아님: EXPRESS 또는 INQUIRY 동의 필요","OK: 이름·주소·연락처·수신거부 문구 넣기")))),"")))</f>
      </c>
      <c r="N821" s="40">
        <f>IF($H821="INQUIRY",IFERROR(EDATE(INDEX('견적 Quotes'!$B$3:$B$1002,MATCH($C821,'견적 Quotes'!$A$3:$A$1002,0)),'설정 Settings'!$C$20),""),"")</f>
      </c>
    </row>
    <row r="822" spans="12:14" x14ac:dyDescent="0.25">
      <c r="L822" s="42">
        <f>IF($A822="","",IF($G822="Y","완료 DONE",IF($F822="","날짜 없음",IF($F822&lt;'설정 Settings'!$C$15,"지남 OVERDUE",IF($F822='설정 Settings'!$C$15,"오늘 TODAY","예정 OPEN")))))</f>
      </c>
      <c r="M822" s="42">
        <f>IF($A822="","",IF($I822="Y","수신거부: 문자·이메일 보내지 않기",IF(OR($E822="SMS",$E822="EMAIL"),IF(OR($H822="",$H822="NONE"),"동의 근거 없음: 전화·방문만",IF($H822="INQUIRY",IF(N($N822)=0,"견적 요청일을 못 찾음: 관련 ID에 견적 ID(Q-…)를 넣었는지 확인",IF('설정 Settings'!$C$15&gt;N($N822),"문의 후 6개월 지남: 다른 동의 근거 필요","OK: 이름·주소·연락처·수신거부 문구 넣기")),IF($H822="REFERRAL","소개 후 첫 메시지만 OK: 소개자 이름 + 이름·주소·연락처·수신거부 문구. 두 번째부터는 다른 동의 근거 필요",IF(AND($H822="REPLY",$D822&lt;&gt;"QUOTE",$D822&lt;&gt;"CALLBACK"),"문의에 대한 답장이 아님: EXPRESS 또는 INQUIRY 동의 필요","OK: 이름·주소·연락처·수신거부 문구 넣기")))),"")))</f>
      </c>
      <c r="N822" s="40">
        <f>IF($H822="INQUIRY",IFERROR(EDATE(INDEX('견적 Quotes'!$B$3:$B$1002,MATCH($C822,'견적 Quotes'!$A$3:$A$1002,0)),'설정 Settings'!$C$20),""),"")</f>
      </c>
    </row>
    <row r="823" spans="12:14" x14ac:dyDescent="0.25">
      <c r="L823" s="42">
        <f>IF($A823="","",IF($G823="Y","완료 DONE",IF($F823="","날짜 없음",IF($F823&lt;'설정 Settings'!$C$15,"지남 OVERDUE",IF($F823='설정 Settings'!$C$15,"오늘 TODAY","예정 OPEN")))))</f>
      </c>
      <c r="M823" s="42">
        <f>IF($A823="","",IF($I823="Y","수신거부: 문자·이메일 보내지 않기",IF(OR($E823="SMS",$E823="EMAIL"),IF(OR($H823="",$H823="NONE"),"동의 근거 없음: 전화·방문만",IF($H823="INQUIRY",IF(N($N823)=0,"견적 요청일을 못 찾음: 관련 ID에 견적 ID(Q-…)를 넣었는지 확인",IF('설정 Settings'!$C$15&gt;N($N823),"문의 후 6개월 지남: 다른 동의 근거 필요","OK: 이름·주소·연락처·수신거부 문구 넣기")),IF($H823="REFERRAL","소개 후 첫 메시지만 OK: 소개자 이름 + 이름·주소·연락처·수신거부 문구. 두 번째부터는 다른 동의 근거 필요",IF(AND($H823="REPLY",$D823&lt;&gt;"QUOTE",$D823&lt;&gt;"CALLBACK"),"문의에 대한 답장이 아님: EXPRESS 또는 INQUIRY 동의 필요","OK: 이름·주소·연락처·수신거부 문구 넣기")))),"")))</f>
      </c>
      <c r="N823" s="40">
        <f>IF($H823="INQUIRY",IFERROR(EDATE(INDEX('견적 Quotes'!$B$3:$B$1002,MATCH($C823,'견적 Quotes'!$A$3:$A$1002,0)),'설정 Settings'!$C$20),""),"")</f>
      </c>
    </row>
    <row r="824" spans="12:14" x14ac:dyDescent="0.25">
      <c r="L824" s="42">
        <f>IF($A824="","",IF($G824="Y","완료 DONE",IF($F824="","날짜 없음",IF($F824&lt;'설정 Settings'!$C$15,"지남 OVERDUE",IF($F824='설정 Settings'!$C$15,"오늘 TODAY","예정 OPEN")))))</f>
      </c>
      <c r="M824" s="42">
        <f>IF($A824="","",IF($I824="Y","수신거부: 문자·이메일 보내지 않기",IF(OR($E824="SMS",$E824="EMAIL"),IF(OR($H824="",$H824="NONE"),"동의 근거 없음: 전화·방문만",IF($H824="INQUIRY",IF(N($N824)=0,"견적 요청일을 못 찾음: 관련 ID에 견적 ID(Q-…)를 넣었는지 확인",IF('설정 Settings'!$C$15&gt;N($N824),"문의 후 6개월 지남: 다른 동의 근거 필요","OK: 이름·주소·연락처·수신거부 문구 넣기")),IF($H824="REFERRAL","소개 후 첫 메시지만 OK: 소개자 이름 + 이름·주소·연락처·수신거부 문구. 두 번째부터는 다른 동의 근거 필요",IF(AND($H824="REPLY",$D824&lt;&gt;"QUOTE",$D824&lt;&gt;"CALLBACK"),"문의에 대한 답장이 아님: EXPRESS 또는 INQUIRY 동의 필요","OK: 이름·주소·연락처·수신거부 문구 넣기")))),"")))</f>
      </c>
      <c r="N824" s="40">
        <f>IF($H824="INQUIRY",IFERROR(EDATE(INDEX('견적 Quotes'!$B$3:$B$1002,MATCH($C824,'견적 Quotes'!$A$3:$A$1002,0)),'설정 Settings'!$C$20),""),"")</f>
      </c>
    </row>
    <row r="825" spans="12:14" x14ac:dyDescent="0.25">
      <c r="L825" s="42">
        <f>IF($A825="","",IF($G825="Y","완료 DONE",IF($F825="","날짜 없음",IF($F825&lt;'설정 Settings'!$C$15,"지남 OVERDUE",IF($F825='설정 Settings'!$C$15,"오늘 TODAY","예정 OPEN")))))</f>
      </c>
      <c r="M825" s="42">
        <f>IF($A825="","",IF($I825="Y","수신거부: 문자·이메일 보내지 않기",IF(OR($E825="SMS",$E825="EMAIL"),IF(OR($H825="",$H825="NONE"),"동의 근거 없음: 전화·방문만",IF($H825="INQUIRY",IF(N($N825)=0,"견적 요청일을 못 찾음: 관련 ID에 견적 ID(Q-…)를 넣었는지 확인",IF('설정 Settings'!$C$15&gt;N($N825),"문의 후 6개월 지남: 다른 동의 근거 필요","OK: 이름·주소·연락처·수신거부 문구 넣기")),IF($H825="REFERRAL","소개 후 첫 메시지만 OK: 소개자 이름 + 이름·주소·연락처·수신거부 문구. 두 번째부터는 다른 동의 근거 필요",IF(AND($H825="REPLY",$D825&lt;&gt;"QUOTE",$D825&lt;&gt;"CALLBACK"),"문의에 대한 답장이 아님: EXPRESS 또는 INQUIRY 동의 필요","OK: 이름·주소·연락처·수신거부 문구 넣기")))),"")))</f>
      </c>
      <c r="N825" s="40">
        <f>IF($H825="INQUIRY",IFERROR(EDATE(INDEX('견적 Quotes'!$B$3:$B$1002,MATCH($C825,'견적 Quotes'!$A$3:$A$1002,0)),'설정 Settings'!$C$20),""),"")</f>
      </c>
    </row>
    <row r="826" spans="12:14" x14ac:dyDescent="0.25">
      <c r="L826" s="42">
        <f>IF($A826="","",IF($G826="Y","완료 DONE",IF($F826="","날짜 없음",IF($F826&lt;'설정 Settings'!$C$15,"지남 OVERDUE",IF($F826='설정 Settings'!$C$15,"오늘 TODAY","예정 OPEN")))))</f>
      </c>
      <c r="M826" s="42">
        <f>IF($A826="","",IF($I826="Y","수신거부: 문자·이메일 보내지 않기",IF(OR($E826="SMS",$E826="EMAIL"),IF(OR($H826="",$H826="NONE"),"동의 근거 없음: 전화·방문만",IF($H826="INQUIRY",IF(N($N826)=0,"견적 요청일을 못 찾음: 관련 ID에 견적 ID(Q-…)를 넣었는지 확인",IF('설정 Settings'!$C$15&gt;N($N826),"문의 후 6개월 지남: 다른 동의 근거 필요","OK: 이름·주소·연락처·수신거부 문구 넣기")),IF($H826="REFERRAL","소개 후 첫 메시지만 OK: 소개자 이름 + 이름·주소·연락처·수신거부 문구. 두 번째부터는 다른 동의 근거 필요",IF(AND($H826="REPLY",$D826&lt;&gt;"QUOTE",$D826&lt;&gt;"CALLBACK"),"문의에 대한 답장이 아님: EXPRESS 또는 INQUIRY 동의 필요","OK: 이름·주소·연락처·수신거부 문구 넣기")))),"")))</f>
      </c>
      <c r="N826" s="40">
        <f>IF($H826="INQUIRY",IFERROR(EDATE(INDEX('견적 Quotes'!$B$3:$B$1002,MATCH($C826,'견적 Quotes'!$A$3:$A$1002,0)),'설정 Settings'!$C$20),""),"")</f>
      </c>
    </row>
    <row r="827" spans="12:14" x14ac:dyDescent="0.25">
      <c r="L827" s="42">
        <f>IF($A827="","",IF($G827="Y","완료 DONE",IF($F827="","날짜 없음",IF($F827&lt;'설정 Settings'!$C$15,"지남 OVERDUE",IF($F827='설정 Settings'!$C$15,"오늘 TODAY","예정 OPEN")))))</f>
      </c>
      <c r="M827" s="42">
        <f>IF($A827="","",IF($I827="Y","수신거부: 문자·이메일 보내지 않기",IF(OR($E827="SMS",$E827="EMAIL"),IF(OR($H827="",$H827="NONE"),"동의 근거 없음: 전화·방문만",IF($H827="INQUIRY",IF(N($N827)=0,"견적 요청일을 못 찾음: 관련 ID에 견적 ID(Q-…)를 넣었는지 확인",IF('설정 Settings'!$C$15&gt;N($N827),"문의 후 6개월 지남: 다른 동의 근거 필요","OK: 이름·주소·연락처·수신거부 문구 넣기")),IF($H827="REFERRAL","소개 후 첫 메시지만 OK: 소개자 이름 + 이름·주소·연락처·수신거부 문구. 두 번째부터는 다른 동의 근거 필요",IF(AND($H827="REPLY",$D827&lt;&gt;"QUOTE",$D827&lt;&gt;"CALLBACK"),"문의에 대한 답장이 아님: EXPRESS 또는 INQUIRY 동의 필요","OK: 이름·주소·연락처·수신거부 문구 넣기")))),"")))</f>
      </c>
      <c r="N827" s="40">
        <f>IF($H827="INQUIRY",IFERROR(EDATE(INDEX('견적 Quotes'!$B$3:$B$1002,MATCH($C827,'견적 Quotes'!$A$3:$A$1002,0)),'설정 Settings'!$C$20),""),"")</f>
      </c>
    </row>
    <row r="828" spans="12:14" x14ac:dyDescent="0.25">
      <c r="L828" s="42">
        <f>IF($A828="","",IF($G828="Y","완료 DONE",IF($F828="","날짜 없음",IF($F828&lt;'설정 Settings'!$C$15,"지남 OVERDUE",IF($F828='설정 Settings'!$C$15,"오늘 TODAY","예정 OPEN")))))</f>
      </c>
      <c r="M828" s="42">
        <f>IF($A828="","",IF($I828="Y","수신거부: 문자·이메일 보내지 않기",IF(OR($E828="SMS",$E828="EMAIL"),IF(OR($H828="",$H828="NONE"),"동의 근거 없음: 전화·방문만",IF($H828="INQUIRY",IF(N($N828)=0,"견적 요청일을 못 찾음: 관련 ID에 견적 ID(Q-…)를 넣었는지 확인",IF('설정 Settings'!$C$15&gt;N($N828),"문의 후 6개월 지남: 다른 동의 근거 필요","OK: 이름·주소·연락처·수신거부 문구 넣기")),IF($H828="REFERRAL","소개 후 첫 메시지만 OK: 소개자 이름 + 이름·주소·연락처·수신거부 문구. 두 번째부터는 다른 동의 근거 필요",IF(AND($H828="REPLY",$D828&lt;&gt;"QUOTE",$D828&lt;&gt;"CALLBACK"),"문의에 대한 답장이 아님: EXPRESS 또는 INQUIRY 동의 필요","OK: 이름·주소·연락처·수신거부 문구 넣기")))),"")))</f>
      </c>
      <c r="N828" s="40">
        <f>IF($H828="INQUIRY",IFERROR(EDATE(INDEX('견적 Quotes'!$B$3:$B$1002,MATCH($C828,'견적 Quotes'!$A$3:$A$1002,0)),'설정 Settings'!$C$20),""),"")</f>
      </c>
    </row>
    <row r="829" spans="12:14" x14ac:dyDescent="0.25">
      <c r="L829" s="42">
        <f>IF($A829="","",IF($G829="Y","완료 DONE",IF($F829="","날짜 없음",IF($F829&lt;'설정 Settings'!$C$15,"지남 OVERDUE",IF($F829='설정 Settings'!$C$15,"오늘 TODAY","예정 OPEN")))))</f>
      </c>
      <c r="M829" s="42">
        <f>IF($A829="","",IF($I829="Y","수신거부: 문자·이메일 보내지 않기",IF(OR($E829="SMS",$E829="EMAIL"),IF(OR($H829="",$H829="NONE"),"동의 근거 없음: 전화·방문만",IF($H829="INQUIRY",IF(N($N829)=0,"견적 요청일을 못 찾음: 관련 ID에 견적 ID(Q-…)를 넣었는지 확인",IF('설정 Settings'!$C$15&gt;N($N829),"문의 후 6개월 지남: 다른 동의 근거 필요","OK: 이름·주소·연락처·수신거부 문구 넣기")),IF($H829="REFERRAL","소개 후 첫 메시지만 OK: 소개자 이름 + 이름·주소·연락처·수신거부 문구. 두 번째부터는 다른 동의 근거 필요",IF(AND($H829="REPLY",$D829&lt;&gt;"QUOTE",$D829&lt;&gt;"CALLBACK"),"문의에 대한 답장이 아님: EXPRESS 또는 INQUIRY 동의 필요","OK: 이름·주소·연락처·수신거부 문구 넣기")))),"")))</f>
      </c>
      <c r="N829" s="40">
        <f>IF($H829="INQUIRY",IFERROR(EDATE(INDEX('견적 Quotes'!$B$3:$B$1002,MATCH($C829,'견적 Quotes'!$A$3:$A$1002,0)),'설정 Settings'!$C$20),""),"")</f>
      </c>
    </row>
    <row r="830" spans="12:14" x14ac:dyDescent="0.25">
      <c r="L830" s="42">
        <f>IF($A830="","",IF($G830="Y","완료 DONE",IF($F830="","날짜 없음",IF($F830&lt;'설정 Settings'!$C$15,"지남 OVERDUE",IF($F830='설정 Settings'!$C$15,"오늘 TODAY","예정 OPEN")))))</f>
      </c>
      <c r="M830" s="42">
        <f>IF($A830="","",IF($I830="Y","수신거부: 문자·이메일 보내지 않기",IF(OR($E830="SMS",$E830="EMAIL"),IF(OR($H830="",$H830="NONE"),"동의 근거 없음: 전화·방문만",IF($H830="INQUIRY",IF(N($N830)=0,"견적 요청일을 못 찾음: 관련 ID에 견적 ID(Q-…)를 넣었는지 확인",IF('설정 Settings'!$C$15&gt;N($N830),"문의 후 6개월 지남: 다른 동의 근거 필요","OK: 이름·주소·연락처·수신거부 문구 넣기")),IF($H830="REFERRAL","소개 후 첫 메시지만 OK: 소개자 이름 + 이름·주소·연락처·수신거부 문구. 두 번째부터는 다른 동의 근거 필요",IF(AND($H830="REPLY",$D830&lt;&gt;"QUOTE",$D830&lt;&gt;"CALLBACK"),"문의에 대한 답장이 아님: EXPRESS 또는 INQUIRY 동의 필요","OK: 이름·주소·연락처·수신거부 문구 넣기")))),"")))</f>
      </c>
      <c r="N830" s="40">
        <f>IF($H830="INQUIRY",IFERROR(EDATE(INDEX('견적 Quotes'!$B$3:$B$1002,MATCH($C830,'견적 Quotes'!$A$3:$A$1002,0)),'설정 Settings'!$C$20),""),"")</f>
      </c>
    </row>
    <row r="831" spans="12:14" x14ac:dyDescent="0.25">
      <c r="L831" s="42">
        <f>IF($A831="","",IF($G831="Y","완료 DONE",IF($F831="","날짜 없음",IF($F831&lt;'설정 Settings'!$C$15,"지남 OVERDUE",IF($F831='설정 Settings'!$C$15,"오늘 TODAY","예정 OPEN")))))</f>
      </c>
      <c r="M831" s="42">
        <f>IF($A831="","",IF($I831="Y","수신거부: 문자·이메일 보내지 않기",IF(OR($E831="SMS",$E831="EMAIL"),IF(OR($H831="",$H831="NONE"),"동의 근거 없음: 전화·방문만",IF($H831="INQUIRY",IF(N($N831)=0,"견적 요청일을 못 찾음: 관련 ID에 견적 ID(Q-…)를 넣었는지 확인",IF('설정 Settings'!$C$15&gt;N($N831),"문의 후 6개월 지남: 다른 동의 근거 필요","OK: 이름·주소·연락처·수신거부 문구 넣기")),IF($H831="REFERRAL","소개 후 첫 메시지만 OK: 소개자 이름 + 이름·주소·연락처·수신거부 문구. 두 번째부터는 다른 동의 근거 필요",IF(AND($H831="REPLY",$D831&lt;&gt;"QUOTE",$D831&lt;&gt;"CALLBACK"),"문의에 대한 답장이 아님: EXPRESS 또는 INQUIRY 동의 필요","OK: 이름·주소·연락처·수신거부 문구 넣기")))),"")))</f>
      </c>
      <c r="N831" s="40">
        <f>IF($H831="INQUIRY",IFERROR(EDATE(INDEX('견적 Quotes'!$B$3:$B$1002,MATCH($C831,'견적 Quotes'!$A$3:$A$1002,0)),'설정 Settings'!$C$20),""),"")</f>
      </c>
    </row>
    <row r="832" spans="12:14" x14ac:dyDescent="0.25">
      <c r="L832" s="42">
        <f>IF($A832="","",IF($G832="Y","완료 DONE",IF($F832="","날짜 없음",IF($F832&lt;'설정 Settings'!$C$15,"지남 OVERDUE",IF($F832='설정 Settings'!$C$15,"오늘 TODAY","예정 OPEN")))))</f>
      </c>
      <c r="M832" s="42">
        <f>IF($A832="","",IF($I832="Y","수신거부: 문자·이메일 보내지 않기",IF(OR($E832="SMS",$E832="EMAIL"),IF(OR($H832="",$H832="NONE"),"동의 근거 없음: 전화·방문만",IF($H832="INQUIRY",IF(N($N832)=0,"견적 요청일을 못 찾음: 관련 ID에 견적 ID(Q-…)를 넣었는지 확인",IF('설정 Settings'!$C$15&gt;N($N832),"문의 후 6개월 지남: 다른 동의 근거 필요","OK: 이름·주소·연락처·수신거부 문구 넣기")),IF($H832="REFERRAL","소개 후 첫 메시지만 OK: 소개자 이름 + 이름·주소·연락처·수신거부 문구. 두 번째부터는 다른 동의 근거 필요",IF(AND($H832="REPLY",$D832&lt;&gt;"QUOTE",$D832&lt;&gt;"CALLBACK"),"문의에 대한 답장이 아님: EXPRESS 또는 INQUIRY 동의 필요","OK: 이름·주소·연락처·수신거부 문구 넣기")))),"")))</f>
      </c>
      <c r="N832" s="40">
        <f>IF($H832="INQUIRY",IFERROR(EDATE(INDEX('견적 Quotes'!$B$3:$B$1002,MATCH($C832,'견적 Quotes'!$A$3:$A$1002,0)),'설정 Settings'!$C$20),""),"")</f>
      </c>
    </row>
    <row r="833" spans="12:14" x14ac:dyDescent="0.25">
      <c r="L833" s="42">
        <f>IF($A833="","",IF($G833="Y","완료 DONE",IF($F833="","날짜 없음",IF($F833&lt;'설정 Settings'!$C$15,"지남 OVERDUE",IF($F833='설정 Settings'!$C$15,"오늘 TODAY","예정 OPEN")))))</f>
      </c>
      <c r="M833" s="42">
        <f>IF($A833="","",IF($I833="Y","수신거부: 문자·이메일 보내지 않기",IF(OR($E833="SMS",$E833="EMAIL"),IF(OR($H833="",$H833="NONE"),"동의 근거 없음: 전화·방문만",IF($H833="INQUIRY",IF(N($N833)=0,"견적 요청일을 못 찾음: 관련 ID에 견적 ID(Q-…)를 넣었는지 확인",IF('설정 Settings'!$C$15&gt;N($N833),"문의 후 6개월 지남: 다른 동의 근거 필요","OK: 이름·주소·연락처·수신거부 문구 넣기")),IF($H833="REFERRAL","소개 후 첫 메시지만 OK: 소개자 이름 + 이름·주소·연락처·수신거부 문구. 두 번째부터는 다른 동의 근거 필요",IF(AND($H833="REPLY",$D833&lt;&gt;"QUOTE",$D833&lt;&gt;"CALLBACK"),"문의에 대한 답장이 아님: EXPRESS 또는 INQUIRY 동의 필요","OK: 이름·주소·연락처·수신거부 문구 넣기")))),"")))</f>
      </c>
      <c r="N833" s="40">
        <f>IF($H833="INQUIRY",IFERROR(EDATE(INDEX('견적 Quotes'!$B$3:$B$1002,MATCH($C833,'견적 Quotes'!$A$3:$A$1002,0)),'설정 Settings'!$C$20),""),"")</f>
      </c>
    </row>
    <row r="834" spans="12:14" x14ac:dyDescent="0.25">
      <c r="L834" s="42">
        <f>IF($A834="","",IF($G834="Y","완료 DONE",IF($F834="","날짜 없음",IF($F834&lt;'설정 Settings'!$C$15,"지남 OVERDUE",IF($F834='설정 Settings'!$C$15,"오늘 TODAY","예정 OPEN")))))</f>
      </c>
      <c r="M834" s="42">
        <f>IF($A834="","",IF($I834="Y","수신거부: 문자·이메일 보내지 않기",IF(OR($E834="SMS",$E834="EMAIL"),IF(OR($H834="",$H834="NONE"),"동의 근거 없음: 전화·방문만",IF($H834="INQUIRY",IF(N($N834)=0,"견적 요청일을 못 찾음: 관련 ID에 견적 ID(Q-…)를 넣었는지 확인",IF('설정 Settings'!$C$15&gt;N($N834),"문의 후 6개월 지남: 다른 동의 근거 필요","OK: 이름·주소·연락처·수신거부 문구 넣기")),IF($H834="REFERRAL","소개 후 첫 메시지만 OK: 소개자 이름 + 이름·주소·연락처·수신거부 문구. 두 번째부터는 다른 동의 근거 필요",IF(AND($H834="REPLY",$D834&lt;&gt;"QUOTE",$D834&lt;&gt;"CALLBACK"),"문의에 대한 답장이 아님: EXPRESS 또는 INQUIRY 동의 필요","OK: 이름·주소·연락처·수신거부 문구 넣기")))),"")))</f>
      </c>
      <c r="N834" s="40">
        <f>IF($H834="INQUIRY",IFERROR(EDATE(INDEX('견적 Quotes'!$B$3:$B$1002,MATCH($C834,'견적 Quotes'!$A$3:$A$1002,0)),'설정 Settings'!$C$20),""),"")</f>
      </c>
    </row>
    <row r="835" spans="12:14" x14ac:dyDescent="0.25">
      <c r="L835" s="42">
        <f>IF($A835="","",IF($G835="Y","완료 DONE",IF($F835="","날짜 없음",IF($F835&lt;'설정 Settings'!$C$15,"지남 OVERDUE",IF($F835='설정 Settings'!$C$15,"오늘 TODAY","예정 OPEN")))))</f>
      </c>
      <c r="M835" s="42">
        <f>IF($A835="","",IF($I835="Y","수신거부: 문자·이메일 보내지 않기",IF(OR($E835="SMS",$E835="EMAIL"),IF(OR($H835="",$H835="NONE"),"동의 근거 없음: 전화·방문만",IF($H835="INQUIRY",IF(N($N835)=0,"견적 요청일을 못 찾음: 관련 ID에 견적 ID(Q-…)를 넣었는지 확인",IF('설정 Settings'!$C$15&gt;N($N835),"문의 후 6개월 지남: 다른 동의 근거 필요","OK: 이름·주소·연락처·수신거부 문구 넣기")),IF($H835="REFERRAL","소개 후 첫 메시지만 OK: 소개자 이름 + 이름·주소·연락처·수신거부 문구. 두 번째부터는 다른 동의 근거 필요",IF(AND($H835="REPLY",$D835&lt;&gt;"QUOTE",$D835&lt;&gt;"CALLBACK"),"문의에 대한 답장이 아님: EXPRESS 또는 INQUIRY 동의 필요","OK: 이름·주소·연락처·수신거부 문구 넣기")))),"")))</f>
      </c>
      <c r="N835" s="40">
        <f>IF($H835="INQUIRY",IFERROR(EDATE(INDEX('견적 Quotes'!$B$3:$B$1002,MATCH($C835,'견적 Quotes'!$A$3:$A$1002,0)),'설정 Settings'!$C$20),""),"")</f>
      </c>
    </row>
    <row r="836" spans="12:14" x14ac:dyDescent="0.25">
      <c r="L836" s="42">
        <f>IF($A836="","",IF($G836="Y","완료 DONE",IF($F836="","날짜 없음",IF($F836&lt;'설정 Settings'!$C$15,"지남 OVERDUE",IF($F836='설정 Settings'!$C$15,"오늘 TODAY","예정 OPEN")))))</f>
      </c>
      <c r="M836" s="42">
        <f>IF($A836="","",IF($I836="Y","수신거부: 문자·이메일 보내지 않기",IF(OR($E836="SMS",$E836="EMAIL"),IF(OR($H836="",$H836="NONE"),"동의 근거 없음: 전화·방문만",IF($H836="INQUIRY",IF(N($N836)=0,"견적 요청일을 못 찾음: 관련 ID에 견적 ID(Q-…)를 넣었는지 확인",IF('설정 Settings'!$C$15&gt;N($N836),"문의 후 6개월 지남: 다른 동의 근거 필요","OK: 이름·주소·연락처·수신거부 문구 넣기")),IF($H836="REFERRAL","소개 후 첫 메시지만 OK: 소개자 이름 + 이름·주소·연락처·수신거부 문구. 두 번째부터는 다른 동의 근거 필요",IF(AND($H836="REPLY",$D836&lt;&gt;"QUOTE",$D836&lt;&gt;"CALLBACK"),"문의에 대한 답장이 아님: EXPRESS 또는 INQUIRY 동의 필요","OK: 이름·주소·연락처·수신거부 문구 넣기")))),"")))</f>
      </c>
      <c r="N836" s="40">
        <f>IF($H836="INQUIRY",IFERROR(EDATE(INDEX('견적 Quotes'!$B$3:$B$1002,MATCH($C836,'견적 Quotes'!$A$3:$A$1002,0)),'설정 Settings'!$C$20),""),"")</f>
      </c>
    </row>
    <row r="837" spans="12:14" x14ac:dyDescent="0.25">
      <c r="L837" s="42">
        <f>IF($A837="","",IF($G837="Y","완료 DONE",IF($F837="","날짜 없음",IF($F837&lt;'설정 Settings'!$C$15,"지남 OVERDUE",IF($F837='설정 Settings'!$C$15,"오늘 TODAY","예정 OPEN")))))</f>
      </c>
      <c r="M837" s="42">
        <f>IF($A837="","",IF($I837="Y","수신거부: 문자·이메일 보내지 않기",IF(OR($E837="SMS",$E837="EMAIL"),IF(OR($H837="",$H837="NONE"),"동의 근거 없음: 전화·방문만",IF($H837="INQUIRY",IF(N($N837)=0,"견적 요청일을 못 찾음: 관련 ID에 견적 ID(Q-…)를 넣었는지 확인",IF('설정 Settings'!$C$15&gt;N($N837),"문의 후 6개월 지남: 다른 동의 근거 필요","OK: 이름·주소·연락처·수신거부 문구 넣기")),IF($H837="REFERRAL","소개 후 첫 메시지만 OK: 소개자 이름 + 이름·주소·연락처·수신거부 문구. 두 번째부터는 다른 동의 근거 필요",IF(AND($H837="REPLY",$D837&lt;&gt;"QUOTE",$D837&lt;&gt;"CALLBACK"),"문의에 대한 답장이 아님: EXPRESS 또는 INQUIRY 동의 필요","OK: 이름·주소·연락처·수신거부 문구 넣기")))),"")))</f>
      </c>
      <c r="N837" s="40">
        <f>IF($H837="INQUIRY",IFERROR(EDATE(INDEX('견적 Quotes'!$B$3:$B$1002,MATCH($C837,'견적 Quotes'!$A$3:$A$1002,0)),'설정 Settings'!$C$20),""),"")</f>
      </c>
    </row>
    <row r="838" spans="12:14" x14ac:dyDescent="0.25">
      <c r="L838" s="42">
        <f>IF($A838="","",IF($G838="Y","완료 DONE",IF($F838="","날짜 없음",IF($F838&lt;'설정 Settings'!$C$15,"지남 OVERDUE",IF($F838='설정 Settings'!$C$15,"오늘 TODAY","예정 OPEN")))))</f>
      </c>
      <c r="M838" s="42">
        <f>IF($A838="","",IF($I838="Y","수신거부: 문자·이메일 보내지 않기",IF(OR($E838="SMS",$E838="EMAIL"),IF(OR($H838="",$H838="NONE"),"동의 근거 없음: 전화·방문만",IF($H838="INQUIRY",IF(N($N838)=0,"견적 요청일을 못 찾음: 관련 ID에 견적 ID(Q-…)를 넣었는지 확인",IF('설정 Settings'!$C$15&gt;N($N838),"문의 후 6개월 지남: 다른 동의 근거 필요","OK: 이름·주소·연락처·수신거부 문구 넣기")),IF($H838="REFERRAL","소개 후 첫 메시지만 OK: 소개자 이름 + 이름·주소·연락처·수신거부 문구. 두 번째부터는 다른 동의 근거 필요",IF(AND($H838="REPLY",$D838&lt;&gt;"QUOTE",$D838&lt;&gt;"CALLBACK"),"문의에 대한 답장이 아님: EXPRESS 또는 INQUIRY 동의 필요","OK: 이름·주소·연락처·수신거부 문구 넣기")))),"")))</f>
      </c>
      <c r="N838" s="40">
        <f>IF($H838="INQUIRY",IFERROR(EDATE(INDEX('견적 Quotes'!$B$3:$B$1002,MATCH($C838,'견적 Quotes'!$A$3:$A$1002,0)),'설정 Settings'!$C$20),""),"")</f>
      </c>
    </row>
    <row r="839" spans="12:14" x14ac:dyDescent="0.25">
      <c r="L839" s="42">
        <f>IF($A839="","",IF($G839="Y","완료 DONE",IF($F839="","날짜 없음",IF($F839&lt;'설정 Settings'!$C$15,"지남 OVERDUE",IF($F839='설정 Settings'!$C$15,"오늘 TODAY","예정 OPEN")))))</f>
      </c>
      <c r="M839" s="42">
        <f>IF($A839="","",IF($I839="Y","수신거부: 문자·이메일 보내지 않기",IF(OR($E839="SMS",$E839="EMAIL"),IF(OR($H839="",$H839="NONE"),"동의 근거 없음: 전화·방문만",IF($H839="INQUIRY",IF(N($N839)=0,"견적 요청일을 못 찾음: 관련 ID에 견적 ID(Q-…)를 넣었는지 확인",IF('설정 Settings'!$C$15&gt;N($N839),"문의 후 6개월 지남: 다른 동의 근거 필요","OK: 이름·주소·연락처·수신거부 문구 넣기")),IF($H839="REFERRAL","소개 후 첫 메시지만 OK: 소개자 이름 + 이름·주소·연락처·수신거부 문구. 두 번째부터는 다른 동의 근거 필요",IF(AND($H839="REPLY",$D839&lt;&gt;"QUOTE",$D839&lt;&gt;"CALLBACK"),"문의에 대한 답장이 아님: EXPRESS 또는 INQUIRY 동의 필요","OK: 이름·주소·연락처·수신거부 문구 넣기")))),"")))</f>
      </c>
      <c r="N839" s="40">
        <f>IF($H839="INQUIRY",IFERROR(EDATE(INDEX('견적 Quotes'!$B$3:$B$1002,MATCH($C839,'견적 Quotes'!$A$3:$A$1002,0)),'설정 Settings'!$C$20),""),"")</f>
      </c>
    </row>
    <row r="840" spans="12:14" x14ac:dyDescent="0.25">
      <c r="L840" s="42">
        <f>IF($A840="","",IF($G840="Y","완료 DONE",IF($F840="","날짜 없음",IF($F840&lt;'설정 Settings'!$C$15,"지남 OVERDUE",IF($F840='설정 Settings'!$C$15,"오늘 TODAY","예정 OPEN")))))</f>
      </c>
      <c r="M840" s="42">
        <f>IF($A840="","",IF($I840="Y","수신거부: 문자·이메일 보내지 않기",IF(OR($E840="SMS",$E840="EMAIL"),IF(OR($H840="",$H840="NONE"),"동의 근거 없음: 전화·방문만",IF($H840="INQUIRY",IF(N($N840)=0,"견적 요청일을 못 찾음: 관련 ID에 견적 ID(Q-…)를 넣었는지 확인",IF('설정 Settings'!$C$15&gt;N($N840),"문의 후 6개월 지남: 다른 동의 근거 필요","OK: 이름·주소·연락처·수신거부 문구 넣기")),IF($H840="REFERRAL","소개 후 첫 메시지만 OK: 소개자 이름 + 이름·주소·연락처·수신거부 문구. 두 번째부터는 다른 동의 근거 필요",IF(AND($H840="REPLY",$D840&lt;&gt;"QUOTE",$D840&lt;&gt;"CALLBACK"),"문의에 대한 답장이 아님: EXPRESS 또는 INQUIRY 동의 필요","OK: 이름·주소·연락처·수신거부 문구 넣기")))),"")))</f>
      </c>
      <c r="N840" s="40">
        <f>IF($H840="INQUIRY",IFERROR(EDATE(INDEX('견적 Quotes'!$B$3:$B$1002,MATCH($C840,'견적 Quotes'!$A$3:$A$1002,0)),'설정 Settings'!$C$20),""),"")</f>
      </c>
    </row>
    <row r="841" spans="12:14" x14ac:dyDescent="0.25">
      <c r="L841" s="42">
        <f>IF($A841="","",IF($G841="Y","완료 DONE",IF($F841="","날짜 없음",IF($F841&lt;'설정 Settings'!$C$15,"지남 OVERDUE",IF($F841='설정 Settings'!$C$15,"오늘 TODAY","예정 OPEN")))))</f>
      </c>
      <c r="M841" s="42">
        <f>IF($A841="","",IF($I841="Y","수신거부: 문자·이메일 보내지 않기",IF(OR($E841="SMS",$E841="EMAIL"),IF(OR($H841="",$H841="NONE"),"동의 근거 없음: 전화·방문만",IF($H841="INQUIRY",IF(N($N841)=0,"견적 요청일을 못 찾음: 관련 ID에 견적 ID(Q-…)를 넣었는지 확인",IF('설정 Settings'!$C$15&gt;N($N841),"문의 후 6개월 지남: 다른 동의 근거 필요","OK: 이름·주소·연락처·수신거부 문구 넣기")),IF($H841="REFERRAL","소개 후 첫 메시지만 OK: 소개자 이름 + 이름·주소·연락처·수신거부 문구. 두 번째부터는 다른 동의 근거 필요",IF(AND($H841="REPLY",$D841&lt;&gt;"QUOTE",$D841&lt;&gt;"CALLBACK"),"문의에 대한 답장이 아님: EXPRESS 또는 INQUIRY 동의 필요","OK: 이름·주소·연락처·수신거부 문구 넣기")))),"")))</f>
      </c>
      <c r="N841" s="40">
        <f>IF($H841="INQUIRY",IFERROR(EDATE(INDEX('견적 Quotes'!$B$3:$B$1002,MATCH($C841,'견적 Quotes'!$A$3:$A$1002,0)),'설정 Settings'!$C$20),""),"")</f>
      </c>
    </row>
    <row r="842" spans="12:14" x14ac:dyDescent="0.25">
      <c r="L842" s="42">
        <f>IF($A842="","",IF($G842="Y","완료 DONE",IF($F842="","날짜 없음",IF($F842&lt;'설정 Settings'!$C$15,"지남 OVERDUE",IF($F842='설정 Settings'!$C$15,"오늘 TODAY","예정 OPEN")))))</f>
      </c>
      <c r="M842" s="42">
        <f>IF($A842="","",IF($I842="Y","수신거부: 문자·이메일 보내지 않기",IF(OR($E842="SMS",$E842="EMAIL"),IF(OR($H842="",$H842="NONE"),"동의 근거 없음: 전화·방문만",IF($H842="INQUIRY",IF(N($N842)=0,"견적 요청일을 못 찾음: 관련 ID에 견적 ID(Q-…)를 넣었는지 확인",IF('설정 Settings'!$C$15&gt;N($N842),"문의 후 6개월 지남: 다른 동의 근거 필요","OK: 이름·주소·연락처·수신거부 문구 넣기")),IF($H842="REFERRAL","소개 후 첫 메시지만 OK: 소개자 이름 + 이름·주소·연락처·수신거부 문구. 두 번째부터는 다른 동의 근거 필요",IF(AND($H842="REPLY",$D842&lt;&gt;"QUOTE",$D842&lt;&gt;"CALLBACK"),"문의에 대한 답장이 아님: EXPRESS 또는 INQUIRY 동의 필요","OK: 이름·주소·연락처·수신거부 문구 넣기")))),"")))</f>
      </c>
      <c r="N842" s="40">
        <f>IF($H842="INQUIRY",IFERROR(EDATE(INDEX('견적 Quotes'!$B$3:$B$1002,MATCH($C842,'견적 Quotes'!$A$3:$A$1002,0)),'설정 Settings'!$C$20),""),"")</f>
      </c>
    </row>
    <row r="843" spans="12:14" x14ac:dyDescent="0.25">
      <c r="L843" s="42">
        <f>IF($A843="","",IF($G843="Y","완료 DONE",IF($F843="","날짜 없음",IF($F843&lt;'설정 Settings'!$C$15,"지남 OVERDUE",IF($F843='설정 Settings'!$C$15,"오늘 TODAY","예정 OPEN")))))</f>
      </c>
      <c r="M843" s="42">
        <f>IF($A843="","",IF($I843="Y","수신거부: 문자·이메일 보내지 않기",IF(OR($E843="SMS",$E843="EMAIL"),IF(OR($H843="",$H843="NONE"),"동의 근거 없음: 전화·방문만",IF($H843="INQUIRY",IF(N($N843)=0,"견적 요청일을 못 찾음: 관련 ID에 견적 ID(Q-…)를 넣었는지 확인",IF('설정 Settings'!$C$15&gt;N($N843),"문의 후 6개월 지남: 다른 동의 근거 필요","OK: 이름·주소·연락처·수신거부 문구 넣기")),IF($H843="REFERRAL","소개 후 첫 메시지만 OK: 소개자 이름 + 이름·주소·연락처·수신거부 문구. 두 번째부터는 다른 동의 근거 필요",IF(AND($H843="REPLY",$D843&lt;&gt;"QUOTE",$D843&lt;&gt;"CALLBACK"),"문의에 대한 답장이 아님: EXPRESS 또는 INQUIRY 동의 필요","OK: 이름·주소·연락처·수신거부 문구 넣기")))),"")))</f>
      </c>
      <c r="N843" s="40">
        <f>IF($H843="INQUIRY",IFERROR(EDATE(INDEX('견적 Quotes'!$B$3:$B$1002,MATCH($C843,'견적 Quotes'!$A$3:$A$1002,0)),'설정 Settings'!$C$20),""),"")</f>
      </c>
    </row>
    <row r="844" spans="12:14" x14ac:dyDescent="0.25">
      <c r="L844" s="42">
        <f>IF($A844="","",IF($G844="Y","완료 DONE",IF($F844="","날짜 없음",IF($F844&lt;'설정 Settings'!$C$15,"지남 OVERDUE",IF($F844='설정 Settings'!$C$15,"오늘 TODAY","예정 OPEN")))))</f>
      </c>
      <c r="M844" s="42">
        <f>IF($A844="","",IF($I844="Y","수신거부: 문자·이메일 보내지 않기",IF(OR($E844="SMS",$E844="EMAIL"),IF(OR($H844="",$H844="NONE"),"동의 근거 없음: 전화·방문만",IF($H844="INQUIRY",IF(N($N844)=0,"견적 요청일을 못 찾음: 관련 ID에 견적 ID(Q-…)를 넣었는지 확인",IF('설정 Settings'!$C$15&gt;N($N844),"문의 후 6개월 지남: 다른 동의 근거 필요","OK: 이름·주소·연락처·수신거부 문구 넣기")),IF($H844="REFERRAL","소개 후 첫 메시지만 OK: 소개자 이름 + 이름·주소·연락처·수신거부 문구. 두 번째부터는 다른 동의 근거 필요",IF(AND($H844="REPLY",$D844&lt;&gt;"QUOTE",$D844&lt;&gt;"CALLBACK"),"문의에 대한 답장이 아님: EXPRESS 또는 INQUIRY 동의 필요","OK: 이름·주소·연락처·수신거부 문구 넣기")))),"")))</f>
      </c>
      <c r="N844" s="40">
        <f>IF($H844="INQUIRY",IFERROR(EDATE(INDEX('견적 Quotes'!$B$3:$B$1002,MATCH($C844,'견적 Quotes'!$A$3:$A$1002,0)),'설정 Settings'!$C$20),""),"")</f>
      </c>
    </row>
    <row r="845" spans="12:14" x14ac:dyDescent="0.25">
      <c r="L845" s="42">
        <f>IF($A845="","",IF($G845="Y","완료 DONE",IF($F845="","날짜 없음",IF($F845&lt;'설정 Settings'!$C$15,"지남 OVERDUE",IF($F845='설정 Settings'!$C$15,"오늘 TODAY","예정 OPEN")))))</f>
      </c>
      <c r="M845" s="42">
        <f>IF($A845="","",IF($I845="Y","수신거부: 문자·이메일 보내지 않기",IF(OR($E845="SMS",$E845="EMAIL"),IF(OR($H845="",$H845="NONE"),"동의 근거 없음: 전화·방문만",IF($H845="INQUIRY",IF(N($N845)=0,"견적 요청일을 못 찾음: 관련 ID에 견적 ID(Q-…)를 넣었는지 확인",IF('설정 Settings'!$C$15&gt;N($N845),"문의 후 6개월 지남: 다른 동의 근거 필요","OK: 이름·주소·연락처·수신거부 문구 넣기")),IF($H845="REFERRAL","소개 후 첫 메시지만 OK: 소개자 이름 + 이름·주소·연락처·수신거부 문구. 두 번째부터는 다른 동의 근거 필요",IF(AND($H845="REPLY",$D845&lt;&gt;"QUOTE",$D845&lt;&gt;"CALLBACK"),"문의에 대한 답장이 아님: EXPRESS 또는 INQUIRY 동의 필요","OK: 이름·주소·연락처·수신거부 문구 넣기")))),"")))</f>
      </c>
      <c r="N845" s="40">
        <f>IF($H845="INQUIRY",IFERROR(EDATE(INDEX('견적 Quotes'!$B$3:$B$1002,MATCH($C845,'견적 Quotes'!$A$3:$A$1002,0)),'설정 Settings'!$C$20),""),"")</f>
      </c>
    </row>
    <row r="846" spans="12:14" x14ac:dyDescent="0.25">
      <c r="L846" s="42">
        <f>IF($A846="","",IF($G846="Y","완료 DONE",IF($F846="","날짜 없음",IF($F846&lt;'설정 Settings'!$C$15,"지남 OVERDUE",IF($F846='설정 Settings'!$C$15,"오늘 TODAY","예정 OPEN")))))</f>
      </c>
      <c r="M846" s="42">
        <f>IF($A846="","",IF($I846="Y","수신거부: 문자·이메일 보내지 않기",IF(OR($E846="SMS",$E846="EMAIL"),IF(OR($H846="",$H846="NONE"),"동의 근거 없음: 전화·방문만",IF($H846="INQUIRY",IF(N($N846)=0,"견적 요청일을 못 찾음: 관련 ID에 견적 ID(Q-…)를 넣었는지 확인",IF('설정 Settings'!$C$15&gt;N($N846),"문의 후 6개월 지남: 다른 동의 근거 필요","OK: 이름·주소·연락처·수신거부 문구 넣기")),IF($H846="REFERRAL","소개 후 첫 메시지만 OK: 소개자 이름 + 이름·주소·연락처·수신거부 문구. 두 번째부터는 다른 동의 근거 필요",IF(AND($H846="REPLY",$D846&lt;&gt;"QUOTE",$D846&lt;&gt;"CALLBACK"),"문의에 대한 답장이 아님: EXPRESS 또는 INQUIRY 동의 필요","OK: 이름·주소·연락처·수신거부 문구 넣기")))),"")))</f>
      </c>
      <c r="N846" s="40">
        <f>IF($H846="INQUIRY",IFERROR(EDATE(INDEX('견적 Quotes'!$B$3:$B$1002,MATCH($C846,'견적 Quotes'!$A$3:$A$1002,0)),'설정 Settings'!$C$20),""),"")</f>
      </c>
    </row>
    <row r="847" spans="12:14" x14ac:dyDescent="0.25">
      <c r="L847" s="42">
        <f>IF($A847="","",IF($G847="Y","완료 DONE",IF($F847="","날짜 없음",IF($F847&lt;'설정 Settings'!$C$15,"지남 OVERDUE",IF($F847='설정 Settings'!$C$15,"오늘 TODAY","예정 OPEN")))))</f>
      </c>
      <c r="M847" s="42">
        <f>IF($A847="","",IF($I847="Y","수신거부: 문자·이메일 보내지 않기",IF(OR($E847="SMS",$E847="EMAIL"),IF(OR($H847="",$H847="NONE"),"동의 근거 없음: 전화·방문만",IF($H847="INQUIRY",IF(N($N847)=0,"견적 요청일을 못 찾음: 관련 ID에 견적 ID(Q-…)를 넣었는지 확인",IF('설정 Settings'!$C$15&gt;N($N847),"문의 후 6개월 지남: 다른 동의 근거 필요","OK: 이름·주소·연락처·수신거부 문구 넣기")),IF($H847="REFERRAL","소개 후 첫 메시지만 OK: 소개자 이름 + 이름·주소·연락처·수신거부 문구. 두 번째부터는 다른 동의 근거 필요",IF(AND($H847="REPLY",$D847&lt;&gt;"QUOTE",$D847&lt;&gt;"CALLBACK"),"문의에 대한 답장이 아님: EXPRESS 또는 INQUIRY 동의 필요","OK: 이름·주소·연락처·수신거부 문구 넣기")))),"")))</f>
      </c>
      <c r="N847" s="40">
        <f>IF($H847="INQUIRY",IFERROR(EDATE(INDEX('견적 Quotes'!$B$3:$B$1002,MATCH($C847,'견적 Quotes'!$A$3:$A$1002,0)),'설정 Settings'!$C$20),""),"")</f>
      </c>
    </row>
    <row r="848" spans="12:14" x14ac:dyDescent="0.25">
      <c r="L848" s="42">
        <f>IF($A848="","",IF($G848="Y","완료 DONE",IF($F848="","날짜 없음",IF($F848&lt;'설정 Settings'!$C$15,"지남 OVERDUE",IF($F848='설정 Settings'!$C$15,"오늘 TODAY","예정 OPEN")))))</f>
      </c>
      <c r="M848" s="42">
        <f>IF($A848="","",IF($I848="Y","수신거부: 문자·이메일 보내지 않기",IF(OR($E848="SMS",$E848="EMAIL"),IF(OR($H848="",$H848="NONE"),"동의 근거 없음: 전화·방문만",IF($H848="INQUIRY",IF(N($N848)=0,"견적 요청일을 못 찾음: 관련 ID에 견적 ID(Q-…)를 넣었는지 확인",IF('설정 Settings'!$C$15&gt;N($N848),"문의 후 6개월 지남: 다른 동의 근거 필요","OK: 이름·주소·연락처·수신거부 문구 넣기")),IF($H848="REFERRAL","소개 후 첫 메시지만 OK: 소개자 이름 + 이름·주소·연락처·수신거부 문구. 두 번째부터는 다른 동의 근거 필요",IF(AND($H848="REPLY",$D848&lt;&gt;"QUOTE",$D848&lt;&gt;"CALLBACK"),"문의에 대한 답장이 아님: EXPRESS 또는 INQUIRY 동의 필요","OK: 이름·주소·연락처·수신거부 문구 넣기")))),"")))</f>
      </c>
      <c r="N848" s="40">
        <f>IF($H848="INQUIRY",IFERROR(EDATE(INDEX('견적 Quotes'!$B$3:$B$1002,MATCH($C848,'견적 Quotes'!$A$3:$A$1002,0)),'설정 Settings'!$C$20),""),"")</f>
      </c>
    </row>
    <row r="849" spans="12:14" x14ac:dyDescent="0.25">
      <c r="L849" s="42">
        <f>IF($A849="","",IF($G849="Y","완료 DONE",IF($F849="","날짜 없음",IF($F849&lt;'설정 Settings'!$C$15,"지남 OVERDUE",IF($F849='설정 Settings'!$C$15,"오늘 TODAY","예정 OPEN")))))</f>
      </c>
      <c r="M849" s="42">
        <f>IF($A849="","",IF($I849="Y","수신거부: 문자·이메일 보내지 않기",IF(OR($E849="SMS",$E849="EMAIL"),IF(OR($H849="",$H849="NONE"),"동의 근거 없음: 전화·방문만",IF($H849="INQUIRY",IF(N($N849)=0,"견적 요청일을 못 찾음: 관련 ID에 견적 ID(Q-…)를 넣었는지 확인",IF('설정 Settings'!$C$15&gt;N($N849),"문의 후 6개월 지남: 다른 동의 근거 필요","OK: 이름·주소·연락처·수신거부 문구 넣기")),IF($H849="REFERRAL","소개 후 첫 메시지만 OK: 소개자 이름 + 이름·주소·연락처·수신거부 문구. 두 번째부터는 다른 동의 근거 필요",IF(AND($H849="REPLY",$D849&lt;&gt;"QUOTE",$D849&lt;&gt;"CALLBACK"),"문의에 대한 답장이 아님: EXPRESS 또는 INQUIRY 동의 필요","OK: 이름·주소·연락처·수신거부 문구 넣기")))),"")))</f>
      </c>
      <c r="N849" s="40">
        <f>IF($H849="INQUIRY",IFERROR(EDATE(INDEX('견적 Quotes'!$B$3:$B$1002,MATCH($C849,'견적 Quotes'!$A$3:$A$1002,0)),'설정 Settings'!$C$20),""),"")</f>
      </c>
    </row>
    <row r="850" spans="12:14" x14ac:dyDescent="0.25">
      <c r="L850" s="42">
        <f>IF($A850="","",IF($G850="Y","완료 DONE",IF($F850="","날짜 없음",IF($F850&lt;'설정 Settings'!$C$15,"지남 OVERDUE",IF($F850='설정 Settings'!$C$15,"오늘 TODAY","예정 OPEN")))))</f>
      </c>
      <c r="M850" s="42">
        <f>IF($A850="","",IF($I850="Y","수신거부: 문자·이메일 보내지 않기",IF(OR($E850="SMS",$E850="EMAIL"),IF(OR($H850="",$H850="NONE"),"동의 근거 없음: 전화·방문만",IF($H850="INQUIRY",IF(N($N850)=0,"견적 요청일을 못 찾음: 관련 ID에 견적 ID(Q-…)를 넣었는지 확인",IF('설정 Settings'!$C$15&gt;N($N850),"문의 후 6개월 지남: 다른 동의 근거 필요","OK: 이름·주소·연락처·수신거부 문구 넣기")),IF($H850="REFERRAL","소개 후 첫 메시지만 OK: 소개자 이름 + 이름·주소·연락처·수신거부 문구. 두 번째부터는 다른 동의 근거 필요",IF(AND($H850="REPLY",$D850&lt;&gt;"QUOTE",$D850&lt;&gt;"CALLBACK"),"문의에 대한 답장이 아님: EXPRESS 또는 INQUIRY 동의 필요","OK: 이름·주소·연락처·수신거부 문구 넣기")))),"")))</f>
      </c>
      <c r="N850" s="40">
        <f>IF($H850="INQUIRY",IFERROR(EDATE(INDEX('견적 Quotes'!$B$3:$B$1002,MATCH($C850,'견적 Quotes'!$A$3:$A$1002,0)),'설정 Settings'!$C$20),""),"")</f>
      </c>
    </row>
    <row r="851" spans="12:14" x14ac:dyDescent="0.25">
      <c r="L851" s="42">
        <f>IF($A851="","",IF($G851="Y","완료 DONE",IF($F851="","날짜 없음",IF($F851&lt;'설정 Settings'!$C$15,"지남 OVERDUE",IF($F851='설정 Settings'!$C$15,"오늘 TODAY","예정 OPEN")))))</f>
      </c>
      <c r="M851" s="42">
        <f>IF($A851="","",IF($I851="Y","수신거부: 문자·이메일 보내지 않기",IF(OR($E851="SMS",$E851="EMAIL"),IF(OR($H851="",$H851="NONE"),"동의 근거 없음: 전화·방문만",IF($H851="INQUIRY",IF(N($N851)=0,"견적 요청일을 못 찾음: 관련 ID에 견적 ID(Q-…)를 넣었는지 확인",IF('설정 Settings'!$C$15&gt;N($N851),"문의 후 6개월 지남: 다른 동의 근거 필요","OK: 이름·주소·연락처·수신거부 문구 넣기")),IF($H851="REFERRAL","소개 후 첫 메시지만 OK: 소개자 이름 + 이름·주소·연락처·수신거부 문구. 두 번째부터는 다른 동의 근거 필요",IF(AND($H851="REPLY",$D851&lt;&gt;"QUOTE",$D851&lt;&gt;"CALLBACK"),"문의에 대한 답장이 아님: EXPRESS 또는 INQUIRY 동의 필요","OK: 이름·주소·연락처·수신거부 문구 넣기")))),"")))</f>
      </c>
      <c r="N851" s="40">
        <f>IF($H851="INQUIRY",IFERROR(EDATE(INDEX('견적 Quotes'!$B$3:$B$1002,MATCH($C851,'견적 Quotes'!$A$3:$A$1002,0)),'설정 Settings'!$C$20),""),"")</f>
      </c>
    </row>
    <row r="852" spans="12:14" x14ac:dyDescent="0.25">
      <c r="L852" s="42">
        <f>IF($A852="","",IF($G852="Y","완료 DONE",IF($F852="","날짜 없음",IF($F852&lt;'설정 Settings'!$C$15,"지남 OVERDUE",IF($F852='설정 Settings'!$C$15,"오늘 TODAY","예정 OPEN")))))</f>
      </c>
      <c r="M852" s="42">
        <f>IF($A852="","",IF($I852="Y","수신거부: 문자·이메일 보내지 않기",IF(OR($E852="SMS",$E852="EMAIL"),IF(OR($H852="",$H852="NONE"),"동의 근거 없음: 전화·방문만",IF($H852="INQUIRY",IF(N($N852)=0,"견적 요청일을 못 찾음: 관련 ID에 견적 ID(Q-…)를 넣었는지 확인",IF('설정 Settings'!$C$15&gt;N($N852),"문의 후 6개월 지남: 다른 동의 근거 필요","OK: 이름·주소·연락처·수신거부 문구 넣기")),IF($H852="REFERRAL","소개 후 첫 메시지만 OK: 소개자 이름 + 이름·주소·연락처·수신거부 문구. 두 번째부터는 다른 동의 근거 필요",IF(AND($H852="REPLY",$D852&lt;&gt;"QUOTE",$D852&lt;&gt;"CALLBACK"),"문의에 대한 답장이 아님: EXPRESS 또는 INQUIRY 동의 필요","OK: 이름·주소·연락처·수신거부 문구 넣기")))),"")))</f>
      </c>
      <c r="N852" s="40">
        <f>IF($H852="INQUIRY",IFERROR(EDATE(INDEX('견적 Quotes'!$B$3:$B$1002,MATCH($C852,'견적 Quotes'!$A$3:$A$1002,0)),'설정 Settings'!$C$20),""),"")</f>
      </c>
    </row>
    <row r="853" spans="12:14" x14ac:dyDescent="0.25">
      <c r="L853" s="42">
        <f>IF($A853="","",IF($G853="Y","완료 DONE",IF($F853="","날짜 없음",IF($F853&lt;'설정 Settings'!$C$15,"지남 OVERDUE",IF($F853='설정 Settings'!$C$15,"오늘 TODAY","예정 OPEN")))))</f>
      </c>
      <c r="M853" s="42">
        <f>IF($A853="","",IF($I853="Y","수신거부: 문자·이메일 보내지 않기",IF(OR($E853="SMS",$E853="EMAIL"),IF(OR($H853="",$H853="NONE"),"동의 근거 없음: 전화·방문만",IF($H853="INQUIRY",IF(N($N853)=0,"견적 요청일을 못 찾음: 관련 ID에 견적 ID(Q-…)를 넣었는지 확인",IF('설정 Settings'!$C$15&gt;N($N853),"문의 후 6개월 지남: 다른 동의 근거 필요","OK: 이름·주소·연락처·수신거부 문구 넣기")),IF($H853="REFERRAL","소개 후 첫 메시지만 OK: 소개자 이름 + 이름·주소·연락처·수신거부 문구. 두 번째부터는 다른 동의 근거 필요",IF(AND($H853="REPLY",$D853&lt;&gt;"QUOTE",$D853&lt;&gt;"CALLBACK"),"문의에 대한 답장이 아님: EXPRESS 또는 INQUIRY 동의 필요","OK: 이름·주소·연락처·수신거부 문구 넣기")))),"")))</f>
      </c>
      <c r="N853" s="40">
        <f>IF($H853="INQUIRY",IFERROR(EDATE(INDEX('견적 Quotes'!$B$3:$B$1002,MATCH($C853,'견적 Quotes'!$A$3:$A$1002,0)),'설정 Settings'!$C$20),""),"")</f>
      </c>
    </row>
    <row r="854" spans="12:14" x14ac:dyDescent="0.25">
      <c r="L854" s="42">
        <f>IF($A854="","",IF($G854="Y","완료 DONE",IF($F854="","날짜 없음",IF($F854&lt;'설정 Settings'!$C$15,"지남 OVERDUE",IF($F854='설정 Settings'!$C$15,"오늘 TODAY","예정 OPEN")))))</f>
      </c>
      <c r="M854" s="42">
        <f>IF($A854="","",IF($I854="Y","수신거부: 문자·이메일 보내지 않기",IF(OR($E854="SMS",$E854="EMAIL"),IF(OR($H854="",$H854="NONE"),"동의 근거 없음: 전화·방문만",IF($H854="INQUIRY",IF(N($N854)=0,"견적 요청일을 못 찾음: 관련 ID에 견적 ID(Q-…)를 넣었는지 확인",IF('설정 Settings'!$C$15&gt;N($N854),"문의 후 6개월 지남: 다른 동의 근거 필요","OK: 이름·주소·연락처·수신거부 문구 넣기")),IF($H854="REFERRAL","소개 후 첫 메시지만 OK: 소개자 이름 + 이름·주소·연락처·수신거부 문구. 두 번째부터는 다른 동의 근거 필요",IF(AND($H854="REPLY",$D854&lt;&gt;"QUOTE",$D854&lt;&gt;"CALLBACK"),"문의에 대한 답장이 아님: EXPRESS 또는 INQUIRY 동의 필요","OK: 이름·주소·연락처·수신거부 문구 넣기")))),"")))</f>
      </c>
      <c r="N854" s="40">
        <f>IF($H854="INQUIRY",IFERROR(EDATE(INDEX('견적 Quotes'!$B$3:$B$1002,MATCH($C854,'견적 Quotes'!$A$3:$A$1002,0)),'설정 Settings'!$C$20),""),"")</f>
      </c>
    </row>
    <row r="855" spans="12:14" x14ac:dyDescent="0.25">
      <c r="L855" s="42">
        <f>IF($A855="","",IF($G855="Y","완료 DONE",IF($F855="","날짜 없음",IF($F855&lt;'설정 Settings'!$C$15,"지남 OVERDUE",IF($F855='설정 Settings'!$C$15,"오늘 TODAY","예정 OPEN")))))</f>
      </c>
      <c r="M855" s="42">
        <f>IF($A855="","",IF($I855="Y","수신거부: 문자·이메일 보내지 않기",IF(OR($E855="SMS",$E855="EMAIL"),IF(OR($H855="",$H855="NONE"),"동의 근거 없음: 전화·방문만",IF($H855="INQUIRY",IF(N($N855)=0,"견적 요청일을 못 찾음: 관련 ID에 견적 ID(Q-…)를 넣었는지 확인",IF('설정 Settings'!$C$15&gt;N($N855),"문의 후 6개월 지남: 다른 동의 근거 필요","OK: 이름·주소·연락처·수신거부 문구 넣기")),IF($H855="REFERRAL","소개 후 첫 메시지만 OK: 소개자 이름 + 이름·주소·연락처·수신거부 문구. 두 번째부터는 다른 동의 근거 필요",IF(AND($H855="REPLY",$D855&lt;&gt;"QUOTE",$D855&lt;&gt;"CALLBACK"),"문의에 대한 답장이 아님: EXPRESS 또는 INQUIRY 동의 필요","OK: 이름·주소·연락처·수신거부 문구 넣기")))),"")))</f>
      </c>
      <c r="N855" s="40">
        <f>IF($H855="INQUIRY",IFERROR(EDATE(INDEX('견적 Quotes'!$B$3:$B$1002,MATCH($C855,'견적 Quotes'!$A$3:$A$1002,0)),'설정 Settings'!$C$20),""),"")</f>
      </c>
    </row>
    <row r="856" spans="12:14" x14ac:dyDescent="0.25">
      <c r="L856" s="42">
        <f>IF($A856="","",IF($G856="Y","완료 DONE",IF($F856="","날짜 없음",IF($F856&lt;'설정 Settings'!$C$15,"지남 OVERDUE",IF($F856='설정 Settings'!$C$15,"오늘 TODAY","예정 OPEN")))))</f>
      </c>
      <c r="M856" s="42">
        <f>IF($A856="","",IF($I856="Y","수신거부: 문자·이메일 보내지 않기",IF(OR($E856="SMS",$E856="EMAIL"),IF(OR($H856="",$H856="NONE"),"동의 근거 없음: 전화·방문만",IF($H856="INQUIRY",IF(N($N856)=0,"견적 요청일을 못 찾음: 관련 ID에 견적 ID(Q-…)를 넣었는지 확인",IF('설정 Settings'!$C$15&gt;N($N856),"문의 후 6개월 지남: 다른 동의 근거 필요","OK: 이름·주소·연락처·수신거부 문구 넣기")),IF($H856="REFERRAL","소개 후 첫 메시지만 OK: 소개자 이름 + 이름·주소·연락처·수신거부 문구. 두 번째부터는 다른 동의 근거 필요",IF(AND($H856="REPLY",$D856&lt;&gt;"QUOTE",$D856&lt;&gt;"CALLBACK"),"문의에 대한 답장이 아님: EXPRESS 또는 INQUIRY 동의 필요","OK: 이름·주소·연락처·수신거부 문구 넣기")))),"")))</f>
      </c>
      <c r="N856" s="40">
        <f>IF($H856="INQUIRY",IFERROR(EDATE(INDEX('견적 Quotes'!$B$3:$B$1002,MATCH($C856,'견적 Quotes'!$A$3:$A$1002,0)),'설정 Settings'!$C$20),""),"")</f>
      </c>
    </row>
    <row r="857" spans="12:14" x14ac:dyDescent="0.25">
      <c r="L857" s="42">
        <f>IF($A857="","",IF($G857="Y","완료 DONE",IF($F857="","날짜 없음",IF($F857&lt;'설정 Settings'!$C$15,"지남 OVERDUE",IF($F857='설정 Settings'!$C$15,"오늘 TODAY","예정 OPEN")))))</f>
      </c>
      <c r="M857" s="42">
        <f>IF($A857="","",IF($I857="Y","수신거부: 문자·이메일 보내지 않기",IF(OR($E857="SMS",$E857="EMAIL"),IF(OR($H857="",$H857="NONE"),"동의 근거 없음: 전화·방문만",IF($H857="INQUIRY",IF(N($N857)=0,"견적 요청일을 못 찾음: 관련 ID에 견적 ID(Q-…)를 넣었는지 확인",IF('설정 Settings'!$C$15&gt;N($N857),"문의 후 6개월 지남: 다른 동의 근거 필요","OK: 이름·주소·연락처·수신거부 문구 넣기")),IF($H857="REFERRAL","소개 후 첫 메시지만 OK: 소개자 이름 + 이름·주소·연락처·수신거부 문구. 두 번째부터는 다른 동의 근거 필요",IF(AND($H857="REPLY",$D857&lt;&gt;"QUOTE",$D857&lt;&gt;"CALLBACK"),"문의에 대한 답장이 아님: EXPRESS 또는 INQUIRY 동의 필요","OK: 이름·주소·연락처·수신거부 문구 넣기")))),"")))</f>
      </c>
      <c r="N857" s="40">
        <f>IF($H857="INQUIRY",IFERROR(EDATE(INDEX('견적 Quotes'!$B$3:$B$1002,MATCH($C857,'견적 Quotes'!$A$3:$A$1002,0)),'설정 Settings'!$C$20),""),"")</f>
      </c>
    </row>
    <row r="858" spans="12:14" x14ac:dyDescent="0.25">
      <c r="L858" s="42">
        <f>IF($A858="","",IF($G858="Y","완료 DONE",IF($F858="","날짜 없음",IF($F858&lt;'설정 Settings'!$C$15,"지남 OVERDUE",IF($F858='설정 Settings'!$C$15,"오늘 TODAY","예정 OPEN")))))</f>
      </c>
      <c r="M858" s="42">
        <f>IF($A858="","",IF($I858="Y","수신거부: 문자·이메일 보내지 않기",IF(OR($E858="SMS",$E858="EMAIL"),IF(OR($H858="",$H858="NONE"),"동의 근거 없음: 전화·방문만",IF($H858="INQUIRY",IF(N($N858)=0,"견적 요청일을 못 찾음: 관련 ID에 견적 ID(Q-…)를 넣었는지 확인",IF('설정 Settings'!$C$15&gt;N($N858),"문의 후 6개월 지남: 다른 동의 근거 필요","OK: 이름·주소·연락처·수신거부 문구 넣기")),IF($H858="REFERRAL","소개 후 첫 메시지만 OK: 소개자 이름 + 이름·주소·연락처·수신거부 문구. 두 번째부터는 다른 동의 근거 필요",IF(AND($H858="REPLY",$D858&lt;&gt;"QUOTE",$D858&lt;&gt;"CALLBACK"),"문의에 대한 답장이 아님: EXPRESS 또는 INQUIRY 동의 필요","OK: 이름·주소·연락처·수신거부 문구 넣기")))),"")))</f>
      </c>
      <c r="N858" s="40">
        <f>IF($H858="INQUIRY",IFERROR(EDATE(INDEX('견적 Quotes'!$B$3:$B$1002,MATCH($C858,'견적 Quotes'!$A$3:$A$1002,0)),'설정 Settings'!$C$20),""),"")</f>
      </c>
    </row>
    <row r="859" spans="12:14" x14ac:dyDescent="0.25">
      <c r="L859" s="42">
        <f>IF($A859="","",IF($G859="Y","완료 DONE",IF($F859="","날짜 없음",IF($F859&lt;'설정 Settings'!$C$15,"지남 OVERDUE",IF($F859='설정 Settings'!$C$15,"오늘 TODAY","예정 OPEN")))))</f>
      </c>
      <c r="M859" s="42">
        <f>IF($A859="","",IF($I859="Y","수신거부: 문자·이메일 보내지 않기",IF(OR($E859="SMS",$E859="EMAIL"),IF(OR($H859="",$H859="NONE"),"동의 근거 없음: 전화·방문만",IF($H859="INQUIRY",IF(N($N859)=0,"견적 요청일을 못 찾음: 관련 ID에 견적 ID(Q-…)를 넣었는지 확인",IF('설정 Settings'!$C$15&gt;N($N859),"문의 후 6개월 지남: 다른 동의 근거 필요","OK: 이름·주소·연락처·수신거부 문구 넣기")),IF($H859="REFERRAL","소개 후 첫 메시지만 OK: 소개자 이름 + 이름·주소·연락처·수신거부 문구. 두 번째부터는 다른 동의 근거 필요",IF(AND($H859="REPLY",$D859&lt;&gt;"QUOTE",$D859&lt;&gt;"CALLBACK"),"문의에 대한 답장이 아님: EXPRESS 또는 INQUIRY 동의 필요","OK: 이름·주소·연락처·수신거부 문구 넣기")))),"")))</f>
      </c>
      <c r="N859" s="40">
        <f>IF($H859="INQUIRY",IFERROR(EDATE(INDEX('견적 Quotes'!$B$3:$B$1002,MATCH($C859,'견적 Quotes'!$A$3:$A$1002,0)),'설정 Settings'!$C$20),""),"")</f>
      </c>
    </row>
    <row r="860" spans="12:14" x14ac:dyDescent="0.25">
      <c r="L860" s="42">
        <f>IF($A860="","",IF($G860="Y","완료 DONE",IF($F860="","날짜 없음",IF($F860&lt;'설정 Settings'!$C$15,"지남 OVERDUE",IF($F860='설정 Settings'!$C$15,"오늘 TODAY","예정 OPEN")))))</f>
      </c>
      <c r="M860" s="42">
        <f>IF($A860="","",IF($I860="Y","수신거부: 문자·이메일 보내지 않기",IF(OR($E860="SMS",$E860="EMAIL"),IF(OR($H860="",$H860="NONE"),"동의 근거 없음: 전화·방문만",IF($H860="INQUIRY",IF(N($N860)=0,"견적 요청일을 못 찾음: 관련 ID에 견적 ID(Q-…)를 넣었는지 확인",IF('설정 Settings'!$C$15&gt;N($N860),"문의 후 6개월 지남: 다른 동의 근거 필요","OK: 이름·주소·연락처·수신거부 문구 넣기")),IF($H860="REFERRAL","소개 후 첫 메시지만 OK: 소개자 이름 + 이름·주소·연락처·수신거부 문구. 두 번째부터는 다른 동의 근거 필요",IF(AND($H860="REPLY",$D860&lt;&gt;"QUOTE",$D860&lt;&gt;"CALLBACK"),"문의에 대한 답장이 아님: EXPRESS 또는 INQUIRY 동의 필요","OK: 이름·주소·연락처·수신거부 문구 넣기")))),"")))</f>
      </c>
      <c r="N860" s="40">
        <f>IF($H860="INQUIRY",IFERROR(EDATE(INDEX('견적 Quotes'!$B$3:$B$1002,MATCH($C860,'견적 Quotes'!$A$3:$A$1002,0)),'설정 Settings'!$C$20),""),"")</f>
      </c>
    </row>
    <row r="861" spans="12:14" x14ac:dyDescent="0.25">
      <c r="L861" s="42">
        <f>IF($A861="","",IF($G861="Y","완료 DONE",IF($F861="","날짜 없음",IF($F861&lt;'설정 Settings'!$C$15,"지남 OVERDUE",IF($F861='설정 Settings'!$C$15,"오늘 TODAY","예정 OPEN")))))</f>
      </c>
      <c r="M861" s="42">
        <f>IF($A861="","",IF($I861="Y","수신거부: 문자·이메일 보내지 않기",IF(OR($E861="SMS",$E861="EMAIL"),IF(OR($H861="",$H861="NONE"),"동의 근거 없음: 전화·방문만",IF($H861="INQUIRY",IF(N($N861)=0,"견적 요청일을 못 찾음: 관련 ID에 견적 ID(Q-…)를 넣었는지 확인",IF('설정 Settings'!$C$15&gt;N($N861),"문의 후 6개월 지남: 다른 동의 근거 필요","OK: 이름·주소·연락처·수신거부 문구 넣기")),IF($H861="REFERRAL","소개 후 첫 메시지만 OK: 소개자 이름 + 이름·주소·연락처·수신거부 문구. 두 번째부터는 다른 동의 근거 필요",IF(AND($H861="REPLY",$D861&lt;&gt;"QUOTE",$D861&lt;&gt;"CALLBACK"),"문의에 대한 답장이 아님: EXPRESS 또는 INQUIRY 동의 필요","OK: 이름·주소·연락처·수신거부 문구 넣기")))),"")))</f>
      </c>
      <c r="N861" s="40">
        <f>IF($H861="INQUIRY",IFERROR(EDATE(INDEX('견적 Quotes'!$B$3:$B$1002,MATCH($C861,'견적 Quotes'!$A$3:$A$1002,0)),'설정 Settings'!$C$20),""),"")</f>
      </c>
    </row>
    <row r="862" spans="12:14" x14ac:dyDescent="0.25">
      <c r="L862" s="42">
        <f>IF($A862="","",IF($G862="Y","완료 DONE",IF($F862="","날짜 없음",IF($F862&lt;'설정 Settings'!$C$15,"지남 OVERDUE",IF($F862='설정 Settings'!$C$15,"오늘 TODAY","예정 OPEN")))))</f>
      </c>
      <c r="M862" s="42">
        <f>IF($A862="","",IF($I862="Y","수신거부: 문자·이메일 보내지 않기",IF(OR($E862="SMS",$E862="EMAIL"),IF(OR($H862="",$H862="NONE"),"동의 근거 없음: 전화·방문만",IF($H862="INQUIRY",IF(N($N862)=0,"견적 요청일을 못 찾음: 관련 ID에 견적 ID(Q-…)를 넣었는지 확인",IF('설정 Settings'!$C$15&gt;N($N862),"문의 후 6개월 지남: 다른 동의 근거 필요","OK: 이름·주소·연락처·수신거부 문구 넣기")),IF($H862="REFERRAL","소개 후 첫 메시지만 OK: 소개자 이름 + 이름·주소·연락처·수신거부 문구. 두 번째부터는 다른 동의 근거 필요",IF(AND($H862="REPLY",$D862&lt;&gt;"QUOTE",$D862&lt;&gt;"CALLBACK"),"문의에 대한 답장이 아님: EXPRESS 또는 INQUIRY 동의 필요","OK: 이름·주소·연락처·수신거부 문구 넣기")))),"")))</f>
      </c>
      <c r="N862" s="40">
        <f>IF($H862="INQUIRY",IFERROR(EDATE(INDEX('견적 Quotes'!$B$3:$B$1002,MATCH($C862,'견적 Quotes'!$A$3:$A$1002,0)),'설정 Settings'!$C$20),""),"")</f>
      </c>
    </row>
    <row r="863" spans="12:14" x14ac:dyDescent="0.25">
      <c r="L863" s="42">
        <f>IF($A863="","",IF($G863="Y","완료 DONE",IF($F863="","날짜 없음",IF($F863&lt;'설정 Settings'!$C$15,"지남 OVERDUE",IF($F863='설정 Settings'!$C$15,"오늘 TODAY","예정 OPEN")))))</f>
      </c>
      <c r="M863" s="42">
        <f>IF($A863="","",IF($I863="Y","수신거부: 문자·이메일 보내지 않기",IF(OR($E863="SMS",$E863="EMAIL"),IF(OR($H863="",$H863="NONE"),"동의 근거 없음: 전화·방문만",IF($H863="INQUIRY",IF(N($N863)=0,"견적 요청일을 못 찾음: 관련 ID에 견적 ID(Q-…)를 넣었는지 확인",IF('설정 Settings'!$C$15&gt;N($N863),"문의 후 6개월 지남: 다른 동의 근거 필요","OK: 이름·주소·연락처·수신거부 문구 넣기")),IF($H863="REFERRAL","소개 후 첫 메시지만 OK: 소개자 이름 + 이름·주소·연락처·수신거부 문구. 두 번째부터는 다른 동의 근거 필요",IF(AND($H863="REPLY",$D863&lt;&gt;"QUOTE",$D863&lt;&gt;"CALLBACK"),"문의에 대한 답장이 아님: EXPRESS 또는 INQUIRY 동의 필요","OK: 이름·주소·연락처·수신거부 문구 넣기")))),"")))</f>
      </c>
      <c r="N863" s="40">
        <f>IF($H863="INQUIRY",IFERROR(EDATE(INDEX('견적 Quotes'!$B$3:$B$1002,MATCH($C863,'견적 Quotes'!$A$3:$A$1002,0)),'설정 Settings'!$C$20),""),"")</f>
      </c>
    </row>
    <row r="864" spans="12:14" x14ac:dyDescent="0.25">
      <c r="L864" s="42">
        <f>IF($A864="","",IF($G864="Y","완료 DONE",IF($F864="","날짜 없음",IF($F864&lt;'설정 Settings'!$C$15,"지남 OVERDUE",IF($F864='설정 Settings'!$C$15,"오늘 TODAY","예정 OPEN")))))</f>
      </c>
      <c r="M864" s="42">
        <f>IF($A864="","",IF($I864="Y","수신거부: 문자·이메일 보내지 않기",IF(OR($E864="SMS",$E864="EMAIL"),IF(OR($H864="",$H864="NONE"),"동의 근거 없음: 전화·방문만",IF($H864="INQUIRY",IF(N($N864)=0,"견적 요청일을 못 찾음: 관련 ID에 견적 ID(Q-…)를 넣었는지 확인",IF('설정 Settings'!$C$15&gt;N($N864),"문의 후 6개월 지남: 다른 동의 근거 필요","OK: 이름·주소·연락처·수신거부 문구 넣기")),IF($H864="REFERRAL","소개 후 첫 메시지만 OK: 소개자 이름 + 이름·주소·연락처·수신거부 문구. 두 번째부터는 다른 동의 근거 필요",IF(AND($H864="REPLY",$D864&lt;&gt;"QUOTE",$D864&lt;&gt;"CALLBACK"),"문의에 대한 답장이 아님: EXPRESS 또는 INQUIRY 동의 필요","OK: 이름·주소·연락처·수신거부 문구 넣기")))),"")))</f>
      </c>
      <c r="N864" s="40">
        <f>IF($H864="INQUIRY",IFERROR(EDATE(INDEX('견적 Quotes'!$B$3:$B$1002,MATCH($C864,'견적 Quotes'!$A$3:$A$1002,0)),'설정 Settings'!$C$20),""),"")</f>
      </c>
    </row>
    <row r="865" spans="12:14" x14ac:dyDescent="0.25">
      <c r="L865" s="42">
        <f>IF($A865="","",IF($G865="Y","완료 DONE",IF($F865="","날짜 없음",IF($F865&lt;'설정 Settings'!$C$15,"지남 OVERDUE",IF($F865='설정 Settings'!$C$15,"오늘 TODAY","예정 OPEN")))))</f>
      </c>
      <c r="M865" s="42">
        <f>IF($A865="","",IF($I865="Y","수신거부: 문자·이메일 보내지 않기",IF(OR($E865="SMS",$E865="EMAIL"),IF(OR($H865="",$H865="NONE"),"동의 근거 없음: 전화·방문만",IF($H865="INQUIRY",IF(N($N865)=0,"견적 요청일을 못 찾음: 관련 ID에 견적 ID(Q-…)를 넣었는지 확인",IF('설정 Settings'!$C$15&gt;N($N865),"문의 후 6개월 지남: 다른 동의 근거 필요","OK: 이름·주소·연락처·수신거부 문구 넣기")),IF($H865="REFERRAL","소개 후 첫 메시지만 OK: 소개자 이름 + 이름·주소·연락처·수신거부 문구. 두 번째부터는 다른 동의 근거 필요",IF(AND($H865="REPLY",$D865&lt;&gt;"QUOTE",$D865&lt;&gt;"CALLBACK"),"문의에 대한 답장이 아님: EXPRESS 또는 INQUIRY 동의 필요","OK: 이름·주소·연락처·수신거부 문구 넣기")))),"")))</f>
      </c>
      <c r="N865" s="40">
        <f>IF($H865="INQUIRY",IFERROR(EDATE(INDEX('견적 Quotes'!$B$3:$B$1002,MATCH($C865,'견적 Quotes'!$A$3:$A$1002,0)),'설정 Settings'!$C$20),""),"")</f>
      </c>
    </row>
    <row r="866" spans="12:14" x14ac:dyDescent="0.25">
      <c r="L866" s="42">
        <f>IF($A866="","",IF($G866="Y","완료 DONE",IF($F866="","날짜 없음",IF($F866&lt;'설정 Settings'!$C$15,"지남 OVERDUE",IF($F866='설정 Settings'!$C$15,"오늘 TODAY","예정 OPEN")))))</f>
      </c>
      <c r="M866" s="42">
        <f>IF($A866="","",IF($I866="Y","수신거부: 문자·이메일 보내지 않기",IF(OR($E866="SMS",$E866="EMAIL"),IF(OR($H866="",$H866="NONE"),"동의 근거 없음: 전화·방문만",IF($H866="INQUIRY",IF(N($N866)=0,"견적 요청일을 못 찾음: 관련 ID에 견적 ID(Q-…)를 넣었는지 확인",IF('설정 Settings'!$C$15&gt;N($N866),"문의 후 6개월 지남: 다른 동의 근거 필요","OK: 이름·주소·연락처·수신거부 문구 넣기")),IF($H866="REFERRAL","소개 후 첫 메시지만 OK: 소개자 이름 + 이름·주소·연락처·수신거부 문구. 두 번째부터는 다른 동의 근거 필요",IF(AND($H866="REPLY",$D866&lt;&gt;"QUOTE",$D866&lt;&gt;"CALLBACK"),"문의에 대한 답장이 아님: EXPRESS 또는 INQUIRY 동의 필요","OK: 이름·주소·연락처·수신거부 문구 넣기")))),"")))</f>
      </c>
      <c r="N866" s="40">
        <f>IF($H866="INQUIRY",IFERROR(EDATE(INDEX('견적 Quotes'!$B$3:$B$1002,MATCH($C866,'견적 Quotes'!$A$3:$A$1002,0)),'설정 Settings'!$C$20),""),"")</f>
      </c>
    </row>
    <row r="867" spans="12:14" x14ac:dyDescent="0.25">
      <c r="L867" s="42">
        <f>IF($A867="","",IF($G867="Y","완료 DONE",IF($F867="","날짜 없음",IF($F867&lt;'설정 Settings'!$C$15,"지남 OVERDUE",IF($F867='설정 Settings'!$C$15,"오늘 TODAY","예정 OPEN")))))</f>
      </c>
      <c r="M867" s="42">
        <f>IF($A867="","",IF($I867="Y","수신거부: 문자·이메일 보내지 않기",IF(OR($E867="SMS",$E867="EMAIL"),IF(OR($H867="",$H867="NONE"),"동의 근거 없음: 전화·방문만",IF($H867="INQUIRY",IF(N($N867)=0,"견적 요청일을 못 찾음: 관련 ID에 견적 ID(Q-…)를 넣었는지 확인",IF('설정 Settings'!$C$15&gt;N($N867),"문의 후 6개월 지남: 다른 동의 근거 필요","OK: 이름·주소·연락처·수신거부 문구 넣기")),IF($H867="REFERRAL","소개 후 첫 메시지만 OK: 소개자 이름 + 이름·주소·연락처·수신거부 문구. 두 번째부터는 다른 동의 근거 필요",IF(AND($H867="REPLY",$D867&lt;&gt;"QUOTE",$D867&lt;&gt;"CALLBACK"),"문의에 대한 답장이 아님: EXPRESS 또는 INQUIRY 동의 필요","OK: 이름·주소·연락처·수신거부 문구 넣기")))),"")))</f>
      </c>
      <c r="N867" s="40">
        <f>IF($H867="INQUIRY",IFERROR(EDATE(INDEX('견적 Quotes'!$B$3:$B$1002,MATCH($C867,'견적 Quotes'!$A$3:$A$1002,0)),'설정 Settings'!$C$20),""),"")</f>
      </c>
    </row>
    <row r="868" spans="12:14" x14ac:dyDescent="0.25">
      <c r="L868" s="42">
        <f>IF($A868="","",IF($G868="Y","완료 DONE",IF($F868="","날짜 없음",IF($F868&lt;'설정 Settings'!$C$15,"지남 OVERDUE",IF($F868='설정 Settings'!$C$15,"오늘 TODAY","예정 OPEN")))))</f>
      </c>
      <c r="M868" s="42">
        <f>IF($A868="","",IF($I868="Y","수신거부: 문자·이메일 보내지 않기",IF(OR($E868="SMS",$E868="EMAIL"),IF(OR($H868="",$H868="NONE"),"동의 근거 없음: 전화·방문만",IF($H868="INQUIRY",IF(N($N868)=0,"견적 요청일을 못 찾음: 관련 ID에 견적 ID(Q-…)를 넣었는지 확인",IF('설정 Settings'!$C$15&gt;N($N868),"문의 후 6개월 지남: 다른 동의 근거 필요","OK: 이름·주소·연락처·수신거부 문구 넣기")),IF($H868="REFERRAL","소개 후 첫 메시지만 OK: 소개자 이름 + 이름·주소·연락처·수신거부 문구. 두 번째부터는 다른 동의 근거 필요",IF(AND($H868="REPLY",$D868&lt;&gt;"QUOTE",$D868&lt;&gt;"CALLBACK"),"문의에 대한 답장이 아님: EXPRESS 또는 INQUIRY 동의 필요","OK: 이름·주소·연락처·수신거부 문구 넣기")))),"")))</f>
      </c>
      <c r="N868" s="40">
        <f>IF($H868="INQUIRY",IFERROR(EDATE(INDEX('견적 Quotes'!$B$3:$B$1002,MATCH($C868,'견적 Quotes'!$A$3:$A$1002,0)),'설정 Settings'!$C$20),""),"")</f>
      </c>
    </row>
    <row r="869" spans="12:14" x14ac:dyDescent="0.25">
      <c r="L869" s="42">
        <f>IF($A869="","",IF($G869="Y","완료 DONE",IF($F869="","날짜 없음",IF($F869&lt;'설정 Settings'!$C$15,"지남 OVERDUE",IF($F869='설정 Settings'!$C$15,"오늘 TODAY","예정 OPEN")))))</f>
      </c>
      <c r="M869" s="42">
        <f>IF($A869="","",IF($I869="Y","수신거부: 문자·이메일 보내지 않기",IF(OR($E869="SMS",$E869="EMAIL"),IF(OR($H869="",$H869="NONE"),"동의 근거 없음: 전화·방문만",IF($H869="INQUIRY",IF(N($N869)=0,"견적 요청일을 못 찾음: 관련 ID에 견적 ID(Q-…)를 넣었는지 확인",IF('설정 Settings'!$C$15&gt;N($N869),"문의 후 6개월 지남: 다른 동의 근거 필요","OK: 이름·주소·연락처·수신거부 문구 넣기")),IF($H869="REFERRAL","소개 후 첫 메시지만 OK: 소개자 이름 + 이름·주소·연락처·수신거부 문구. 두 번째부터는 다른 동의 근거 필요",IF(AND($H869="REPLY",$D869&lt;&gt;"QUOTE",$D869&lt;&gt;"CALLBACK"),"문의에 대한 답장이 아님: EXPRESS 또는 INQUIRY 동의 필요","OK: 이름·주소·연락처·수신거부 문구 넣기")))),"")))</f>
      </c>
      <c r="N869" s="40">
        <f>IF($H869="INQUIRY",IFERROR(EDATE(INDEX('견적 Quotes'!$B$3:$B$1002,MATCH($C869,'견적 Quotes'!$A$3:$A$1002,0)),'설정 Settings'!$C$20),""),"")</f>
      </c>
    </row>
    <row r="870" spans="12:14" x14ac:dyDescent="0.25">
      <c r="L870" s="42">
        <f>IF($A870="","",IF($G870="Y","완료 DONE",IF($F870="","날짜 없음",IF($F870&lt;'설정 Settings'!$C$15,"지남 OVERDUE",IF($F870='설정 Settings'!$C$15,"오늘 TODAY","예정 OPEN")))))</f>
      </c>
      <c r="M870" s="42">
        <f>IF($A870="","",IF($I870="Y","수신거부: 문자·이메일 보내지 않기",IF(OR($E870="SMS",$E870="EMAIL"),IF(OR($H870="",$H870="NONE"),"동의 근거 없음: 전화·방문만",IF($H870="INQUIRY",IF(N($N870)=0,"견적 요청일을 못 찾음: 관련 ID에 견적 ID(Q-…)를 넣었는지 확인",IF('설정 Settings'!$C$15&gt;N($N870),"문의 후 6개월 지남: 다른 동의 근거 필요","OK: 이름·주소·연락처·수신거부 문구 넣기")),IF($H870="REFERRAL","소개 후 첫 메시지만 OK: 소개자 이름 + 이름·주소·연락처·수신거부 문구. 두 번째부터는 다른 동의 근거 필요",IF(AND($H870="REPLY",$D870&lt;&gt;"QUOTE",$D870&lt;&gt;"CALLBACK"),"문의에 대한 답장이 아님: EXPRESS 또는 INQUIRY 동의 필요","OK: 이름·주소·연락처·수신거부 문구 넣기")))),"")))</f>
      </c>
      <c r="N870" s="40">
        <f>IF($H870="INQUIRY",IFERROR(EDATE(INDEX('견적 Quotes'!$B$3:$B$1002,MATCH($C870,'견적 Quotes'!$A$3:$A$1002,0)),'설정 Settings'!$C$20),""),"")</f>
      </c>
    </row>
    <row r="871" spans="12:14" x14ac:dyDescent="0.25">
      <c r="L871" s="42">
        <f>IF($A871="","",IF($G871="Y","완료 DONE",IF($F871="","날짜 없음",IF($F871&lt;'설정 Settings'!$C$15,"지남 OVERDUE",IF($F871='설정 Settings'!$C$15,"오늘 TODAY","예정 OPEN")))))</f>
      </c>
      <c r="M871" s="42">
        <f>IF($A871="","",IF($I871="Y","수신거부: 문자·이메일 보내지 않기",IF(OR($E871="SMS",$E871="EMAIL"),IF(OR($H871="",$H871="NONE"),"동의 근거 없음: 전화·방문만",IF($H871="INQUIRY",IF(N($N871)=0,"견적 요청일을 못 찾음: 관련 ID에 견적 ID(Q-…)를 넣었는지 확인",IF('설정 Settings'!$C$15&gt;N($N871),"문의 후 6개월 지남: 다른 동의 근거 필요","OK: 이름·주소·연락처·수신거부 문구 넣기")),IF($H871="REFERRAL","소개 후 첫 메시지만 OK: 소개자 이름 + 이름·주소·연락처·수신거부 문구. 두 번째부터는 다른 동의 근거 필요",IF(AND($H871="REPLY",$D871&lt;&gt;"QUOTE",$D871&lt;&gt;"CALLBACK"),"문의에 대한 답장이 아님: EXPRESS 또는 INQUIRY 동의 필요","OK: 이름·주소·연락처·수신거부 문구 넣기")))),"")))</f>
      </c>
      <c r="N871" s="40">
        <f>IF($H871="INQUIRY",IFERROR(EDATE(INDEX('견적 Quotes'!$B$3:$B$1002,MATCH($C871,'견적 Quotes'!$A$3:$A$1002,0)),'설정 Settings'!$C$20),""),"")</f>
      </c>
    </row>
    <row r="872" spans="12:14" x14ac:dyDescent="0.25">
      <c r="L872" s="42">
        <f>IF($A872="","",IF($G872="Y","완료 DONE",IF($F872="","날짜 없음",IF($F872&lt;'설정 Settings'!$C$15,"지남 OVERDUE",IF($F872='설정 Settings'!$C$15,"오늘 TODAY","예정 OPEN")))))</f>
      </c>
      <c r="M872" s="42">
        <f>IF($A872="","",IF($I872="Y","수신거부: 문자·이메일 보내지 않기",IF(OR($E872="SMS",$E872="EMAIL"),IF(OR($H872="",$H872="NONE"),"동의 근거 없음: 전화·방문만",IF($H872="INQUIRY",IF(N($N872)=0,"견적 요청일을 못 찾음: 관련 ID에 견적 ID(Q-…)를 넣었는지 확인",IF('설정 Settings'!$C$15&gt;N($N872),"문의 후 6개월 지남: 다른 동의 근거 필요","OK: 이름·주소·연락처·수신거부 문구 넣기")),IF($H872="REFERRAL","소개 후 첫 메시지만 OK: 소개자 이름 + 이름·주소·연락처·수신거부 문구. 두 번째부터는 다른 동의 근거 필요",IF(AND($H872="REPLY",$D872&lt;&gt;"QUOTE",$D872&lt;&gt;"CALLBACK"),"문의에 대한 답장이 아님: EXPRESS 또는 INQUIRY 동의 필요","OK: 이름·주소·연락처·수신거부 문구 넣기")))),"")))</f>
      </c>
      <c r="N872" s="40">
        <f>IF($H872="INQUIRY",IFERROR(EDATE(INDEX('견적 Quotes'!$B$3:$B$1002,MATCH($C872,'견적 Quotes'!$A$3:$A$1002,0)),'설정 Settings'!$C$20),""),"")</f>
      </c>
    </row>
    <row r="873" spans="12:14" x14ac:dyDescent="0.25">
      <c r="L873" s="42">
        <f>IF($A873="","",IF($G873="Y","완료 DONE",IF($F873="","날짜 없음",IF($F873&lt;'설정 Settings'!$C$15,"지남 OVERDUE",IF($F873='설정 Settings'!$C$15,"오늘 TODAY","예정 OPEN")))))</f>
      </c>
      <c r="M873" s="42">
        <f>IF($A873="","",IF($I873="Y","수신거부: 문자·이메일 보내지 않기",IF(OR($E873="SMS",$E873="EMAIL"),IF(OR($H873="",$H873="NONE"),"동의 근거 없음: 전화·방문만",IF($H873="INQUIRY",IF(N($N873)=0,"견적 요청일을 못 찾음: 관련 ID에 견적 ID(Q-…)를 넣었는지 확인",IF('설정 Settings'!$C$15&gt;N($N873),"문의 후 6개월 지남: 다른 동의 근거 필요","OK: 이름·주소·연락처·수신거부 문구 넣기")),IF($H873="REFERRAL","소개 후 첫 메시지만 OK: 소개자 이름 + 이름·주소·연락처·수신거부 문구. 두 번째부터는 다른 동의 근거 필요",IF(AND($H873="REPLY",$D873&lt;&gt;"QUOTE",$D873&lt;&gt;"CALLBACK"),"문의에 대한 답장이 아님: EXPRESS 또는 INQUIRY 동의 필요","OK: 이름·주소·연락처·수신거부 문구 넣기")))),"")))</f>
      </c>
      <c r="N873" s="40">
        <f>IF($H873="INQUIRY",IFERROR(EDATE(INDEX('견적 Quotes'!$B$3:$B$1002,MATCH($C873,'견적 Quotes'!$A$3:$A$1002,0)),'설정 Settings'!$C$20),""),"")</f>
      </c>
    </row>
    <row r="874" spans="12:14" x14ac:dyDescent="0.25">
      <c r="L874" s="42">
        <f>IF($A874="","",IF($G874="Y","완료 DONE",IF($F874="","날짜 없음",IF($F874&lt;'설정 Settings'!$C$15,"지남 OVERDUE",IF($F874='설정 Settings'!$C$15,"오늘 TODAY","예정 OPEN")))))</f>
      </c>
      <c r="M874" s="42">
        <f>IF($A874="","",IF($I874="Y","수신거부: 문자·이메일 보내지 않기",IF(OR($E874="SMS",$E874="EMAIL"),IF(OR($H874="",$H874="NONE"),"동의 근거 없음: 전화·방문만",IF($H874="INQUIRY",IF(N($N874)=0,"견적 요청일을 못 찾음: 관련 ID에 견적 ID(Q-…)를 넣었는지 확인",IF('설정 Settings'!$C$15&gt;N($N874),"문의 후 6개월 지남: 다른 동의 근거 필요","OK: 이름·주소·연락처·수신거부 문구 넣기")),IF($H874="REFERRAL","소개 후 첫 메시지만 OK: 소개자 이름 + 이름·주소·연락처·수신거부 문구. 두 번째부터는 다른 동의 근거 필요",IF(AND($H874="REPLY",$D874&lt;&gt;"QUOTE",$D874&lt;&gt;"CALLBACK"),"문의에 대한 답장이 아님: EXPRESS 또는 INQUIRY 동의 필요","OK: 이름·주소·연락처·수신거부 문구 넣기")))),"")))</f>
      </c>
      <c r="N874" s="40">
        <f>IF($H874="INQUIRY",IFERROR(EDATE(INDEX('견적 Quotes'!$B$3:$B$1002,MATCH($C874,'견적 Quotes'!$A$3:$A$1002,0)),'설정 Settings'!$C$20),""),"")</f>
      </c>
    </row>
    <row r="875" spans="12:14" x14ac:dyDescent="0.25">
      <c r="L875" s="42">
        <f>IF($A875="","",IF($G875="Y","완료 DONE",IF($F875="","날짜 없음",IF($F875&lt;'설정 Settings'!$C$15,"지남 OVERDUE",IF($F875='설정 Settings'!$C$15,"오늘 TODAY","예정 OPEN")))))</f>
      </c>
      <c r="M875" s="42">
        <f>IF($A875="","",IF($I875="Y","수신거부: 문자·이메일 보내지 않기",IF(OR($E875="SMS",$E875="EMAIL"),IF(OR($H875="",$H875="NONE"),"동의 근거 없음: 전화·방문만",IF($H875="INQUIRY",IF(N($N875)=0,"견적 요청일을 못 찾음: 관련 ID에 견적 ID(Q-…)를 넣었는지 확인",IF('설정 Settings'!$C$15&gt;N($N875),"문의 후 6개월 지남: 다른 동의 근거 필요","OK: 이름·주소·연락처·수신거부 문구 넣기")),IF($H875="REFERRAL","소개 후 첫 메시지만 OK: 소개자 이름 + 이름·주소·연락처·수신거부 문구. 두 번째부터는 다른 동의 근거 필요",IF(AND($H875="REPLY",$D875&lt;&gt;"QUOTE",$D875&lt;&gt;"CALLBACK"),"문의에 대한 답장이 아님: EXPRESS 또는 INQUIRY 동의 필요","OK: 이름·주소·연락처·수신거부 문구 넣기")))),"")))</f>
      </c>
      <c r="N875" s="40">
        <f>IF($H875="INQUIRY",IFERROR(EDATE(INDEX('견적 Quotes'!$B$3:$B$1002,MATCH($C875,'견적 Quotes'!$A$3:$A$1002,0)),'설정 Settings'!$C$20),""),"")</f>
      </c>
    </row>
    <row r="876" spans="12:14" x14ac:dyDescent="0.25">
      <c r="L876" s="42">
        <f>IF($A876="","",IF($G876="Y","완료 DONE",IF($F876="","날짜 없음",IF($F876&lt;'설정 Settings'!$C$15,"지남 OVERDUE",IF($F876='설정 Settings'!$C$15,"오늘 TODAY","예정 OPEN")))))</f>
      </c>
      <c r="M876" s="42">
        <f>IF($A876="","",IF($I876="Y","수신거부: 문자·이메일 보내지 않기",IF(OR($E876="SMS",$E876="EMAIL"),IF(OR($H876="",$H876="NONE"),"동의 근거 없음: 전화·방문만",IF($H876="INQUIRY",IF(N($N876)=0,"견적 요청일을 못 찾음: 관련 ID에 견적 ID(Q-…)를 넣었는지 확인",IF('설정 Settings'!$C$15&gt;N($N876),"문의 후 6개월 지남: 다른 동의 근거 필요","OK: 이름·주소·연락처·수신거부 문구 넣기")),IF($H876="REFERRAL","소개 후 첫 메시지만 OK: 소개자 이름 + 이름·주소·연락처·수신거부 문구. 두 번째부터는 다른 동의 근거 필요",IF(AND($H876="REPLY",$D876&lt;&gt;"QUOTE",$D876&lt;&gt;"CALLBACK"),"문의에 대한 답장이 아님: EXPRESS 또는 INQUIRY 동의 필요","OK: 이름·주소·연락처·수신거부 문구 넣기")))),"")))</f>
      </c>
      <c r="N876" s="40">
        <f>IF($H876="INQUIRY",IFERROR(EDATE(INDEX('견적 Quotes'!$B$3:$B$1002,MATCH($C876,'견적 Quotes'!$A$3:$A$1002,0)),'설정 Settings'!$C$20),""),"")</f>
      </c>
    </row>
    <row r="877" spans="12:14" x14ac:dyDescent="0.25">
      <c r="L877" s="42">
        <f>IF($A877="","",IF($G877="Y","완료 DONE",IF($F877="","날짜 없음",IF($F877&lt;'설정 Settings'!$C$15,"지남 OVERDUE",IF($F877='설정 Settings'!$C$15,"오늘 TODAY","예정 OPEN")))))</f>
      </c>
      <c r="M877" s="42">
        <f>IF($A877="","",IF($I877="Y","수신거부: 문자·이메일 보내지 않기",IF(OR($E877="SMS",$E877="EMAIL"),IF(OR($H877="",$H877="NONE"),"동의 근거 없음: 전화·방문만",IF($H877="INQUIRY",IF(N($N877)=0,"견적 요청일을 못 찾음: 관련 ID에 견적 ID(Q-…)를 넣었는지 확인",IF('설정 Settings'!$C$15&gt;N($N877),"문의 후 6개월 지남: 다른 동의 근거 필요","OK: 이름·주소·연락처·수신거부 문구 넣기")),IF($H877="REFERRAL","소개 후 첫 메시지만 OK: 소개자 이름 + 이름·주소·연락처·수신거부 문구. 두 번째부터는 다른 동의 근거 필요",IF(AND($H877="REPLY",$D877&lt;&gt;"QUOTE",$D877&lt;&gt;"CALLBACK"),"문의에 대한 답장이 아님: EXPRESS 또는 INQUIRY 동의 필요","OK: 이름·주소·연락처·수신거부 문구 넣기")))),"")))</f>
      </c>
      <c r="N877" s="40">
        <f>IF($H877="INQUIRY",IFERROR(EDATE(INDEX('견적 Quotes'!$B$3:$B$1002,MATCH($C877,'견적 Quotes'!$A$3:$A$1002,0)),'설정 Settings'!$C$20),""),"")</f>
      </c>
    </row>
    <row r="878" spans="12:14" x14ac:dyDescent="0.25">
      <c r="L878" s="42">
        <f>IF($A878="","",IF($G878="Y","완료 DONE",IF($F878="","날짜 없음",IF($F878&lt;'설정 Settings'!$C$15,"지남 OVERDUE",IF($F878='설정 Settings'!$C$15,"오늘 TODAY","예정 OPEN")))))</f>
      </c>
      <c r="M878" s="42">
        <f>IF($A878="","",IF($I878="Y","수신거부: 문자·이메일 보내지 않기",IF(OR($E878="SMS",$E878="EMAIL"),IF(OR($H878="",$H878="NONE"),"동의 근거 없음: 전화·방문만",IF($H878="INQUIRY",IF(N($N878)=0,"견적 요청일을 못 찾음: 관련 ID에 견적 ID(Q-…)를 넣었는지 확인",IF('설정 Settings'!$C$15&gt;N($N878),"문의 후 6개월 지남: 다른 동의 근거 필요","OK: 이름·주소·연락처·수신거부 문구 넣기")),IF($H878="REFERRAL","소개 후 첫 메시지만 OK: 소개자 이름 + 이름·주소·연락처·수신거부 문구. 두 번째부터는 다른 동의 근거 필요",IF(AND($H878="REPLY",$D878&lt;&gt;"QUOTE",$D878&lt;&gt;"CALLBACK"),"문의에 대한 답장이 아님: EXPRESS 또는 INQUIRY 동의 필요","OK: 이름·주소·연락처·수신거부 문구 넣기")))),"")))</f>
      </c>
      <c r="N878" s="40">
        <f>IF($H878="INQUIRY",IFERROR(EDATE(INDEX('견적 Quotes'!$B$3:$B$1002,MATCH($C878,'견적 Quotes'!$A$3:$A$1002,0)),'설정 Settings'!$C$20),""),"")</f>
      </c>
    </row>
    <row r="879" spans="12:14" x14ac:dyDescent="0.25">
      <c r="L879" s="42">
        <f>IF($A879="","",IF($G879="Y","완료 DONE",IF($F879="","날짜 없음",IF($F879&lt;'설정 Settings'!$C$15,"지남 OVERDUE",IF($F879='설정 Settings'!$C$15,"오늘 TODAY","예정 OPEN")))))</f>
      </c>
      <c r="M879" s="42">
        <f>IF($A879="","",IF($I879="Y","수신거부: 문자·이메일 보내지 않기",IF(OR($E879="SMS",$E879="EMAIL"),IF(OR($H879="",$H879="NONE"),"동의 근거 없음: 전화·방문만",IF($H879="INQUIRY",IF(N($N879)=0,"견적 요청일을 못 찾음: 관련 ID에 견적 ID(Q-…)를 넣었는지 확인",IF('설정 Settings'!$C$15&gt;N($N879),"문의 후 6개월 지남: 다른 동의 근거 필요","OK: 이름·주소·연락처·수신거부 문구 넣기")),IF($H879="REFERRAL","소개 후 첫 메시지만 OK: 소개자 이름 + 이름·주소·연락처·수신거부 문구. 두 번째부터는 다른 동의 근거 필요",IF(AND($H879="REPLY",$D879&lt;&gt;"QUOTE",$D879&lt;&gt;"CALLBACK"),"문의에 대한 답장이 아님: EXPRESS 또는 INQUIRY 동의 필요","OK: 이름·주소·연락처·수신거부 문구 넣기")))),"")))</f>
      </c>
      <c r="N879" s="40">
        <f>IF($H879="INQUIRY",IFERROR(EDATE(INDEX('견적 Quotes'!$B$3:$B$1002,MATCH($C879,'견적 Quotes'!$A$3:$A$1002,0)),'설정 Settings'!$C$20),""),"")</f>
      </c>
    </row>
    <row r="880" spans="12:14" x14ac:dyDescent="0.25">
      <c r="L880" s="42">
        <f>IF($A880="","",IF($G880="Y","완료 DONE",IF($F880="","날짜 없음",IF($F880&lt;'설정 Settings'!$C$15,"지남 OVERDUE",IF($F880='설정 Settings'!$C$15,"오늘 TODAY","예정 OPEN")))))</f>
      </c>
      <c r="M880" s="42">
        <f>IF($A880="","",IF($I880="Y","수신거부: 문자·이메일 보내지 않기",IF(OR($E880="SMS",$E880="EMAIL"),IF(OR($H880="",$H880="NONE"),"동의 근거 없음: 전화·방문만",IF($H880="INQUIRY",IF(N($N880)=0,"견적 요청일을 못 찾음: 관련 ID에 견적 ID(Q-…)를 넣었는지 확인",IF('설정 Settings'!$C$15&gt;N($N880),"문의 후 6개월 지남: 다른 동의 근거 필요","OK: 이름·주소·연락처·수신거부 문구 넣기")),IF($H880="REFERRAL","소개 후 첫 메시지만 OK: 소개자 이름 + 이름·주소·연락처·수신거부 문구. 두 번째부터는 다른 동의 근거 필요",IF(AND($H880="REPLY",$D880&lt;&gt;"QUOTE",$D880&lt;&gt;"CALLBACK"),"문의에 대한 답장이 아님: EXPRESS 또는 INQUIRY 동의 필요","OK: 이름·주소·연락처·수신거부 문구 넣기")))),"")))</f>
      </c>
      <c r="N880" s="40">
        <f>IF($H880="INQUIRY",IFERROR(EDATE(INDEX('견적 Quotes'!$B$3:$B$1002,MATCH($C880,'견적 Quotes'!$A$3:$A$1002,0)),'설정 Settings'!$C$20),""),"")</f>
      </c>
    </row>
    <row r="881" spans="12:14" x14ac:dyDescent="0.25">
      <c r="L881" s="42">
        <f>IF($A881="","",IF($G881="Y","완료 DONE",IF($F881="","날짜 없음",IF($F881&lt;'설정 Settings'!$C$15,"지남 OVERDUE",IF($F881='설정 Settings'!$C$15,"오늘 TODAY","예정 OPEN")))))</f>
      </c>
      <c r="M881" s="42">
        <f>IF($A881="","",IF($I881="Y","수신거부: 문자·이메일 보내지 않기",IF(OR($E881="SMS",$E881="EMAIL"),IF(OR($H881="",$H881="NONE"),"동의 근거 없음: 전화·방문만",IF($H881="INQUIRY",IF(N($N881)=0,"견적 요청일을 못 찾음: 관련 ID에 견적 ID(Q-…)를 넣었는지 확인",IF('설정 Settings'!$C$15&gt;N($N881),"문의 후 6개월 지남: 다른 동의 근거 필요","OK: 이름·주소·연락처·수신거부 문구 넣기")),IF($H881="REFERRAL","소개 후 첫 메시지만 OK: 소개자 이름 + 이름·주소·연락처·수신거부 문구. 두 번째부터는 다른 동의 근거 필요",IF(AND($H881="REPLY",$D881&lt;&gt;"QUOTE",$D881&lt;&gt;"CALLBACK"),"문의에 대한 답장이 아님: EXPRESS 또는 INQUIRY 동의 필요","OK: 이름·주소·연락처·수신거부 문구 넣기")))),"")))</f>
      </c>
      <c r="N881" s="40">
        <f>IF($H881="INQUIRY",IFERROR(EDATE(INDEX('견적 Quotes'!$B$3:$B$1002,MATCH($C881,'견적 Quotes'!$A$3:$A$1002,0)),'설정 Settings'!$C$20),""),"")</f>
      </c>
    </row>
    <row r="882" spans="12:14" x14ac:dyDescent="0.25">
      <c r="L882" s="42">
        <f>IF($A882="","",IF($G882="Y","완료 DONE",IF($F882="","날짜 없음",IF($F882&lt;'설정 Settings'!$C$15,"지남 OVERDUE",IF($F882='설정 Settings'!$C$15,"오늘 TODAY","예정 OPEN")))))</f>
      </c>
      <c r="M882" s="42">
        <f>IF($A882="","",IF($I882="Y","수신거부: 문자·이메일 보내지 않기",IF(OR($E882="SMS",$E882="EMAIL"),IF(OR($H882="",$H882="NONE"),"동의 근거 없음: 전화·방문만",IF($H882="INQUIRY",IF(N($N882)=0,"견적 요청일을 못 찾음: 관련 ID에 견적 ID(Q-…)를 넣었는지 확인",IF('설정 Settings'!$C$15&gt;N($N882),"문의 후 6개월 지남: 다른 동의 근거 필요","OK: 이름·주소·연락처·수신거부 문구 넣기")),IF($H882="REFERRAL","소개 후 첫 메시지만 OK: 소개자 이름 + 이름·주소·연락처·수신거부 문구. 두 번째부터는 다른 동의 근거 필요",IF(AND($H882="REPLY",$D882&lt;&gt;"QUOTE",$D882&lt;&gt;"CALLBACK"),"문의에 대한 답장이 아님: EXPRESS 또는 INQUIRY 동의 필요","OK: 이름·주소·연락처·수신거부 문구 넣기")))),"")))</f>
      </c>
      <c r="N882" s="40">
        <f>IF($H882="INQUIRY",IFERROR(EDATE(INDEX('견적 Quotes'!$B$3:$B$1002,MATCH($C882,'견적 Quotes'!$A$3:$A$1002,0)),'설정 Settings'!$C$20),""),"")</f>
      </c>
    </row>
    <row r="883" spans="12:14" x14ac:dyDescent="0.25">
      <c r="L883" s="42">
        <f>IF($A883="","",IF($G883="Y","완료 DONE",IF($F883="","날짜 없음",IF($F883&lt;'설정 Settings'!$C$15,"지남 OVERDUE",IF($F883='설정 Settings'!$C$15,"오늘 TODAY","예정 OPEN")))))</f>
      </c>
      <c r="M883" s="42">
        <f>IF($A883="","",IF($I883="Y","수신거부: 문자·이메일 보내지 않기",IF(OR($E883="SMS",$E883="EMAIL"),IF(OR($H883="",$H883="NONE"),"동의 근거 없음: 전화·방문만",IF($H883="INQUIRY",IF(N($N883)=0,"견적 요청일을 못 찾음: 관련 ID에 견적 ID(Q-…)를 넣었는지 확인",IF('설정 Settings'!$C$15&gt;N($N883),"문의 후 6개월 지남: 다른 동의 근거 필요","OK: 이름·주소·연락처·수신거부 문구 넣기")),IF($H883="REFERRAL","소개 후 첫 메시지만 OK: 소개자 이름 + 이름·주소·연락처·수신거부 문구. 두 번째부터는 다른 동의 근거 필요",IF(AND($H883="REPLY",$D883&lt;&gt;"QUOTE",$D883&lt;&gt;"CALLBACK"),"문의에 대한 답장이 아님: EXPRESS 또는 INQUIRY 동의 필요","OK: 이름·주소·연락처·수신거부 문구 넣기")))),"")))</f>
      </c>
      <c r="N883" s="40">
        <f>IF($H883="INQUIRY",IFERROR(EDATE(INDEX('견적 Quotes'!$B$3:$B$1002,MATCH($C883,'견적 Quotes'!$A$3:$A$1002,0)),'설정 Settings'!$C$20),""),"")</f>
      </c>
    </row>
    <row r="884" spans="12:14" x14ac:dyDescent="0.25">
      <c r="L884" s="42">
        <f>IF($A884="","",IF($G884="Y","완료 DONE",IF($F884="","날짜 없음",IF($F884&lt;'설정 Settings'!$C$15,"지남 OVERDUE",IF($F884='설정 Settings'!$C$15,"오늘 TODAY","예정 OPEN")))))</f>
      </c>
      <c r="M884" s="42">
        <f>IF($A884="","",IF($I884="Y","수신거부: 문자·이메일 보내지 않기",IF(OR($E884="SMS",$E884="EMAIL"),IF(OR($H884="",$H884="NONE"),"동의 근거 없음: 전화·방문만",IF($H884="INQUIRY",IF(N($N884)=0,"견적 요청일을 못 찾음: 관련 ID에 견적 ID(Q-…)를 넣었는지 확인",IF('설정 Settings'!$C$15&gt;N($N884),"문의 후 6개월 지남: 다른 동의 근거 필요","OK: 이름·주소·연락처·수신거부 문구 넣기")),IF($H884="REFERRAL","소개 후 첫 메시지만 OK: 소개자 이름 + 이름·주소·연락처·수신거부 문구. 두 번째부터는 다른 동의 근거 필요",IF(AND($H884="REPLY",$D884&lt;&gt;"QUOTE",$D884&lt;&gt;"CALLBACK"),"문의에 대한 답장이 아님: EXPRESS 또는 INQUIRY 동의 필요","OK: 이름·주소·연락처·수신거부 문구 넣기")))),"")))</f>
      </c>
      <c r="N884" s="40">
        <f>IF($H884="INQUIRY",IFERROR(EDATE(INDEX('견적 Quotes'!$B$3:$B$1002,MATCH($C884,'견적 Quotes'!$A$3:$A$1002,0)),'설정 Settings'!$C$20),""),"")</f>
      </c>
    </row>
    <row r="885" spans="12:14" x14ac:dyDescent="0.25">
      <c r="L885" s="42">
        <f>IF($A885="","",IF($G885="Y","완료 DONE",IF($F885="","날짜 없음",IF($F885&lt;'설정 Settings'!$C$15,"지남 OVERDUE",IF($F885='설정 Settings'!$C$15,"오늘 TODAY","예정 OPEN")))))</f>
      </c>
      <c r="M885" s="42">
        <f>IF($A885="","",IF($I885="Y","수신거부: 문자·이메일 보내지 않기",IF(OR($E885="SMS",$E885="EMAIL"),IF(OR($H885="",$H885="NONE"),"동의 근거 없음: 전화·방문만",IF($H885="INQUIRY",IF(N($N885)=0,"견적 요청일을 못 찾음: 관련 ID에 견적 ID(Q-…)를 넣었는지 확인",IF('설정 Settings'!$C$15&gt;N($N885),"문의 후 6개월 지남: 다른 동의 근거 필요","OK: 이름·주소·연락처·수신거부 문구 넣기")),IF($H885="REFERRAL","소개 후 첫 메시지만 OK: 소개자 이름 + 이름·주소·연락처·수신거부 문구. 두 번째부터는 다른 동의 근거 필요",IF(AND($H885="REPLY",$D885&lt;&gt;"QUOTE",$D885&lt;&gt;"CALLBACK"),"문의에 대한 답장이 아님: EXPRESS 또는 INQUIRY 동의 필요","OK: 이름·주소·연락처·수신거부 문구 넣기")))),"")))</f>
      </c>
      <c r="N885" s="40">
        <f>IF($H885="INQUIRY",IFERROR(EDATE(INDEX('견적 Quotes'!$B$3:$B$1002,MATCH($C885,'견적 Quotes'!$A$3:$A$1002,0)),'설정 Settings'!$C$20),""),"")</f>
      </c>
    </row>
    <row r="886" spans="12:14" x14ac:dyDescent="0.25">
      <c r="L886" s="42">
        <f>IF($A886="","",IF($G886="Y","완료 DONE",IF($F886="","날짜 없음",IF($F886&lt;'설정 Settings'!$C$15,"지남 OVERDUE",IF($F886='설정 Settings'!$C$15,"오늘 TODAY","예정 OPEN")))))</f>
      </c>
      <c r="M886" s="42">
        <f>IF($A886="","",IF($I886="Y","수신거부: 문자·이메일 보내지 않기",IF(OR($E886="SMS",$E886="EMAIL"),IF(OR($H886="",$H886="NONE"),"동의 근거 없음: 전화·방문만",IF($H886="INQUIRY",IF(N($N886)=0,"견적 요청일을 못 찾음: 관련 ID에 견적 ID(Q-…)를 넣었는지 확인",IF('설정 Settings'!$C$15&gt;N($N886),"문의 후 6개월 지남: 다른 동의 근거 필요","OK: 이름·주소·연락처·수신거부 문구 넣기")),IF($H886="REFERRAL","소개 후 첫 메시지만 OK: 소개자 이름 + 이름·주소·연락처·수신거부 문구. 두 번째부터는 다른 동의 근거 필요",IF(AND($H886="REPLY",$D886&lt;&gt;"QUOTE",$D886&lt;&gt;"CALLBACK"),"문의에 대한 답장이 아님: EXPRESS 또는 INQUIRY 동의 필요","OK: 이름·주소·연락처·수신거부 문구 넣기")))),"")))</f>
      </c>
      <c r="N886" s="40">
        <f>IF($H886="INQUIRY",IFERROR(EDATE(INDEX('견적 Quotes'!$B$3:$B$1002,MATCH($C886,'견적 Quotes'!$A$3:$A$1002,0)),'설정 Settings'!$C$20),""),"")</f>
      </c>
    </row>
    <row r="887" spans="12:14" x14ac:dyDescent="0.25">
      <c r="L887" s="42">
        <f>IF($A887="","",IF($G887="Y","완료 DONE",IF($F887="","날짜 없음",IF($F887&lt;'설정 Settings'!$C$15,"지남 OVERDUE",IF($F887='설정 Settings'!$C$15,"오늘 TODAY","예정 OPEN")))))</f>
      </c>
      <c r="M887" s="42">
        <f>IF($A887="","",IF($I887="Y","수신거부: 문자·이메일 보내지 않기",IF(OR($E887="SMS",$E887="EMAIL"),IF(OR($H887="",$H887="NONE"),"동의 근거 없음: 전화·방문만",IF($H887="INQUIRY",IF(N($N887)=0,"견적 요청일을 못 찾음: 관련 ID에 견적 ID(Q-…)를 넣었는지 확인",IF('설정 Settings'!$C$15&gt;N($N887),"문의 후 6개월 지남: 다른 동의 근거 필요","OK: 이름·주소·연락처·수신거부 문구 넣기")),IF($H887="REFERRAL","소개 후 첫 메시지만 OK: 소개자 이름 + 이름·주소·연락처·수신거부 문구. 두 번째부터는 다른 동의 근거 필요",IF(AND($H887="REPLY",$D887&lt;&gt;"QUOTE",$D887&lt;&gt;"CALLBACK"),"문의에 대한 답장이 아님: EXPRESS 또는 INQUIRY 동의 필요","OK: 이름·주소·연락처·수신거부 문구 넣기")))),"")))</f>
      </c>
      <c r="N887" s="40">
        <f>IF($H887="INQUIRY",IFERROR(EDATE(INDEX('견적 Quotes'!$B$3:$B$1002,MATCH($C887,'견적 Quotes'!$A$3:$A$1002,0)),'설정 Settings'!$C$20),""),"")</f>
      </c>
    </row>
    <row r="888" spans="12:14" x14ac:dyDescent="0.25">
      <c r="L888" s="42">
        <f>IF($A888="","",IF($G888="Y","완료 DONE",IF($F888="","날짜 없음",IF($F888&lt;'설정 Settings'!$C$15,"지남 OVERDUE",IF($F888='설정 Settings'!$C$15,"오늘 TODAY","예정 OPEN")))))</f>
      </c>
      <c r="M888" s="42">
        <f>IF($A888="","",IF($I888="Y","수신거부: 문자·이메일 보내지 않기",IF(OR($E888="SMS",$E888="EMAIL"),IF(OR($H888="",$H888="NONE"),"동의 근거 없음: 전화·방문만",IF($H888="INQUIRY",IF(N($N888)=0,"견적 요청일을 못 찾음: 관련 ID에 견적 ID(Q-…)를 넣었는지 확인",IF('설정 Settings'!$C$15&gt;N($N888),"문의 후 6개월 지남: 다른 동의 근거 필요","OK: 이름·주소·연락처·수신거부 문구 넣기")),IF($H888="REFERRAL","소개 후 첫 메시지만 OK: 소개자 이름 + 이름·주소·연락처·수신거부 문구. 두 번째부터는 다른 동의 근거 필요",IF(AND($H888="REPLY",$D888&lt;&gt;"QUOTE",$D888&lt;&gt;"CALLBACK"),"문의에 대한 답장이 아님: EXPRESS 또는 INQUIRY 동의 필요","OK: 이름·주소·연락처·수신거부 문구 넣기")))),"")))</f>
      </c>
      <c r="N888" s="40">
        <f>IF($H888="INQUIRY",IFERROR(EDATE(INDEX('견적 Quotes'!$B$3:$B$1002,MATCH($C888,'견적 Quotes'!$A$3:$A$1002,0)),'설정 Settings'!$C$20),""),"")</f>
      </c>
    </row>
    <row r="889" spans="12:14" x14ac:dyDescent="0.25">
      <c r="L889" s="42">
        <f>IF($A889="","",IF($G889="Y","완료 DONE",IF($F889="","날짜 없음",IF($F889&lt;'설정 Settings'!$C$15,"지남 OVERDUE",IF($F889='설정 Settings'!$C$15,"오늘 TODAY","예정 OPEN")))))</f>
      </c>
      <c r="M889" s="42">
        <f>IF($A889="","",IF($I889="Y","수신거부: 문자·이메일 보내지 않기",IF(OR($E889="SMS",$E889="EMAIL"),IF(OR($H889="",$H889="NONE"),"동의 근거 없음: 전화·방문만",IF($H889="INQUIRY",IF(N($N889)=0,"견적 요청일을 못 찾음: 관련 ID에 견적 ID(Q-…)를 넣었는지 확인",IF('설정 Settings'!$C$15&gt;N($N889),"문의 후 6개월 지남: 다른 동의 근거 필요","OK: 이름·주소·연락처·수신거부 문구 넣기")),IF($H889="REFERRAL","소개 후 첫 메시지만 OK: 소개자 이름 + 이름·주소·연락처·수신거부 문구. 두 번째부터는 다른 동의 근거 필요",IF(AND($H889="REPLY",$D889&lt;&gt;"QUOTE",$D889&lt;&gt;"CALLBACK"),"문의에 대한 답장이 아님: EXPRESS 또는 INQUIRY 동의 필요","OK: 이름·주소·연락처·수신거부 문구 넣기")))),"")))</f>
      </c>
      <c r="N889" s="40">
        <f>IF($H889="INQUIRY",IFERROR(EDATE(INDEX('견적 Quotes'!$B$3:$B$1002,MATCH($C889,'견적 Quotes'!$A$3:$A$1002,0)),'설정 Settings'!$C$20),""),"")</f>
      </c>
    </row>
    <row r="890" spans="12:14" x14ac:dyDescent="0.25">
      <c r="L890" s="42">
        <f>IF($A890="","",IF($G890="Y","완료 DONE",IF($F890="","날짜 없음",IF($F890&lt;'설정 Settings'!$C$15,"지남 OVERDUE",IF($F890='설정 Settings'!$C$15,"오늘 TODAY","예정 OPEN")))))</f>
      </c>
      <c r="M890" s="42">
        <f>IF($A890="","",IF($I890="Y","수신거부: 문자·이메일 보내지 않기",IF(OR($E890="SMS",$E890="EMAIL"),IF(OR($H890="",$H890="NONE"),"동의 근거 없음: 전화·방문만",IF($H890="INQUIRY",IF(N($N890)=0,"견적 요청일을 못 찾음: 관련 ID에 견적 ID(Q-…)를 넣었는지 확인",IF('설정 Settings'!$C$15&gt;N($N890),"문의 후 6개월 지남: 다른 동의 근거 필요","OK: 이름·주소·연락처·수신거부 문구 넣기")),IF($H890="REFERRAL","소개 후 첫 메시지만 OK: 소개자 이름 + 이름·주소·연락처·수신거부 문구. 두 번째부터는 다른 동의 근거 필요",IF(AND($H890="REPLY",$D890&lt;&gt;"QUOTE",$D890&lt;&gt;"CALLBACK"),"문의에 대한 답장이 아님: EXPRESS 또는 INQUIRY 동의 필요","OK: 이름·주소·연락처·수신거부 문구 넣기")))),"")))</f>
      </c>
      <c r="N890" s="40">
        <f>IF($H890="INQUIRY",IFERROR(EDATE(INDEX('견적 Quotes'!$B$3:$B$1002,MATCH($C890,'견적 Quotes'!$A$3:$A$1002,0)),'설정 Settings'!$C$20),""),"")</f>
      </c>
    </row>
    <row r="891" spans="12:14" x14ac:dyDescent="0.25">
      <c r="L891" s="42">
        <f>IF($A891="","",IF($G891="Y","완료 DONE",IF($F891="","날짜 없음",IF($F891&lt;'설정 Settings'!$C$15,"지남 OVERDUE",IF($F891='설정 Settings'!$C$15,"오늘 TODAY","예정 OPEN")))))</f>
      </c>
      <c r="M891" s="42">
        <f>IF($A891="","",IF($I891="Y","수신거부: 문자·이메일 보내지 않기",IF(OR($E891="SMS",$E891="EMAIL"),IF(OR($H891="",$H891="NONE"),"동의 근거 없음: 전화·방문만",IF($H891="INQUIRY",IF(N($N891)=0,"견적 요청일을 못 찾음: 관련 ID에 견적 ID(Q-…)를 넣었는지 확인",IF('설정 Settings'!$C$15&gt;N($N891),"문의 후 6개월 지남: 다른 동의 근거 필요","OK: 이름·주소·연락처·수신거부 문구 넣기")),IF($H891="REFERRAL","소개 후 첫 메시지만 OK: 소개자 이름 + 이름·주소·연락처·수신거부 문구. 두 번째부터는 다른 동의 근거 필요",IF(AND($H891="REPLY",$D891&lt;&gt;"QUOTE",$D891&lt;&gt;"CALLBACK"),"문의에 대한 답장이 아님: EXPRESS 또는 INQUIRY 동의 필요","OK: 이름·주소·연락처·수신거부 문구 넣기")))),"")))</f>
      </c>
      <c r="N891" s="40">
        <f>IF($H891="INQUIRY",IFERROR(EDATE(INDEX('견적 Quotes'!$B$3:$B$1002,MATCH($C891,'견적 Quotes'!$A$3:$A$1002,0)),'설정 Settings'!$C$20),""),"")</f>
      </c>
    </row>
    <row r="892" spans="12:14" x14ac:dyDescent="0.25">
      <c r="L892" s="42">
        <f>IF($A892="","",IF($G892="Y","완료 DONE",IF($F892="","날짜 없음",IF($F892&lt;'설정 Settings'!$C$15,"지남 OVERDUE",IF($F892='설정 Settings'!$C$15,"오늘 TODAY","예정 OPEN")))))</f>
      </c>
      <c r="M892" s="42">
        <f>IF($A892="","",IF($I892="Y","수신거부: 문자·이메일 보내지 않기",IF(OR($E892="SMS",$E892="EMAIL"),IF(OR($H892="",$H892="NONE"),"동의 근거 없음: 전화·방문만",IF($H892="INQUIRY",IF(N($N892)=0,"견적 요청일을 못 찾음: 관련 ID에 견적 ID(Q-…)를 넣었는지 확인",IF('설정 Settings'!$C$15&gt;N($N892),"문의 후 6개월 지남: 다른 동의 근거 필요","OK: 이름·주소·연락처·수신거부 문구 넣기")),IF($H892="REFERRAL","소개 후 첫 메시지만 OK: 소개자 이름 + 이름·주소·연락처·수신거부 문구. 두 번째부터는 다른 동의 근거 필요",IF(AND($H892="REPLY",$D892&lt;&gt;"QUOTE",$D892&lt;&gt;"CALLBACK"),"문의에 대한 답장이 아님: EXPRESS 또는 INQUIRY 동의 필요","OK: 이름·주소·연락처·수신거부 문구 넣기")))),"")))</f>
      </c>
      <c r="N892" s="40">
        <f>IF($H892="INQUIRY",IFERROR(EDATE(INDEX('견적 Quotes'!$B$3:$B$1002,MATCH($C892,'견적 Quotes'!$A$3:$A$1002,0)),'설정 Settings'!$C$20),""),"")</f>
      </c>
    </row>
    <row r="893" spans="12:14" x14ac:dyDescent="0.25">
      <c r="L893" s="42">
        <f>IF($A893="","",IF($G893="Y","완료 DONE",IF($F893="","날짜 없음",IF($F893&lt;'설정 Settings'!$C$15,"지남 OVERDUE",IF($F893='설정 Settings'!$C$15,"오늘 TODAY","예정 OPEN")))))</f>
      </c>
      <c r="M893" s="42">
        <f>IF($A893="","",IF($I893="Y","수신거부: 문자·이메일 보내지 않기",IF(OR($E893="SMS",$E893="EMAIL"),IF(OR($H893="",$H893="NONE"),"동의 근거 없음: 전화·방문만",IF($H893="INQUIRY",IF(N($N893)=0,"견적 요청일을 못 찾음: 관련 ID에 견적 ID(Q-…)를 넣었는지 확인",IF('설정 Settings'!$C$15&gt;N($N893),"문의 후 6개월 지남: 다른 동의 근거 필요","OK: 이름·주소·연락처·수신거부 문구 넣기")),IF($H893="REFERRAL","소개 후 첫 메시지만 OK: 소개자 이름 + 이름·주소·연락처·수신거부 문구. 두 번째부터는 다른 동의 근거 필요",IF(AND($H893="REPLY",$D893&lt;&gt;"QUOTE",$D893&lt;&gt;"CALLBACK"),"문의에 대한 답장이 아님: EXPRESS 또는 INQUIRY 동의 필요","OK: 이름·주소·연락처·수신거부 문구 넣기")))),"")))</f>
      </c>
      <c r="N893" s="40">
        <f>IF($H893="INQUIRY",IFERROR(EDATE(INDEX('견적 Quotes'!$B$3:$B$1002,MATCH($C893,'견적 Quotes'!$A$3:$A$1002,0)),'설정 Settings'!$C$20),""),"")</f>
      </c>
    </row>
    <row r="894" spans="12:14" x14ac:dyDescent="0.25">
      <c r="L894" s="42">
        <f>IF($A894="","",IF($G894="Y","완료 DONE",IF($F894="","날짜 없음",IF($F894&lt;'설정 Settings'!$C$15,"지남 OVERDUE",IF($F894='설정 Settings'!$C$15,"오늘 TODAY","예정 OPEN")))))</f>
      </c>
      <c r="M894" s="42">
        <f>IF($A894="","",IF($I894="Y","수신거부: 문자·이메일 보내지 않기",IF(OR($E894="SMS",$E894="EMAIL"),IF(OR($H894="",$H894="NONE"),"동의 근거 없음: 전화·방문만",IF($H894="INQUIRY",IF(N($N894)=0,"견적 요청일을 못 찾음: 관련 ID에 견적 ID(Q-…)를 넣었는지 확인",IF('설정 Settings'!$C$15&gt;N($N894),"문의 후 6개월 지남: 다른 동의 근거 필요","OK: 이름·주소·연락처·수신거부 문구 넣기")),IF($H894="REFERRAL","소개 후 첫 메시지만 OK: 소개자 이름 + 이름·주소·연락처·수신거부 문구. 두 번째부터는 다른 동의 근거 필요",IF(AND($H894="REPLY",$D894&lt;&gt;"QUOTE",$D894&lt;&gt;"CALLBACK"),"문의에 대한 답장이 아님: EXPRESS 또는 INQUIRY 동의 필요","OK: 이름·주소·연락처·수신거부 문구 넣기")))),"")))</f>
      </c>
      <c r="N894" s="40">
        <f>IF($H894="INQUIRY",IFERROR(EDATE(INDEX('견적 Quotes'!$B$3:$B$1002,MATCH($C894,'견적 Quotes'!$A$3:$A$1002,0)),'설정 Settings'!$C$20),""),"")</f>
      </c>
    </row>
    <row r="895" spans="12:14" x14ac:dyDescent="0.25">
      <c r="L895" s="42">
        <f>IF($A895="","",IF($G895="Y","완료 DONE",IF($F895="","날짜 없음",IF($F895&lt;'설정 Settings'!$C$15,"지남 OVERDUE",IF($F895='설정 Settings'!$C$15,"오늘 TODAY","예정 OPEN")))))</f>
      </c>
      <c r="M895" s="42">
        <f>IF($A895="","",IF($I895="Y","수신거부: 문자·이메일 보내지 않기",IF(OR($E895="SMS",$E895="EMAIL"),IF(OR($H895="",$H895="NONE"),"동의 근거 없음: 전화·방문만",IF($H895="INQUIRY",IF(N($N895)=0,"견적 요청일을 못 찾음: 관련 ID에 견적 ID(Q-…)를 넣었는지 확인",IF('설정 Settings'!$C$15&gt;N($N895),"문의 후 6개월 지남: 다른 동의 근거 필요","OK: 이름·주소·연락처·수신거부 문구 넣기")),IF($H895="REFERRAL","소개 후 첫 메시지만 OK: 소개자 이름 + 이름·주소·연락처·수신거부 문구. 두 번째부터는 다른 동의 근거 필요",IF(AND($H895="REPLY",$D895&lt;&gt;"QUOTE",$D895&lt;&gt;"CALLBACK"),"문의에 대한 답장이 아님: EXPRESS 또는 INQUIRY 동의 필요","OK: 이름·주소·연락처·수신거부 문구 넣기")))),"")))</f>
      </c>
      <c r="N895" s="40">
        <f>IF($H895="INQUIRY",IFERROR(EDATE(INDEX('견적 Quotes'!$B$3:$B$1002,MATCH($C895,'견적 Quotes'!$A$3:$A$1002,0)),'설정 Settings'!$C$20),""),"")</f>
      </c>
    </row>
    <row r="896" spans="12:14" x14ac:dyDescent="0.25">
      <c r="L896" s="42">
        <f>IF($A896="","",IF($G896="Y","완료 DONE",IF($F896="","날짜 없음",IF($F896&lt;'설정 Settings'!$C$15,"지남 OVERDUE",IF($F896='설정 Settings'!$C$15,"오늘 TODAY","예정 OPEN")))))</f>
      </c>
      <c r="M896" s="42">
        <f>IF($A896="","",IF($I896="Y","수신거부: 문자·이메일 보내지 않기",IF(OR($E896="SMS",$E896="EMAIL"),IF(OR($H896="",$H896="NONE"),"동의 근거 없음: 전화·방문만",IF($H896="INQUIRY",IF(N($N896)=0,"견적 요청일을 못 찾음: 관련 ID에 견적 ID(Q-…)를 넣었는지 확인",IF('설정 Settings'!$C$15&gt;N($N896),"문의 후 6개월 지남: 다른 동의 근거 필요","OK: 이름·주소·연락처·수신거부 문구 넣기")),IF($H896="REFERRAL","소개 후 첫 메시지만 OK: 소개자 이름 + 이름·주소·연락처·수신거부 문구. 두 번째부터는 다른 동의 근거 필요",IF(AND($H896="REPLY",$D896&lt;&gt;"QUOTE",$D896&lt;&gt;"CALLBACK"),"문의에 대한 답장이 아님: EXPRESS 또는 INQUIRY 동의 필요","OK: 이름·주소·연락처·수신거부 문구 넣기")))),"")))</f>
      </c>
      <c r="N896" s="40">
        <f>IF($H896="INQUIRY",IFERROR(EDATE(INDEX('견적 Quotes'!$B$3:$B$1002,MATCH($C896,'견적 Quotes'!$A$3:$A$1002,0)),'설정 Settings'!$C$20),""),"")</f>
      </c>
    </row>
    <row r="897" spans="12:14" x14ac:dyDescent="0.25">
      <c r="L897" s="42">
        <f>IF($A897="","",IF($G897="Y","완료 DONE",IF($F897="","날짜 없음",IF($F897&lt;'설정 Settings'!$C$15,"지남 OVERDUE",IF($F897='설정 Settings'!$C$15,"오늘 TODAY","예정 OPEN")))))</f>
      </c>
      <c r="M897" s="42">
        <f>IF($A897="","",IF($I897="Y","수신거부: 문자·이메일 보내지 않기",IF(OR($E897="SMS",$E897="EMAIL"),IF(OR($H897="",$H897="NONE"),"동의 근거 없음: 전화·방문만",IF($H897="INQUIRY",IF(N($N897)=0,"견적 요청일을 못 찾음: 관련 ID에 견적 ID(Q-…)를 넣었는지 확인",IF('설정 Settings'!$C$15&gt;N($N897),"문의 후 6개월 지남: 다른 동의 근거 필요","OK: 이름·주소·연락처·수신거부 문구 넣기")),IF($H897="REFERRAL","소개 후 첫 메시지만 OK: 소개자 이름 + 이름·주소·연락처·수신거부 문구. 두 번째부터는 다른 동의 근거 필요",IF(AND($H897="REPLY",$D897&lt;&gt;"QUOTE",$D897&lt;&gt;"CALLBACK"),"문의에 대한 답장이 아님: EXPRESS 또는 INQUIRY 동의 필요","OK: 이름·주소·연락처·수신거부 문구 넣기")))),"")))</f>
      </c>
      <c r="N897" s="40">
        <f>IF($H897="INQUIRY",IFERROR(EDATE(INDEX('견적 Quotes'!$B$3:$B$1002,MATCH($C897,'견적 Quotes'!$A$3:$A$1002,0)),'설정 Settings'!$C$20),""),"")</f>
      </c>
    </row>
    <row r="898" spans="12:14" x14ac:dyDescent="0.25">
      <c r="L898" s="42">
        <f>IF($A898="","",IF($G898="Y","완료 DONE",IF($F898="","날짜 없음",IF($F898&lt;'설정 Settings'!$C$15,"지남 OVERDUE",IF($F898='설정 Settings'!$C$15,"오늘 TODAY","예정 OPEN")))))</f>
      </c>
      <c r="M898" s="42">
        <f>IF($A898="","",IF($I898="Y","수신거부: 문자·이메일 보내지 않기",IF(OR($E898="SMS",$E898="EMAIL"),IF(OR($H898="",$H898="NONE"),"동의 근거 없음: 전화·방문만",IF($H898="INQUIRY",IF(N($N898)=0,"견적 요청일을 못 찾음: 관련 ID에 견적 ID(Q-…)를 넣었는지 확인",IF('설정 Settings'!$C$15&gt;N($N898),"문의 후 6개월 지남: 다른 동의 근거 필요","OK: 이름·주소·연락처·수신거부 문구 넣기")),IF($H898="REFERRAL","소개 후 첫 메시지만 OK: 소개자 이름 + 이름·주소·연락처·수신거부 문구. 두 번째부터는 다른 동의 근거 필요",IF(AND($H898="REPLY",$D898&lt;&gt;"QUOTE",$D898&lt;&gt;"CALLBACK"),"문의에 대한 답장이 아님: EXPRESS 또는 INQUIRY 동의 필요","OK: 이름·주소·연락처·수신거부 문구 넣기")))),"")))</f>
      </c>
      <c r="N898" s="40">
        <f>IF($H898="INQUIRY",IFERROR(EDATE(INDEX('견적 Quotes'!$B$3:$B$1002,MATCH($C898,'견적 Quotes'!$A$3:$A$1002,0)),'설정 Settings'!$C$20),""),"")</f>
      </c>
    </row>
    <row r="899" spans="12:14" x14ac:dyDescent="0.25">
      <c r="L899" s="42">
        <f>IF($A899="","",IF($G899="Y","완료 DONE",IF($F899="","날짜 없음",IF($F899&lt;'설정 Settings'!$C$15,"지남 OVERDUE",IF($F899='설정 Settings'!$C$15,"오늘 TODAY","예정 OPEN")))))</f>
      </c>
      <c r="M899" s="42">
        <f>IF($A899="","",IF($I899="Y","수신거부: 문자·이메일 보내지 않기",IF(OR($E899="SMS",$E899="EMAIL"),IF(OR($H899="",$H899="NONE"),"동의 근거 없음: 전화·방문만",IF($H899="INQUIRY",IF(N($N899)=0,"견적 요청일을 못 찾음: 관련 ID에 견적 ID(Q-…)를 넣었는지 확인",IF('설정 Settings'!$C$15&gt;N($N899),"문의 후 6개월 지남: 다른 동의 근거 필요","OK: 이름·주소·연락처·수신거부 문구 넣기")),IF($H899="REFERRAL","소개 후 첫 메시지만 OK: 소개자 이름 + 이름·주소·연락처·수신거부 문구. 두 번째부터는 다른 동의 근거 필요",IF(AND($H899="REPLY",$D899&lt;&gt;"QUOTE",$D899&lt;&gt;"CALLBACK"),"문의에 대한 답장이 아님: EXPRESS 또는 INQUIRY 동의 필요","OK: 이름·주소·연락처·수신거부 문구 넣기")))),"")))</f>
      </c>
      <c r="N899" s="40">
        <f>IF($H899="INQUIRY",IFERROR(EDATE(INDEX('견적 Quotes'!$B$3:$B$1002,MATCH($C899,'견적 Quotes'!$A$3:$A$1002,0)),'설정 Settings'!$C$20),""),"")</f>
      </c>
    </row>
    <row r="900" spans="12:14" x14ac:dyDescent="0.25">
      <c r="L900" s="42">
        <f>IF($A900="","",IF($G900="Y","완료 DONE",IF($F900="","날짜 없음",IF($F900&lt;'설정 Settings'!$C$15,"지남 OVERDUE",IF($F900='설정 Settings'!$C$15,"오늘 TODAY","예정 OPEN")))))</f>
      </c>
      <c r="M900" s="42">
        <f>IF($A900="","",IF($I900="Y","수신거부: 문자·이메일 보내지 않기",IF(OR($E900="SMS",$E900="EMAIL"),IF(OR($H900="",$H900="NONE"),"동의 근거 없음: 전화·방문만",IF($H900="INQUIRY",IF(N($N900)=0,"견적 요청일을 못 찾음: 관련 ID에 견적 ID(Q-…)를 넣었는지 확인",IF('설정 Settings'!$C$15&gt;N($N900),"문의 후 6개월 지남: 다른 동의 근거 필요","OK: 이름·주소·연락처·수신거부 문구 넣기")),IF($H900="REFERRAL","소개 후 첫 메시지만 OK: 소개자 이름 + 이름·주소·연락처·수신거부 문구. 두 번째부터는 다른 동의 근거 필요",IF(AND($H900="REPLY",$D900&lt;&gt;"QUOTE",$D900&lt;&gt;"CALLBACK"),"문의에 대한 답장이 아님: EXPRESS 또는 INQUIRY 동의 필요","OK: 이름·주소·연락처·수신거부 문구 넣기")))),"")))</f>
      </c>
      <c r="N900" s="40">
        <f>IF($H900="INQUIRY",IFERROR(EDATE(INDEX('견적 Quotes'!$B$3:$B$1002,MATCH($C900,'견적 Quotes'!$A$3:$A$1002,0)),'설정 Settings'!$C$20),""),"")</f>
      </c>
    </row>
    <row r="901" spans="12:14" x14ac:dyDescent="0.25">
      <c r="L901" s="42">
        <f>IF($A901="","",IF($G901="Y","완료 DONE",IF($F901="","날짜 없음",IF($F901&lt;'설정 Settings'!$C$15,"지남 OVERDUE",IF($F901='설정 Settings'!$C$15,"오늘 TODAY","예정 OPEN")))))</f>
      </c>
      <c r="M901" s="42">
        <f>IF($A901="","",IF($I901="Y","수신거부: 문자·이메일 보내지 않기",IF(OR($E901="SMS",$E901="EMAIL"),IF(OR($H901="",$H901="NONE"),"동의 근거 없음: 전화·방문만",IF($H901="INQUIRY",IF(N($N901)=0,"견적 요청일을 못 찾음: 관련 ID에 견적 ID(Q-…)를 넣었는지 확인",IF('설정 Settings'!$C$15&gt;N($N901),"문의 후 6개월 지남: 다른 동의 근거 필요","OK: 이름·주소·연락처·수신거부 문구 넣기")),IF($H901="REFERRAL","소개 후 첫 메시지만 OK: 소개자 이름 + 이름·주소·연락처·수신거부 문구. 두 번째부터는 다른 동의 근거 필요",IF(AND($H901="REPLY",$D901&lt;&gt;"QUOTE",$D901&lt;&gt;"CALLBACK"),"문의에 대한 답장이 아님: EXPRESS 또는 INQUIRY 동의 필요","OK: 이름·주소·연락처·수신거부 문구 넣기")))),"")))</f>
      </c>
      <c r="N901" s="40">
        <f>IF($H901="INQUIRY",IFERROR(EDATE(INDEX('견적 Quotes'!$B$3:$B$1002,MATCH($C901,'견적 Quotes'!$A$3:$A$1002,0)),'설정 Settings'!$C$20),""),"")</f>
      </c>
    </row>
    <row r="902" spans="12:14" x14ac:dyDescent="0.25">
      <c r="L902" s="42">
        <f>IF($A902="","",IF($G902="Y","완료 DONE",IF($F902="","날짜 없음",IF($F902&lt;'설정 Settings'!$C$15,"지남 OVERDUE",IF($F902='설정 Settings'!$C$15,"오늘 TODAY","예정 OPEN")))))</f>
      </c>
      <c r="M902" s="42">
        <f>IF($A902="","",IF($I902="Y","수신거부: 문자·이메일 보내지 않기",IF(OR($E902="SMS",$E902="EMAIL"),IF(OR($H902="",$H902="NONE"),"동의 근거 없음: 전화·방문만",IF($H902="INQUIRY",IF(N($N902)=0,"견적 요청일을 못 찾음: 관련 ID에 견적 ID(Q-…)를 넣었는지 확인",IF('설정 Settings'!$C$15&gt;N($N902),"문의 후 6개월 지남: 다른 동의 근거 필요","OK: 이름·주소·연락처·수신거부 문구 넣기")),IF($H902="REFERRAL","소개 후 첫 메시지만 OK: 소개자 이름 + 이름·주소·연락처·수신거부 문구. 두 번째부터는 다른 동의 근거 필요",IF(AND($H902="REPLY",$D902&lt;&gt;"QUOTE",$D902&lt;&gt;"CALLBACK"),"문의에 대한 답장이 아님: EXPRESS 또는 INQUIRY 동의 필요","OK: 이름·주소·연락처·수신거부 문구 넣기")))),"")))</f>
      </c>
      <c r="N902" s="40">
        <f>IF($H902="INQUIRY",IFERROR(EDATE(INDEX('견적 Quotes'!$B$3:$B$1002,MATCH($C902,'견적 Quotes'!$A$3:$A$1002,0)),'설정 Settings'!$C$20),""),"")</f>
      </c>
    </row>
    <row r="903" spans="12:14" x14ac:dyDescent="0.25">
      <c r="L903" s="42">
        <f>IF($A903="","",IF($G903="Y","완료 DONE",IF($F903="","날짜 없음",IF($F903&lt;'설정 Settings'!$C$15,"지남 OVERDUE",IF($F903='설정 Settings'!$C$15,"오늘 TODAY","예정 OPEN")))))</f>
      </c>
      <c r="M903" s="42">
        <f>IF($A903="","",IF($I903="Y","수신거부: 문자·이메일 보내지 않기",IF(OR($E903="SMS",$E903="EMAIL"),IF(OR($H903="",$H903="NONE"),"동의 근거 없음: 전화·방문만",IF($H903="INQUIRY",IF(N($N903)=0,"견적 요청일을 못 찾음: 관련 ID에 견적 ID(Q-…)를 넣었는지 확인",IF('설정 Settings'!$C$15&gt;N($N903),"문의 후 6개월 지남: 다른 동의 근거 필요","OK: 이름·주소·연락처·수신거부 문구 넣기")),IF($H903="REFERRAL","소개 후 첫 메시지만 OK: 소개자 이름 + 이름·주소·연락처·수신거부 문구. 두 번째부터는 다른 동의 근거 필요",IF(AND($H903="REPLY",$D903&lt;&gt;"QUOTE",$D903&lt;&gt;"CALLBACK"),"문의에 대한 답장이 아님: EXPRESS 또는 INQUIRY 동의 필요","OK: 이름·주소·연락처·수신거부 문구 넣기")))),"")))</f>
      </c>
      <c r="N903" s="40">
        <f>IF($H903="INQUIRY",IFERROR(EDATE(INDEX('견적 Quotes'!$B$3:$B$1002,MATCH($C903,'견적 Quotes'!$A$3:$A$1002,0)),'설정 Settings'!$C$20),""),"")</f>
      </c>
    </row>
    <row r="904" spans="12:14" x14ac:dyDescent="0.25">
      <c r="L904" s="42">
        <f>IF($A904="","",IF($G904="Y","완료 DONE",IF($F904="","날짜 없음",IF($F904&lt;'설정 Settings'!$C$15,"지남 OVERDUE",IF($F904='설정 Settings'!$C$15,"오늘 TODAY","예정 OPEN")))))</f>
      </c>
      <c r="M904" s="42">
        <f>IF($A904="","",IF($I904="Y","수신거부: 문자·이메일 보내지 않기",IF(OR($E904="SMS",$E904="EMAIL"),IF(OR($H904="",$H904="NONE"),"동의 근거 없음: 전화·방문만",IF($H904="INQUIRY",IF(N($N904)=0,"견적 요청일을 못 찾음: 관련 ID에 견적 ID(Q-…)를 넣었는지 확인",IF('설정 Settings'!$C$15&gt;N($N904),"문의 후 6개월 지남: 다른 동의 근거 필요","OK: 이름·주소·연락처·수신거부 문구 넣기")),IF($H904="REFERRAL","소개 후 첫 메시지만 OK: 소개자 이름 + 이름·주소·연락처·수신거부 문구. 두 번째부터는 다른 동의 근거 필요",IF(AND($H904="REPLY",$D904&lt;&gt;"QUOTE",$D904&lt;&gt;"CALLBACK"),"문의에 대한 답장이 아님: EXPRESS 또는 INQUIRY 동의 필요","OK: 이름·주소·연락처·수신거부 문구 넣기")))),"")))</f>
      </c>
      <c r="N904" s="40">
        <f>IF($H904="INQUIRY",IFERROR(EDATE(INDEX('견적 Quotes'!$B$3:$B$1002,MATCH($C904,'견적 Quotes'!$A$3:$A$1002,0)),'설정 Settings'!$C$20),""),"")</f>
      </c>
    </row>
    <row r="905" spans="12:14" x14ac:dyDescent="0.25">
      <c r="L905" s="42">
        <f>IF($A905="","",IF($G905="Y","완료 DONE",IF($F905="","날짜 없음",IF($F905&lt;'설정 Settings'!$C$15,"지남 OVERDUE",IF($F905='설정 Settings'!$C$15,"오늘 TODAY","예정 OPEN")))))</f>
      </c>
      <c r="M905" s="42">
        <f>IF($A905="","",IF($I905="Y","수신거부: 문자·이메일 보내지 않기",IF(OR($E905="SMS",$E905="EMAIL"),IF(OR($H905="",$H905="NONE"),"동의 근거 없음: 전화·방문만",IF($H905="INQUIRY",IF(N($N905)=0,"견적 요청일을 못 찾음: 관련 ID에 견적 ID(Q-…)를 넣었는지 확인",IF('설정 Settings'!$C$15&gt;N($N905),"문의 후 6개월 지남: 다른 동의 근거 필요","OK: 이름·주소·연락처·수신거부 문구 넣기")),IF($H905="REFERRAL","소개 후 첫 메시지만 OK: 소개자 이름 + 이름·주소·연락처·수신거부 문구. 두 번째부터는 다른 동의 근거 필요",IF(AND($H905="REPLY",$D905&lt;&gt;"QUOTE",$D905&lt;&gt;"CALLBACK"),"문의에 대한 답장이 아님: EXPRESS 또는 INQUIRY 동의 필요","OK: 이름·주소·연락처·수신거부 문구 넣기")))),"")))</f>
      </c>
      <c r="N905" s="40">
        <f>IF($H905="INQUIRY",IFERROR(EDATE(INDEX('견적 Quotes'!$B$3:$B$1002,MATCH($C905,'견적 Quotes'!$A$3:$A$1002,0)),'설정 Settings'!$C$20),""),"")</f>
      </c>
    </row>
    <row r="906" spans="12:14" x14ac:dyDescent="0.25">
      <c r="L906" s="42">
        <f>IF($A906="","",IF($G906="Y","완료 DONE",IF($F906="","날짜 없음",IF($F906&lt;'설정 Settings'!$C$15,"지남 OVERDUE",IF($F906='설정 Settings'!$C$15,"오늘 TODAY","예정 OPEN")))))</f>
      </c>
      <c r="M906" s="42">
        <f>IF($A906="","",IF($I906="Y","수신거부: 문자·이메일 보내지 않기",IF(OR($E906="SMS",$E906="EMAIL"),IF(OR($H906="",$H906="NONE"),"동의 근거 없음: 전화·방문만",IF($H906="INQUIRY",IF(N($N906)=0,"견적 요청일을 못 찾음: 관련 ID에 견적 ID(Q-…)를 넣었는지 확인",IF('설정 Settings'!$C$15&gt;N($N906),"문의 후 6개월 지남: 다른 동의 근거 필요","OK: 이름·주소·연락처·수신거부 문구 넣기")),IF($H906="REFERRAL","소개 후 첫 메시지만 OK: 소개자 이름 + 이름·주소·연락처·수신거부 문구. 두 번째부터는 다른 동의 근거 필요",IF(AND($H906="REPLY",$D906&lt;&gt;"QUOTE",$D906&lt;&gt;"CALLBACK"),"문의에 대한 답장이 아님: EXPRESS 또는 INQUIRY 동의 필요","OK: 이름·주소·연락처·수신거부 문구 넣기")))),"")))</f>
      </c>
      <c r="N906" s="40">
        <f>IF($H906="INQUIRY",IFERROR(EDATE(INDEX('견적 Quotes'!$B$3:$B$1002,MATCH($C906,'견적 Quotes'!$A$3:$A$1002,0)),'설정 Settings'!$C$20),""),"")</f>
      </c>
    </row>
    <row r="907" spans="12:14" x14ac:dyDescent="0.25">
      <c r="L907" s="42">
        <f>IF($A907="","",IF($G907="Y","완료 DONE",IF($F907="","날짜 없음",IF($F907&lt;'설정 Settings'!$C$15,"지남 OVERDUE",IF($F907='설정 Settings'!$C$15,"오늘 TODAY","예정 OPEN")))))</f>
      </c>
      <c r="M907" s="42">
        <f>IF($A907="","",IF($I907="Y","수신거부: 문자·이메일 보내지 않기",IF(OR($E907="SMS",$E907="EMAIL"),IF(OR($H907="",$H907="NONE"),"동의 근거 없음: 전화·방문만",IF($H907="INQUIRY",IF(N($N907)=0,"견적 요청일을 못 찾음: 관련 ID에 견적 ID(Q-…)를 넣었는지 확인",IF('설정 Settings'!$C$15&gt;N($N907),"문의 후 6개월 지남: 다른 동의 근거 필요","OK: 이름·주소·연락처·수신거부 문구 넣기")),IF($H907="REFERRAL","소개 후 첫 메시지만 OK: 소개자 이름 + 이름·주소·연락처·수신거부 문구. 두 번째부터는 다른 동의 근거 필요",IF(AND($H907="REPLY",$D907&lt;&gt;"QUOTE",$D907&lt;&gt;"CALLBACK"),"문의에 대한 답장이 아님: EXPRESS 또는 INQUIRY 동의 필요","OK: 이름·주소·연락처·수신거부 문구 넣기")))),"")))</f>
      </c>
      <c r="N907" s="40">
        <f>IF($H907="INQUIRY",IFERROR(EDATE(INDEX('견적 Quotes'!$B$3:$B$1002,MATCH($C907,'견적 Quotes'!$A$3:$A$1002,0)),'설정 Settings'!$C$20),""),"")</f>
      </c>
    </row>
    <row r="908" spans="12:14" x14ac:dyDescent="0.25">
      <c r="L908" s="42">
        <f>IF($A908="","",IF($G908="Y","완료 DONE",IF($F908="","날짜 없음",IF($F908&lt;'설정 Settings'!$C$15,"지남 OVERDUE",IF($F908='설정 Settings'!$C$15,"오늘 TODAY","예정 OPEN")))))</f>
      </c>
      <c r="M908" s="42">
        <f>IF($A908="","",IF($I908="Y","수신거부: 문자·이메일 보내지 않기",IF(OR($E908="SMS",$E908="EMAIL"),IF(OR($H908="",$H908="NONE"),"동의 근거 없음: 전화·방문만",IF($H908="INQUIRY",IF(N($N908)=0,"견적 요청일을 못 찾음: 관련 ID에 견적 ID(Q-…)를 넣었는지 확인",IF('설정 Settings'!$C$15&gt;N($N908),"문의 후 6개월 지남: 다른 동의 근거 필요","OK: 이름·주소·연락처·수신거부 문구 넣기")),IF($H908="REFERRAL","소개 후 첫 메시지만 OK: 소개자 이름 + 이름·주소·연락처·수신거부 문구. 두 번째부터는 다른 동의 근거 필요",IF(AND($H908="REPLY",$D908&lt;&gt;"QUOTE",$D908&lt;&gt;"CALLBACK"),"문의에 대한 답장이 아님: EXPRESS 또는 INQUIRY 동의 필요","OK: 이름·주소·연락처·수신거부 문구 넣기")))),"")))</f>
      </c>
      <c r="N908" s="40">
        <f>IF($H908="INQUIRY",IFERROR(EDATE(INDEX('견적 Quotes'!$B$3:$B$1002,MATCH($C908,'견적 Quotes'!$A$3:$A$1002,0)),'설정 Settings'!$C$20),""),"")</f>
      </c>
    </row>
    <row r="909" spans="12:14" x14ac:dyDescent="0.25">
      <c r="L909" s="42">
        <f>IF($A909="","",IF($G909="Y","완료 DONE",IF($F909="","날짜 없음",IF($F909&lt;'설정 Settings'!$C$15,"지남 OVERDUE",IF($F909='설정 Settings'!$C$15,"오늘 TODAY","예정 OPEN")))))</f>
      </c>
      <c r="M909" s="42">
        <f>IF($A909="","",IF($I909="Y","수신거부: 문자·이메일 보내지 않기",IF(OR($E909="SMS",$E909="EMAIL"),IF(OR($H909="",$H909="NONE"),"동의 근거 없음: 전화·방문만",IF($H909="INQUIRY",IF(N($N909)=0,"견적 요청일을 못 찾음: 관련 ID에 견적 ID(Q-…)를 넣었는지 확인",IF('설정 Settings'!$C$15&gt;N($N909),"문의 후 6개월 지남: 다른 동의 근거 필요","OK: 이름·주소·연락처·수신거부 문구 넣기")),IF($H909="REFERRAL","소개 후 첫 메시지만 OK: 소개자 이름 + 이름·주소·연락처·수신거부 문구. 두 번째부터는 다른 동의 근거 필요",IF(AND($H909="REPLY",$D909&lt;&gt;"QUOTE",$D909&lt;&gt;"CALLBACK"),"문의에 대한 답장이 아님: EXPRESS 또는 INQUIRY 동의 필요","OK: 이름·주소·연락처·수신거부 문구 넣기")))),"")))</f>
      </c>
      <c r="N909" s="40">
        <f>IF($H909="INQUIRY",IFERROR(EDATE(INDEX('견적 Quotes'!$B$3:$B$1002,MATCH($C909,'견적 Quotes'!$A$3:$A$1002,0)),'설정 Settings'!$C$20),""),"")</f>
      </c>
    </row>
    <row r="910" spans="12:14" x14ac:dyDescent="0.25">
      <c r="L910" s="42">
        <f>IF($A910="","",IF($G910="Y","완료 DONE",IF($F910="","날짜 없음",IF($F910&lt;'설정 Settings'!$C$15,"지남 OVERDUE",IF($F910='설정 Settings'!$C$15,"오늘 TODAY","예정 OPEN")))))</f>
      </c>
      <c r="M910" s="42">
        <f>IF($A910="","",IF($I910="Y","수신거부: 문자·이메일 보내지 않기",IF(OR($E910="SMS",$E910="EMAIL"),IF(OR($H910="",$H910="NONE"),"동의 근거 없음: 전화·방문만",IF($H910="INQUIRY",IF(N($N910)=0,"견적 요청일을 못 찾음: 관련 ID에 견적 ID(Q-…)를 넣었는지 확인",IF('설정 Settings'!$C$15&gt;N($N910),"문의 후 6개월 지남: 다른 동의 근거 필요","OK: 이름·주소·연락처·수신거부 문구 넣기")),IF($H910="REFERRAL","소개 후 첫 메시지만 OK: 소개자 이름 + 이름·주소·연락처·수신거부 문구. 두 번째부터는 다른 동의 근거 필요",IF(AND($H910="REPLY",$D910&lt;&gt;"QUOTE",$D910&lt;&gt;"CALLBACK"),"문의에 대한 답장이 아님: EXPRESS 또는 INQUIRY 동의 필요","OK: 이름·주소·연락처·수신거부 문구 넣기")))),"")))</f>
      </c>
      <c r="N910" s="40">
        <f>IF($H910="INQUIRY",IFERROR(EDATE(INDEX('견적 Quotes'!$B$3:$B$1002,MATCH($C910,'견적 Quotes'!$A$3:$A$1002,0)),'설정 Settings'!$C$20),""),"")</f>
      </c>
    </row>
    <row r="911" spans="12:14" x14ac:dyDescent="0.25">
      <c r="L911" s="42">
        <f>IF($A911="","",IF($G911="Y","완료 DONE",IF($F911="","날짜 없음",IF($F911&lt;'설정 Settings'!$C$15,"지남 OVERDUE",IF($F911='설정 Settings'!$C$15,"오늘 TODAY","예정 OPEN")))))</f>
      </c>
      <c r="M911" s="42">
        <f>IF($A911="","",IF($I911="Y","수신거부: 문자·이메일 보내지 않기",IF(OR($E911="SMS",$E911="EMAIL"),IF(OR($H911="",$H911="NONE"),"동의 근거 없음: 전화·방문만",IF($H911="INQUIRY",IF(N($N911)=0,"견적 요청일을 못 찾음: 관련 ID에 견적 ID(Q-…)를 넣었는지 확인",IF('설정 Settings'!$C$15&gt;N($N911),"문의 후 6개월 지남: 다른 동의 근거 필요","OK: 이름·주소·연락처·수신거부 문구 넣기")),IF($H911="REFERRAL","소개 후 첫 메시지만 OK: 소개자 이름 + 이름·주소·연락처·수신거부 문구. 두 번째부터는 다른 동의 근거 필요",IF(AND($H911="REPLY",$D911&lt;&gt;"QUOTE",$D911&lt;&gt;"CALLBACK"),"문의에 대한 답장이 아님: EXPRESS 또는 INQUIRY 동의 필요","OK: 이름·주소·연락처·수신거부 문구 넣기")))),"")))</f>
      </c>
      <c r="N911" s="40">
        <f>IF($H911="INQUIRY",IFERROR(EDATE(INDEX('견적 Quotes'!$B$3:$B$1002,MATCH($C911,'견적 Quotes'!$A$3:$A$1002,0)),'설정 Settings'!$C$20),""),"")</f>
      </c>
    </row>
    <row r="912" spans="12:14" x14ac:dyDescent="0.25">
      <c r="L912" s="42">
        <f>IF($A912="","",IF($G912="Y","완료 DONE",IF($F912="","날짜 없음",IF($F912&lt;'설정 Settings'!$C$15,"지남 OVERDUE",IF($F912='설정 Settings'!$C$15,"오늘 TODAY","예정 OPEN")))))</f>
      </c>
      <c r="M912" s="42">
        <f>IF($A912="","",IF($I912="Y","수신거부: 문자·이메일 보내지 않기",IF(OR($E912="SMS",$E912="EMAIL"),IF(OR($H912="",$H912="NONE"),"동의 근거 없음: 전화·방문만",IF($H912="INQUIRY",IF(N($N912)=0,"견적 요청일을 못 찾음: 관련 ID에 견적 ID(Q-…)를 넣었는지 확인",IF('설정 Settings'!$C$15&gt;N($N912),"문의 후 6개월 지남: 다른 동의 근거 필요","OK: 이름·주소·연락처·수신거부 문구 넣기")),IF($H912="REFERRAL","소개 후 첫 메시지만 OK: 소개자 이름 + 이름·주소·연락처·수신거부 문구. 두 번째부터는 다른 동의 근거 필요",IF(AND($H912="REPLY",$D912&lt;&gt;"QUOTE",$D912&lt;&gt;"CALLBACK"),"문의에 대한 답장이 아님: EXPRESS 또는 INQUIRY 동의 필요","OK: 이름·주소·연락처·수신거부 문구 넣기")))),"")))</f>
      </c>
      <c r="N912" s="40">
        <f>IF($H912="INQUIRY",IFERROR(EDATE(INDEX('견적 Quotes'!$B$3:$B$1002,MATCH($C912,'견적 Quotes'!$A$3:$A$1002,0)),'설정 Settings'!$C$20),""),"")</f>
      </c>
    </row>
    <row r="913" spans="12:14" x14ac:dyDescent="0.25">
      <c r="L913" s="42">
        <f>IF($A913="","",IF($G913="Y","완료 DONE",IF($F913="","날짜 없음",IF($F913&lt;'설정 Settings'!$C$15,"지남 OVERDUE",IF($F913='설정 Settings'!$C$15,"오늘 TODAY","예정 OPEN")))))</f>
      </c>
      <c r="M913" s="42">
        <f>IF($A913="","",IF($I913="Y","수신거부: 문자·이메일 보내지 않기",IF(OR($E913="SMS",$E913="EMAIL"),IF(OR($H913="",$H913="NONE"),"동의 근거 없음: 전화·방문만",IF($H913="INQUIRY",IF(N($N913)=0,"견적 요청일을 못 찾음: 관련 ID에 견적 ID(Q-…)를 넣었는지 확인",IF('설정 Settings'!$C$15&gt;N($N913),"문의 후 6개월 지남: 다른 동의 근거 필요","OK: 이름·주소·연락처·수신거부 문구 넣기")),IF($H913="REFERRAL","소개 후 첫 메시지만 OK: 소개자 이름 + 이름·주소·연락처·수신거부 문구. 두 번째부터는 다른 동의 근거 필요",IF(AND($H913="REPLY",$D913&lt;&gt;"QUOTE",$D913&lt;&gt;"CALLBACK"),"문의에 대한 답장이 아님: EXPRESS 또는 INQUIRY 동의 필요","OK: 이름·주소·연락처·수신거부 문구 넣기")))),"")))</f>
      </c>
      <c r="N913" s="40">
        <f>IF($H913="INQUIRY",IFERROR(EDATE(INDEX('견적 Quotes'!$B$3:$B$1002,MATCH($C913,'견적 Quotes'!$A$3:$A$1002,0)),'설정 Settings'!$C$20),""),"")</f>
      </c>
    </row>
    <row r="914" spans="12:14" x14ac:dyDescent="0.25">
      <c r="L914" s="42">
        <f>IF($A914="","",IF($G914="Y","완료 DONE",IF($F914="","날짜 없음",IF($F914&lt;'설정 Settings'!$C$15,"지남 OVERDUE",IF($F914='설정 Settings'!$C$15,"오늘 TODAY","예정 OPEN")))))</f>
      </c>
      <c r="M914" s="42">
        <f>IF($A914="","",IF($I914="Y","수신거부: 문자·이메일 보내지 않기",IF(OR($E914="SMS",$E914="EMAIL"),IF(OR($H914="",$H914="NONE"),"동의 근거 없음: 전화·방문만",IF($H914="INQUIRY",IF(N($N914)=0,"견적 요청일을 못 찾음: 관련 ID에 견적 ID(Q-…)를 넣었는지 확인",IF('설정 Settings'!$C$15&gt;N($N914),"문의 후 6개월 지남: 다른 동의 근거 필요","OK: 이름·주소·연락처·수신거부 문구 넣기")),IF($H914="REFERRAL","소개 후 첫 메시지만 OK: 소개자 이름 + 이름·주소·연락처·수신거부 문구. 두 번째부터는 다른 동의 근거 필요",IF(AND($H914="REPLY",$D914&lt;&gt;"QUOTE",$D914&lt;&gt;"CALLBACK"),"문의에 대한 답장이 아님: EXPRESS 또는 INQUIRY 동의 필요","OK: 이름·주소·연락처·수신거부 문구 넣기")))),"")))</f>
      </c>
      <c r="N914" s="40">
        <f>IF($H914="INQUIRY",IFERROR(EDATE(INDEX('견적 Quotes'!$B$3:$B$1002,MATCH($C914,'견적 Quotes'!$A$3:$A$1002,0)),'설정 Settings'!$C$20),""),"")</f>
      </c>
    </row>
    <row r="915" spans="12:14" x14ac:dyDescent="0.25">
      <c r="L915" s="42">
        <f>IF($A915="","",IF($G915="Y","완료 DONE",IF($F915="","날짜 없음",IF($F915&lt;'설정 Settings'!$C$15,"지남 OVERDUE",IF($F915='설정 Settings'!$C$15,"오늘 TODAY","예정 OPEN")))))</f>
      </c>
      <c r="M915" s="42">
        <f>IF($A915="","",IF($I915="Y","수신거부: 문자·이메일 보내지 않기",IF(OR($E915="SMS",$E915="EMAIL"),IF(OR($H915="",$H915="NONE"),"동의 근거 없음: 전화·방문만",IF($H915="INQUIRY",IF(N($N915)=0,"견적 요청일을 못 찾음: 관련 ID에 견적 ID(Q-…)를 넣었는지 확인",IF('설정 Settings'!$C$15&gt;N($N915),"문의 후 6개월 지남: 다른 동의 근거 필요","OK: 이름·주소·연락처·수신거부 문구 넣기")),IF($H915="REFERRAL","소개 후 첫 메시지만 OK: 소개자 이름 + 이름·주소·연락처·수신거부 문구. 두 번째부터는 다른 동의 근거 필요",IF(AND($H915="REPLY",$D915&lt;&gt;"QUOTE",$D915&lt;&gt;"CALLBACK"),"문의에 대한 답장이 아님: EXPRESS 또는 INQUIRY 동의 필요","OK: 이름·주소·연락처·수신거부 문구 넣기")))),"")))</f>
      </c>
      <c r="N915" s="40">
        <f>IF($H915="INQUIRY",IFERROR(EDATE(INDEX('견적 Quotes'!$B$3:$B$1002,MATCH($C915,'견적 Quotes'!$A$3:$A$1002,0)),'설정 Settings'!$C$20),""),"")</f>
      </c>
    </row>
    <row r="916" spans="12:14" x14ac:dyDescent="0.25">
      <c r="L916" s="42">
        <f>IF($A916="","",IF($G916="Y","완료 DONE",IF($F916="","날짜 없음",IF($F916&lt;'설정 Settings'!$C$15,"지남 OVERDUE",IF($F916='설정 Settings'!$C$15,"오늘 TODAY","예정 OPEN")))))</f>
      </c>
      <c r="M916" s="42">
        <f>IF($A916="","",IF($I916="Y","수신거부: 문자·이메일 보내지 않기",IF(OR($E916="SMS",$E916="EMAIL"),IF(OR($H916="",$H916="NONE"),"동의 근거 없음: 전화·방문만",IF($H916="INQUIRY",IF(N($N916)=0,"견적 요청일을 못 찾음: 관련 ID에 견적 ID(Q-…)를 넣었는지 확인",IF('설정 Settings'!$C$15&gt;N($N916),"문의 후 6개월 지남: 다른 동의 근거 필요","OK: 이름·주소·연락처·수신거부 문구 넣기")),IF($H916="REFERRAL","소개 후 첫 메시지만 OK: 소개자 이름 + 이름·주소·연락처·수신거부 문구. 두 번째부터는 다른 동의 근거 필요",IF(AND($H916="REPLY",$D916&lt;&gt;"QUOTE",$D916&lt;&gt;"CALLBACK"),"문의에 대한 답장이 아님: EXPRESS 또는 INQUIRY 동의 필요","OK: 이름·주소·연락처·수신거부 문구 넣기")))),"")))</f>
      </c>
      <c r="N916" s="40">
        <f>IF($H916="INQUIRY",IFERROR(EDATE(INDEX('견적 Quotes'!$B$3:$B$1002,MATCH($C916,'견적 Quotes'!$A$3:$A$1002,0)),'설정 Settings'!$C$20),""),"")</f>
      </c>
    </row>
    <row r="917" spans="12:14" x14ac:dyDescent="0.25">
      <c r="L917" s="42">
        <f>IF($A917="","",IF($G917="Y","완료 DONE",IF($F917="","날짜 없음",IF($F917&lt;'설정 Settings'!$C$15,"지남 OVERDUE",IF($F917='설정 Settings'!$C$15,"오늘 TODAY","예정 OPEN")))))</f>
      </c>
      <c r="M917" s="42">
        <f>IF($A917="","",IF($I917="Y","수신거부: 문자·이메일 보내지 않기",IF(OR($E917="SMS",$E917="EMAIL"),IF(OR($H917="",$H917="NONE"),"동의 근거 없음: 전화·방문만",IF($H917="INQUIRY",IF(N($N917)=0,"견적 요청일을 못 찾음: 관련 ID에 견적 ID(Q-…)를 넣었는지 확인",IF('설정 Settings'!$C$15&gt;N($N917),"문의 후 6개월 지남: 다른 동의 근거 필요","OK: 이름·주소·연락처·수신거부 문구 넣기")),IF($H917="REFERRAL","소개 후 첫 메시지만 OK: 소개자 이름 + 이름·주소·연락처·수신거부 문구. 두 번째부터는 다른 동의 근거 필요",IF(AND($H917="REPLY",$D917&lt;&gt;"QUOTE",$D917&lt;&gt;"CALLBACK"),"문의에 대한 답장이 아님: EXPRESS 또는 INQUIRY 동의 필요","OK: 이름·주소·연락처·수신거부 문구 넣기")))),"")))</f>
      </c>
      <c r="N917" s="40">
        <f>IF($H917="INQUIRY",IFERROR(EDATE(INDEX('견적 Quotes'!$B$3:$B$1002,MATCH($C917,'견적 Quotes'!$A$3:$A$1002,0)),'설정 Settings'!$C$20),""),"")</f>
      </c>
    </row>
    <row r="918" spans="12:14" x14ac:dyDescent="0.25">
      <c r="L918" s="42">
        <f>IF($A918="","",IF($G918="Y","완료 DONE",IF($F918="","날짜 없음",IF($F918&lt;'설정 Settings'!$C$15,"지남 OVERDUE",IF($F918='설정 Settings'!$C$15,"오늘 TODAY","예정 OPEN")))))</f>
      </c>
      <c r="M918" s="42">
        <f>IF($A918="","",IF($I918="Y","수신거부: 문자·이메일 보내지 않기",IF(OR($E918="SMS",$E918="EMAIL"),IF(OR($H918="",$H918="NONE"),"동의 근거 없음: 전화·방문만",IF($H918="INQUIRY",IF(N($N918)=0,"견적 요청일을 못 찾음: 관련 ID에 견적 ID(Q-…)를 넣었는지 확인",IF('설정 Settings'!$C$15&gt;N($N918),"문의 후 6개월 지남: 다른 동의 근거 필요","OK: 이름·주소·연락처·수신거부 문구 넣기")),IF($H918="REFERRAL","소개 후 첫 메시지만 OK: 소개자 이름 + 이름·주소·연락처·수신거부 문구. 두 번째부터는 다른 동의 근거 필요",IF(AND($H918="REPLY",$D918&lt;&gt;"QUOTE",$D918&lt;&gt;"CALLBACK"),"문의에 대한 답장이 아님: EXPRESS 또는 INQUIRY 동의 필요","OK: 이름·주소·연락처·수신거부 문구 넣기")))),"")))</f>
      </c>
      <c r="N918" s="40">
        <f>IF($H918="INQUIRY",IFERROR(EDATE(INDEX('견적 Quotes'!$B$3:$B$1002,MATCH($C918,'견적 Quotes'!$A$3:$A$1002,0)),'설정 Settings'!$C$20),""),"")</f>
      </c>
    </row>
    <row r="919" spans="12:14" x14ac:dyDescent="0.25">
      <c r="L919" s="42">
        <f>IF($A919="","",IF($G919="Y","완료 DONE",IF($F919="","날짜 없음",IF($F919&lt;'설정 Settings'!$C$15,"지남 OVERDUE",IF($F919='설정 Settings'!$C$15,"오늘 TODAY","예정 OPEN")))))</f>
      </c>
      <c r="M919" s="42">
        <f>IF($A919="","",IF($I919="Y","수신거부: 문자·이메일 보내지 않기",IF(OR($E919="SMS",$E919="EMAIL"),IF(OR($H919="",$H919="NONE"),"동의 근거 없음: 전화·방문만",IF($H919="INQUIRY",IF(N($N919)=0,"견적 요청일을 못 찾음: 관련 ID에 견적 ID(Q-…)를 넣었는지 확인",IF('설정 Settings'!$C$15&gt;N($N919),"문의 후 6개월 지남: 다른 동의 근거 필요","OK: 이름·주소·연락처·수신거부 문구 넣기")),IF($H919="REFERRAL","소개 후 첫 메시지만 OK: 소개자 이름 + 이름·주소·연락처·수신거부 문구. 두 번째부터는 다른 동의 근거 필요",IF(AND($H919="REPLY",$D919&lt;&gt;"QUOTE",$D919&lt;&gt;"CALLBACK"),"문의에 대한 답장이 아님: EXPRESS 또는 INQUIRY 동의 필요","OK: 이름·주소·연락처·수신거부 문구 넣기")))),"")))</f>
      </c>
      <c r="N919" s="40">
        <f>IF($H919="INQUIRY",IFERROR(EDATE(INDEX('견적 Quotes'!$B$3:$B$1002,MATCH($C919,'견적 Quotes'!$A$3:$A$1002,0)),'설정 Settings'!$C$20),""),"")</f>
      </c>
    </row>
    <row r="920" spans="12:14" x14ac:dyDescent="0.25">
      <c r="L920" s="42">
        <f>IF($A920="","",IF($G920="Y","완료 DONE",IF($F920="","날짜 없음",IF($F920&lt;'설정 Settings'!$C$15,"지남 OVERDUE",IF($F920='설정 Settings'!$C$15,"오늘 TODAY","예정 OPEN")))))</f>
      </c>
      <c r="M920" s="42">
        <f>IF($A920="","",IF($I920="Y","수신거부: 문자·이메일 보내지 않기",IF(OR($E920="SMS",$E920="EMAIL"),IF(OR($H920="",$H920="NONE"),"동의 근거 없음: 전화·방문만",IF($H920="INQUIRY",IF(N($N920)=0,"견적 요청일을 못 찾음: 관련 ID에 견적 ID(Q-…)를 넣었는지 확인",IF('설정 Settings'!$C$15&gt;N($N920),"문의 후 6개월 지남: 다른 동의 근거 필요","OK: 이름·주소·연락처·수신거부 문구 넣기")),IF($H920="REFERRAL","소개 후 첫 메시지만 OK: 소개자 이름 + 이름·주소·연락처·수신거부 문구. 두 번째부터는 다른 동의 근거 필요",IF(AND($H920="REPLY",$D920&lt;&gt;"QUOTE",$D920&lt;&gt;"CALLBACK"),"문의에 대한 답장이 아님: EXPRESS 또는 INQUIRY 동의 필요","OK: 이름·주소·연락처·수신거부 문구 넣기")))),"")))</f>
      </c>
      <c r="N920" s="40">
        <f>IF($H920="INQUIRY",IFERROR(EDATE(INDEX('견적 Quotes'!$B$3:$B$1002,MATCH($C920,'견적 Quotes'!$A$3:$A$1002,0)),'설정 Settings'!$C$20),""),"")</f>
      </c>
    </row>
    <row r="921" spans="12:14" x14ac:dyDescent="0.25">
      <c r="L921" s="42">
        <f>IF($A921="","",IF($G921="Y","완료 DONE",IF($F921="","날짜 없음",IF($F921&lt;'설정 Settings'!$C$15,"지남 OVERDUE",IF($F921='설정 Settings'!$C$15,"오늘 TODAY","예정 OPEN")))))</f>
      </c>
      <c r="M921" s="42">
        <f>IF($A921="","",IF($I921="Y","수신거부: 문자·이메일 보내지 않기",IF(OR($E921="SMS",$E921="EMAIL"),IF(OR($H921="",$H921="NONE"),"동의 근거 없음: 전화·방문만",IF($H921="INQUIRY",IF(N($N921)=0,"견적 요청일을 못 찾음: 관련 ID에 견적 ID(Q-…)를 넣었는지 확인",IF('설정 Settings'!$C$15&gt;N($N921),"문의 후 6개월 지남: 다른 동의 근거 필요","OK: 이름·주소·연락처·수신거부 문구 넣기")),IF($H921="REFERRAL","소개 후 첫 메시지만 OK: 소개자 이름 + 이름·주소·연락처·수신거부 문구. 두 번째부터는 다른 동의 근거 필요",IF(AND($H921="REPLY",$D921&lt;&gt;"QUOTE",$D921&lt;&gt;"CALLBACK"),"문의에 대한 답장이 아님: EXPRESS 또는 INQUIRY 동의 필요","OK: 이름·주소·연락처·수신거부 문구 넣기")))),"")))</f>
      </c>
      <c r="N921" s="40">
        <f>IF($H921="INQUIRY",IFERROR(EDATE(INDEX('견적 Quotes'!$B$3:$B$1002,MATCH($C921,'견적 Quotes'!$A$3:$A$1002,0)),'설정 Settings'!$C$20),""),"")</f>
      </c>
    </row>
    <row r="922" spans="12:14" x14ac:dyDescent="0.25">
      <c r="L922" s="42">
        <f>IF($A922="","",IF($G922="Y","완료 DONE",IF($F922="","날짜 없음",IF($F922&lt;'설정 Settings'!$C$15,"지남 OVERDUE",IF($F922='설정 Settings'!$C$15,"오늘 TODAY","예정 OPEN")))))</f>
      </c>
      <c r="M922" s="42">
        <f>IF($A922="","",IF($I922="Y","수신거부: 문자·이메일 보내지 않기",IF(OR($E922="SMS",$E922="EMAIL"),IF(OR($H922="",$H922="NONE"),"동의 근거 없음: 전화·방문만",IF($H922="INQUIRY",IF(N($N922)=0,"견적 요청일을 못 찾음: 관련 ID에 견적 ID(Q-…)를 넣었는지 확인",IF('설정 Settings'!$C$15&gt;N($N922),"문의 후 6개월 지남: 다른 동의 근거 필요","OK: 이름·주소·연락처·수신거부 문구 넣기")),IF($H922="REFERRAL","소개 후 첫 메시지만 OK: 소개자 이름 + 이름·주소·연락처·수신거부 문구. 두 번째부터는 다른 동의 근거 필요",IF(AND($H922="REPLY",$D922&lt;&gt;"QUOTE",$D922&lt;&gt;"CALLBACK"),"문의에 대한 답장이 아님: EXPRESS 또는 INQUIRY 동의 필요","OK: 이름·주소·연락처·수신거부 문구 넣기")))),"")))</f>
      </c>
      <c r="N922" s="40">
        <f>IF($H922="INQUIRY",IFERROR(EDATE(INDEX('견적 Quotes'!$B$3:$B$1002,MATCH($C922,'견적 Quotes'!$A$3:$A$1002,0)),'설정 Settings'!$C$20),""),"")</f>
      </c>
    </row>
    <row r="923" spans="12:14" x14ac:dyDescent="0.25">
      <c r="L923" s="42">
        <f>IF($A923="","",IF($G923="Y","완료 DONE",IF($F923="","날짜 없음",IF($F923&lt;'설정 Settings'!$C$15,"지남 OVERDUE",IF($F923='설정 Settings'!$C$15,"오늘 TODAY","예정 OPEN")))))</f>
      </c>
      <c r="M923" s="42">
        <f>IF($A923="","",IF($I923="Y","수신거부: 문자·이메일 보내지 않기",IF(OR($E923="SMS",$E923="EMAIL"),IF(OR($H923="",$H923="NONE"),"동의 근거 없음: 전화·방문만",IF($H923="INQUIRY",IF(N($N923)=0,"견적 요청일을 못 찾음: 관련 ID에 견적 ID(Q-…)를 넣었는지 확인",IF('설정 Settings'!$C$15&gt;N($N923),"문의 후 6개월 지남: 다른 동의 근거 필요","OK: 이름·주소·연락처·수신거부 문구 넣기")),IF($H923="REFERRAL","소개 후 첫 메시지만 OK: 소개자 이름 + 이름·주소·연락처·수신거부 문구. 두 번째부터는 다른 동의 근거 필요",IF(AND($H923="REPLY",$D923&lt;&gt;"QUOTE",$D923&lt;&gt;"CALLBACK"),"문의에 대한 답장이 아님: EXPRESS 또는 INQUIRY 동의 필요","OK: 이름·주소·연락처·수신거부 문구 넣기")))),"")))</f>
      </c>
      <c r="N923" s="40">
        <f>IF($H923="INQUIRY",IFERROR(EDATE(INDEX('견적 Quotes'!$B$3:$B$1002,MATCH($C923,'견적 Quotes'!$A$3:$A$1002,0)),'설정 Settings'!$C$20),""),"")</f>
      </c>
    </row>
    <row r="924" spans="12:14" x14ac:dyDescent="0.25">
      <c r="L924" s="42">
        <f>IF($A924="","",IF($G924="Y","완료 DONE",IF($F924="","날짜 없음",IF($F924&lt;'설정 Settings'!$C$15,"지남 OVERDUE",IF($F924='설정 Settings'!$C$15,"오늘 TODAY","예정 OPEN")))))</f>
      </c>
      <c r="M924" s="42">
        <f>IF($A924="","",IF($I924="Y","수신거부: 문자·이메일 보내지 않기",IF(OR($E924="SMS",$E924="EMAIL"),IF(OR($H924="",$H924="NONE"),"동의 근거 없음: 전화·방문만",IF($H924="INQUIRY",IF(N($N924)=0,"견적 요청일을 못 찾음: 관련 ID에 견적 ID(Q-…)를 넣었는지 확인",IF('설정 Settings'!$C$15&gt;N($N924),"문의 후 6개월 지남: 다른 동의 근거 필요","OK: 이름·주소·연락처·수신거부 문구 넣기")),IF($H924="REFERRAL","소개 후 첫 메시지만 OK: 소개자 이름 + 이름·주소·연락처·수신거부 문구. 두 번째부터는 다른 동의 근거 필요",IF(AND($H924="REPLY",$D924&lt;&gt;"QUOTE",$D924&lt;&gt;"CALLBACK"),"문의에 대한 답장이 아님: EXPRESS 또는 INQUIRY 동의 필요","OK: 이름·주소·연락처·수신거부 문구 넣기")))),"")))</f>
      </c>
      <c r="N924" s="40">
        <f>IF($H924="INQUIRY",IFERROR(EDATE(INDEX('견적 Quotes'!$B$3:$B$1002,MATCH($C924,'견적 Quotes'!$A$3:$A$1002,0)),'설정 Settings'!$C$20),""),"")</f>
      </c>
    </row>
    <row r="925" spans="12:14" x14ac:dyDescent="0.25">
      <c r="L925" s="42">
        <f>IF($A925="","",IF($G925="Y","완료 DONE",IF($F925="","날짜 없음",IF($F925&lt;'설정 Settings'!$C$15,"지남 OVERDUE",IF($F925='설정 Settings'!$C$15,"오늘 TODAY","예정 OPEN")))))</f>
      </c>
      <c r="M925" s="42">
        <f>IF($A925="","",IF($I925="Y","수신거부: 문자·이메일 보내지 않기",IF(OR($E925="SMS",$E925="EMAIL"),IF(OR($H925="",$H925="NONE"),"동의 근거 없음: 전화·방문만",IF($H925="INQUIRY",IF(N($N925)=0,"견적 요청일을 못 찾음: 관련 ID에 견적 ID(Q-…)를 넣었는지 확인",IF('설정 Settings'!$C$15&gt;N($N925),"문의 후 6개월 지남: 다른 동의 근거 필요","OK: 이름·주소·연락처·수신거부 문구 넣기")),IF($H925="REFERRAL","소개 후 첫 메시지만 OK: 소개자 이름 + 이름·주소·연락처·수신거부 문구. 두 번째부터는 다른 동의 근거 필요",IF(AND($H925="REPLY",$D925&lt;&gt;"QUOTE",$D925&lt;&gt;"CALLBACK"),"문의에 대한 답장이 아님: EXPRESS 또는 INQUIRY 동의 필요","OK: 이름·주소·연락처·수신거부 문구 넣기")))),"")))</f>
      </c>
      <c r="N925" s="40">
        <f>IF($H925="INQUIRY",IFERROR(EDATE(INDEX('견적 Quotes'!$B$3:$B$1002,MATCH($C925,'견적 Quotes'!$A$3:$A$1002,0)),'설정 Settings'!$C$20),""),"")</f>
      </c>
    </row>
    <row r="926" spans="12:14" x14ac:dyDescent="0.25">
      <c r="L926" s="42">
        <f>IF($A926="","",IF($G926="Y","완료 DONE",IF($F926="","날짜 없음",IF($F926&lt;'설정 Settings'!$C$15,"지남 OVERDUE",IF($F926='설정 Settings'!$C$15,"오늘 TODAY","예정 OPEN")))))</f>
      </c>
      <c r="M926" s="42">
        <f>IF($A926="","",IF($I926="Y","수신거부: 문자·이메일 보내지 않기",IF(OR($E926="SMS",$E926="EMAIL"),IF(OR($H926="",$H926="NONE"),"동의 근거 없음: 전화·방문만",IF($H926="INQUIRY",IF(N($N926)=0,"견적 요청일을 못 찾음: 관련 ID에 견적 ID(Q-…)를 넣었는지 확인",IF('설정 Settings'!$C$15&gt;N($N926),"문의 후 6개월 지남: 다른 동의 근거 필요","OK: 이름·주소·연락처·수신거부 문구 넣기")),IF($H926="REFERRAL","소개 후 첫 메시지만 OK: 소개자 이름 + 이름·주소·연락처·수신거부 문구. 두 번째부터는 다른 동의 근거 필요",IF(AND($H926="REPLY",$D926&lt;&gt;"QUOTE",$D926&lt;&gt;"CALLBACK"),"문의에 대한 답장이 아님: EXPRESS 또는 INQUIRY 동의 필요","OK: 이름·주소·연락처·수신거부 문구 넣기")))),"")))</f>
      </c>
      <c r="N926" s="40">
        <f>IF($H926="INQUIRY",IFERROR(EDATE(INDEX('견적 Quotes'!$B$3:$B$1002,MATCH($C926,'견적 Quotes'!$A$3:$A$1002,0)),'설정 Settings'!$C$20),""),"")</f>
      </c>
    </row>
    <row r="927" spans="12:14" x14ac:dyDescent="0.25">
      <c r="L927" s="42">
        <f>IF($A927="","",IF($G927="Y","완료 DONE",IF($F927="","날짜 없음",IF($F927&lt;'설정 Settings'!$C$15,"지남 OVERDUE",IF($F927='설정 Settings'!$C$15,"오늘 TODAY","예정 OPEN")))))</f>
      </c>
      <c r="M927" s="42">
        <f>IF($A927="","",IF($I927="Y","수신거부: 문자·이메일 보내지 않기",IF(OR($E927="SMS",$E927="EMAIL"),IF(OR($H927="",$H927="NONE"),"동의 근거 없음: 전화·방문만",IF($H927="INQUIRY",IF(N($N927)=0,"견적 요청일을 못 찾음: 관련 ID에 견적 ID(Q-…)를 넣었는지 확인",IF('설정 Settings'!$C$15&gt;N($N927),"문의 후 6개월 지남: 다른 동의 근거 필요","OK: 이름·주소·연락처·수신거부 문구 넣기")),IF($H927="REFERRAL","소개 후 첫 메시지만 OK: 소개자 이름 + 이름·주소·연락처·수신거부 문구. 두 번째부터는 다른 동의 근거 필요",IF(AND($H927="REPLY",$D927&lt;&gt;"QUOTE",$D927&lt;&gt;"CALLBACK"),"문의에 대한 답장이 아님: EXPRESS 또는 INQUIRY 동의 필요","OK: 이름·주소·연락처·수신거부 문구 넣기")))),"")))</f>
      </c>
      <c r="N927" s="40">
        <f>IF($H927="INQUIRY",IFERROR(EDATE(INDEX('견적 Quotes'!$B$3:$B$1002,MATCH($C927,'견적 Quotes'!$A$3:$A$1002,0)),'설정 Settings'!$C$20),""),"")</f>
      </c>
    </row>
    <row r="928" spans="12:14" x14ac:dyDescent="0.25">
      <c r="L928" s="42">
        <f>IF($A928="","",IF($G928="Y","완료 DONE",IF($F928="","날짜 없음",IF($F928&lt;'설정 Settings'!$C$15,"지남 OVERDUE",IF($F928='설정 Settings'!$C$15,"오늘 TODAY","예정 OPEN")))))</f>
      </c>
      <c r="M928" s="42">
        <f>IF($A928="","",IF($I928="Y","수신거부: 문자·이메일 보내지 않기",IF(OR($E928="SMS",$E928="EMAIL"),IF(OR($H928="",$H928="NONE"),"동의 근거 없음: 전화·방문만",IF($H928="INQUIRY",IF(N($N928)=0,"견적 요청일을 못 찾음: 관련 ID에 견적 ID(Q-…)를 넣었는지 확인",IF('설정 Settings'!$C$15&gt;N($N928),"문의 후 6개월 지남: 다른 동의 근거 필요","OK: 이름·주소·연락처·수신거부 문구 넣기")),IF($H928="REFERRAL","소개 후 첫 메시지만 OK: 소개자 이름 + 이름·주소·연락처·수신거부 문구. 두 번째부터는 다른 동의 근거 필요",IF(AND($H928="REPLY",$D928&lt;&gt;"QUOTE",$D928&lt;&gt;"CALLBACK"),"문의에 대한 답장이 아님: EXPRESS 또는 INQUIRY 동의 필요","OK: 이름·주소·연락처·수신거부 문구 넣기")))),"")))</f>
      </c>
      <c r="N928" s="40">
        <f>IF($H928="INQUIRY",IFERROR(EDATE(INDEX('견적 Quotes'!$B$3:$B$1002,MATCH($C928,'견적 Quotes'!$A$3:$A$1002,0)),'설정 Settings'!$C$20),""),"")</f>
      </c>
    </row>
    <row r="929" spans="12:14" x14ac:dyDescent="0.25">
      <c r="L929" s="42">
        <f>IF($A929="","",IF($G929="Y","완료 DONE",IF($F929="","날짜 없음",IF($F929&lt;'설정 Settings'!$C$15,"지남 OVERDUE",IF($F929='설정 Settings'!$C$15,"오늘 TODAY","예정 OPEN")))))</f>
      </c>
      <c r="M929" s="42">
        <f>IF($A929="","",IF($I929="Y","수신거부: 문자·이메일 보내지 않기",IF(OR($E929="SMS",$E929="EMAIL"),IF(OR($H929="",$H929="NONE"),"동의 근거 없음: 전화·방문만",IF($H929="INQUIRY",IF(N($N929)=0,"견적 요청일을 못 찾음: 관련 ID에 견적 ID(Q-…)를 넣었는지 확인",IF('설정 Settings'!$C$15&gt;N($N929),"문의 후 6개월 지남: 다른 동의 근거 필요","OK: 이름·주소·연락처·수신거부 문구 넣기")),IF($H929="REFERRAL","소개 후 첫 메시지만 OK: 소개자 이름 + 이름·주소·연락처·수신거부 문구. 두 번째부터는 다른 동의 근거 필요",IF(AND($H929="REPLY",$D929&lt;&gt;"QUOTE",$D929&lt;&gt;"CALLBACK"),"문의에 대한 답장이 아님: EXPRESS 또는 INQUIRY 동의 필요","OK: 이름·주소·연락처·수신거부 문구 넣기")))),"")))</f>
      </c>
      <c r="N929" s="40">
        <f>IF($H929="INQUIRY",IFERROR(EDATE(INDEX('견적 Quotes'!$B$3:$B$1002,MATCH($C929,'견적 Quotes'!$A$3:$A$1002,0)),'설정 Settings'!$C$20),""),"")</f>
      </c>
    </row>
    <row r="930" spans="12:14" x14ac:dyDescent="0.25">
      <c r="L930" s="42">
        <f>IF($A930="","",IF($G930="Y","완료 DONE",IF($F930="","날짜 없음",IF($F930&lt;'설정 Settings'!$C$15,"지남 OVERDUE",IF($F930='설정 Settings'!$C$15,"오늘 TODAY","예정 OPEN")))))</f>
      </c>
      <c r="M930" s="42">
        <f>IF($A930="","",IF($I930="Y","수신거부: 문자·이메일 보내지 않기",IF(OR($E930="SMS",$E930="EMAIL"),IF(OR($H930="",$H930="NONE"),"동의 근거 없음: 전화·방문만",IF($H930="INQUIRY",IF(N($N930)=0,"견적 요청일을 못 찾음: 관련 ID에 견적 ID(Q-…)를 넣었는지 확인",IF('설정 Settings'!$C$15&gt;N($N930),"문의 후 6개월 지남: 다른 동의 근거 필요","OK: 이름·주소·연락처·수신거부 문구 넣기")),IF($H930="REFERRAL","소개 후 첫 메시지만 OK: 소개자 이름 + 이름·주소·연락처·수신거부 문구. 두 번째부터는 다른 동의 근거 필요",IF(AND($H930="REPLY",$D930&lt;&gt;"QUOTE",$D930&lt;&gt;"CALLBACK"),"문의에 대한 답장이 아님: EXPRESS 또는 INQUIRY 동의 필요","OK: 이름·주소·연락처·수신거부 문구 넣기")))),"")))</f>
      </c>
      <c r="N930" s="40">
        <f>IF($H930="INQUIRY",IFERROR(EDATE(INDEX('견적 Quotes'!$B$3:$B$1002,MATCH($C930,'견적 Quotes'!$A$3:$A$1002,0)),'설정 Settings'!$C$20),""),"")</f>
      </c>
    </row>
    <row r="931" spans="12:14" x14ac:dyDescent="0.25">
      <c r="L931" s="42">
        <f>IF($A931="","",IF($G931="Y","완료 DONE",IF($F931="","날짜 없음",IF($F931&lt;'설정 Settings'!$C$15,"지남 OVERDUE",IF($F931='설정 Settings'!$C$15,"오늘 TODAY","예정 OPEN")))))</f>
      </c>
      <c r="M931" s="42">
        <f>IF($A931="","",IF($I931="Y","수신거부: 문자·이메일 보내지 않기",IF(OR($E931="SMS",$E931="EMAIL"),IF(OR($H931="",$H931="NONE"),"동의 근거 없음: 전화·방문만",IF($H931="INQUIRY",IF(N($N931)=0,"견적 요청일을 못 찾음: 관련 ID에 견적 ID(Q-…)를 넣었는지 확인",IF('설정 Settings'!$C$15&gt;N($N931),"문의 후 6개월 지남: 다른 동의 근거 필요","OK: 이름·주소·연락처·수신거부 문구 넣기")),IF($H931="REFERRAL","소개 후 첫 메시지만 OK: 소개자 이름 + 이름·주소·연락처·수신거부 문구. 두 번째부터는 다른 동의 근거 필요",IF(AND($H931="REPLY",$D931&lt;&gt;"QUOTE",$D931&lt;&gt;"CALLBACK"),"문의에 대한 답장이 아님: EXPRESS 또는 INQUIRY 동의 필요","OK: 이름·주소·연락처·수신거부 문구 넣기")))),"")))</f>
      </c>
      <c r="N931" s="40">
        <f>IF($H931="INQUIRY",IFERROR(EDATE(INDEX('견적 Quotes'!$B$3:$B$1002,MATCH($C931,'견적 Quotes'!$A$3:$A$1002,0)),'설정 Settings'!$C$20),""),"")</f>
      </c>
    </row>
    <row r="932" spans="12:14" x14ac:dyDescent="0.25">
      <c r="L932" s="42">
        <f>IF($A932="","",IF($G932="Y","완료 DONE",IF($F932="","날짜 없음",IF($F932&lt;'설정 Settings'!$C$15,"지남 OVERDUE",IF($F932='설정 Settings'!$C$15,"오늘 TODAY","예정 OPEN")))))</f>
      </c>
      <c r="M932" s="42">
        <f>IF($A932="","",IF($I932="Y","수신거부: 문자·이메일 보내지 않기",IF(OR($E932="SMS",$E932="EMAIL"),IF(OR($H932="",$H932="NONE"),"동의 근거 없음: 전화·방문만",IF($H932="INQUIRY",IF(N($N932)=0,"견적 요청일을 못 찾음: 관련 ID에 견적 ID(Q-…)를 넣었는지 확인",IF('설정 Settings'!$C$15&gt;N($N932),"문의 후 6개월 지남: 다른 동의 근거 필요","OK: 이름·주소·연락처·수신거부 문구 넣기")),IF($H932="REFERRAL","소개 후 첫 메시지만 OK: 소개자 이름 + 이름·주소·연락처·수신거부 문구. 두 번째부터는 다른 동의 근거 필요",IF(AND($H932="REPLY",$D932&lt;&gt;"QUOTE",$D932&lt;&gt;"CALLBACK"),"문의에 대한 답장이 아님: EXPRESS 또는 INQUIRY 동의 필요","OK: 이름·주소·연락처·수신거부 문구 넣기")))),"")))</f>
      </c>
      <c r="N932" s="40">
        <f>IF($H932="INQUIRY",IFERROR(EDATE(INDEX('견적 Quotes'!$B$3:$B$1002,MATCH($C932,'견적 Quotes'!$A$3:$A$1002,0)),'설정 Settings'!$C$20),""),"")</f>
      </c>
    </row>
    <row r="933" spans="12:14" x14ac:dyDescent="0.25">
      <c r="L933" s="42">
        <f>IF($A933="","",IF($G933="Y","완료 DONE",IF($F933="","날짜 없음",IF($F933&lt;'설정 Settings'!$C$15,"지남 OVERDUE",IF($F933='설정 Settings'!$C$15,"오늘 TODAY","예정 OPEN")))))</f>
      </c>
      <c r="M933" s="42">
        <f>IF($A933="","",IF($I933="Y","수신거부: 문자·이메일 보내지 않기",IF(OR($E933="SMS",$E933="EMAIL"),IF(OR($H933="",$H933="NONE"),"동의 근거 없음: 전화·방문만",IF($H933="INQUIRY",IF(N($N933)=0,"견적 요청일을 못 찾음: 관련 ID에 견적 ID(Q-…)를 넣었는지 확인",IF('설정 Settings'!$C$15&gt;N($N933),"문의 후 6개월 지남: 다른 동의 근거 필요","OK: 이름·주소·연락처·수신거부 문구 넣기")),IF($H933="REFERRAL","소개 후 첫 메시지만 OK: 소개자 이름 + 이름·주소·연락처·수신거부 문구. 두 번째부터는 다른 동의 근거 필요",IF(AND($H933="REPLY",$D933&lt;&gt;"QUOTE",$D933&lt;&gt;"CALLBACK"),"문의에 대한 답장이 아님: EXPRESS 또는 INQUIRY 동의 필요","OK: 이름·주소·연락처·수신거부 문구 넣기")))),"")))</f>
      </c>
      <c r="N933" s="40">
        <f>IF($H933="INQUIRY",IFERROR(EDATE(INDEX('견적 Quotes'!$B$3:$B$1002,MATCH($C933,'견적 Quotes'!$A$3:$A$1002,0)),'설정 Settings'!$C$20),""),"")</f>
      </c>
    </row>
    <row r="934" spans="12:14" x14ac:dyDescent="0.25">
      <c r="L934" s="42">
        <f>IF($A934="","",IF($G934="Y","완료 DONE",IF($F934="","날짜 없음",IF($F934&lt;'설정 Settings'!$C$15,"지남 OVERDUE",IF($F934='설정 Settings'!$C$15,"오늘 TODAY","예정 OPEN")))))</f>
      </c>
      <c r="M934" s="42">
        <f>IF($A934="","",IF($I934="Y","수신거부: 문자·이메일 보내지 않기",IF(OR($E934="SMS",$E934="EMAIL"),IF(OR($H934="",$H934="NONE"),"동의 근거 없음: 전화·방문만",IF($H934="INQUIRY",IF(N($N934)=0,"견적 요청일을 못 찾음: 관련 ID에 견적 ID(Q-…)를 넣었는지 확인",IF('설정 Settings'!$C$15&gt;N($N934),"문의 후 6개월 지남: 다른 동의 근거 필요","OK: 이름·주소·연락처·수신거부 문구 넣기")),IF($H934="REFERRAL","소개 후 첫 메시지만 OK: 소개자 이름 + 이름·주소·연락처·수신거부 문구. 두 번째부터는 다른 동의 근거 필요",IF(AND($H934="REPLY",$D934&lt;&gt;"QUOTE",$D934&lt;&gt;"CALLBACK"),"문의에 대한 답장이 아님: EXPRESS 또는 INQUIRY 동의 필요","OK: 이름·주소·연락처·수신거부 문구 넣기")))),"")))</f>
      </c>
      <c r="N934" s="40">
        <f>IF($H934="INQUIRY",IFERROR(EDATE(INDEX('견적 Quotes'!$B$3:$B$1002,MATCH($C934,'견적 Quotes'!$A$3:$A$1002,0)),'설정 Settings'!$C$20),""),"")</f>
      </c>
    </row>
    <row r="935" spans="12:14" x14ac:dyDescent="0.25">
      <c r="L935" s="42">
        <f>IF($A935="","",IF($G935="Y","완료 DONE",IF($F935="","날짜 없음",IF($F935&lt;'설정 Settings'!$C$15,"지남 OVERDUE",IF($F935='설정 Settings'!$C$15,"오늘 TODAY","예정 OPEN")))))</f>
      </c>
      <c r="M935" s="42">
        <f>IF($A935="","",IF($I935="Y","수신거부: 문자·이메일 보내지 않기",IF(OR($E935="SMS",$E935="EMAIL"),IF(OR($H935="",$H935="NONE"),"동의 근거 없음: 전화·방문만",IF($H935="INQUIRY",IF(N($N935)=0,"견적 요청일을 못 찾음: 관련 ID에 견적 ID(Q-…)를 넣었는지 확인",IF('설정 Settings'!$C$15&gt;N($N935),"문의 후 6개월 지남: 다른 동의 근거 필요","OK: 이름·주소·연락처·수신거부 문구 넣기")),IF($H935="REFERRAL","소개 후 첫 메시지만 OK: 소개자 이름 + 이름·주소·연락처·수신거부 문구. 두 번째부터는 다른 동의 근거 필요",IF(AND($H935="REPLY",$D935&lt;&gt;"QUOTE",$D935&lt;&gt;"CALLBACK"),"문의에 대한 답장이 아님: EXPRESS 또는 INQUIRY 동의 필요","OK: 이름·주소·연락처·수신거부 문구 넣기")))),"")))</f>
      </c>
      <c r="N935" s="40">
        <f>IF($H935="INQUIRY",IFERROR(EDATE(INDEX('견적 Quotes'!$B$3:$B$1002,MATCH($C935,'견적 Quotes'!$A$3:$A$1002,0)),'설정 Settings'!$C$20),""),"")</f>
      </c>
    </row>
    <row r="936" spans="12:14" x14ac:dyDescent="0.25">
      <c r="L936" s="42">
        <f>IF($A936="","",IF($G936="Y","완료 DONE",IF($F936="","날짜 없음",IF($F936&lt;'설정 Settings'!$C$15,"지남 OVERDUE",IF($F936='설정 Settings'!$C$15,"오늘 TODAY","예정 OPEN")))))</f>
      </c>
      <c r="M936" s="42">
        <f>IF($A936="","",IF($I936="Y","수신거부: 문자·이메일 보내지 않기",IF(OR($E936="SMS",$E936="EMAIL"),IF(OR($H936="",$H936="NONE"),"동의 근거 없음: 전화·방문만",IF($H936="INQUIRY",IF(N($N936)=0,"견적 요청일을 못 찾음: 관련 ID에 견적 ID(Q-…)를 넣었는지 확인",IF('설정 Settings'!$C$15&gt;N($N936),"문의 후 6개월 지남: 다른 동의 근거 필요","OK: 이름·주소·연락처·수신거부 문구 넣기")),IF($H936="REFERRAL","소개 후 첫 메시지만 OK: 소개자 이름 + 이름·주소·연락처·수신거부 문구. 두 번째부터는 다른 동의 근거 필요",IF(AND($H936="REPLY",$D936&lt;&gt;"QUOTE",$D936&lt;&gt;"CALLBACK"),"문의에 대한 답장이 아님: EXPRESS 또는 INQUIRY 동의 필요","OK: 이름·주소·연락처·수신거부 문구 넣기")))),"")))</f>
      </c>
      <c r="N936" s="40">
        <f>IF($H936="INQUIRY",IFERROR(EDATE(INDEX('견적 Quotes'!$B$3:$B$1002,MATCH($C936,'견적 Quotes'!$A$3:$A$1002,0)),'설정 Settings'!$C$20),""),"")</f>
      </c>
    </row>
    <row r="937" spans="12:14" x14ac:dyDescent="0.25">
      <c r="L937" s="42">
        <f>IF($A937="","",IF($G937="Y","완료 DONE",IF($F937="","날짜 없음",IF($F937&lt;'설정 Settings'!$C$15,"지남 OVERDUE",IF($F937='설정 Settings'!$C$15,"오늘 TODAY","예정 OPEN")))))</f>
      </c>
      <c r="M937" s="42">
        <f>IF($A937="","",IF($I937="Y","수신거부: 문자·이메일 보내지 않기",IF(OR($E937="SMS",$E937="EMAIL"),IF(OR($H937="",$H937="NONE"),"동의 근거 없음: 전화·방문만",IF($H937="INQUIRY",IF(N($N937)=0,"견적 요청일을 못 찾음: 관련 ID에 견적 ID(Q-…)를 넣었는지 확인",IF('설정 Settings'!$C$15&gt;N($N937),"문의 후 6개월 지남: 다른 동의 근거 필요","OK: 이름·주소·연락처·수신거부 문구 넣기")),IF($H937="REFERRAL","소개 후 첫 메시지만 OK: 소개자 이름 + 이름·주소·연락처·수신거부 문구. 두 번째부터는 다른 동의 근거 필요",IF(AND($H937="REPLY",$D937&lt;&gt;"QUOTE",$D937&lt;&gt;"CALLBACK"),"문의에 대한 답장이 아님: EXPRESS 또는 INQUIRY 동의 필요","OK: 이름·주소·연락처·수신거부 문구 넣기")))),"")))</f>
      </c>
      <c r="N937" s="40">
        <f>IF($H937="INQUIRY",IFERROR(EDATE(INDEX('견적 Quotes'!$B$3:$B$1002,MATCH($C937,'견적 Quotes'!$A$3:$A$1002,0)),'설정 Settings'!$C$20),""),"")</f>
      </c>
    </row>
    <row r="938" spans="12:14" x14ac:dyDescent="0.25">
      <c r="L938" s="42">
        <f>IF($A938="","",IF($G938="Y","완료 DONE",IF($F938="","날짜 없음",IF($F938&lt;'설정 Settings'!$C$15,"지남 OVERDUE",IF($F938='설정 Settings'!$C$15,"오늘 TODAY","예정 OPEN")))))</f>
      </c>
      <c r="M938" s="42">
        <f>IF($A938="","",IF($I938="Y","수신거부: 문자·이메일 보내지 않기",IF(OR($E938="SMS",$E938="EMAIL"),IF(OR($H938="",$H938="NONE"),"동의 근거 없음: 전화·방문만",IF($H938="INQUIRY",IF(N($N938)=0,"견적 요청일을 못 찾음: 관련 ID에 견적 ID(Q-…)를 넣었는지 확인",IF('설정 Settings'!$C$15&gt;N($N938),"문의 후 6개월 지남: 다른 동의 근거 필요","OK: 이름·주소·연락처·수신거부 문구 넣기")),IF($H938="REFERRAL","소개 후 첫 메시지만 OK: 소개자 이름 + 이름·주소·연락처·수신거부 문구. 두 번째부터는 다른 동의 근거 필요",IF(AND($H938="REPLY",$D938&lt;&gt;"QUOTE",$D938&lt;&gt;"CALLBACK"),"문의에 대한 답장이 아님: EXPRESS 또는 INQUIRY 동의 필요","OK: 이름·주소·연락처·수신거부 문구 넣기")))),"")))</f>
      </c>
      <c r="N938" s="40">
        <f>IF($H938="INQUIRY",IFERROR(EDATE(INDEX('견적 Quotes'!$B$3:$B$1002,MATCH($C938,'견적 Quotes'!$A$3:$A$1002,0)),'설정 Settings'!$C$20),""),"")</f>
      </c>
    </row>
    <row r="939" spans="12:14" x14ac:dyDescent="0.25">
      <c r="L939" s="42">
        <f>IF($A939="","",IF($G939="Y","완료 DONE",IF($F939="","날짜 없음",IF($F939&lt;'설정 Settings'!$C$15,"지남 OVERDUE",IF($F939='설정 Settings'!$C$15,"오늘 TODAY","예정 OPEN")))))</f>
      </c>
      <c r="M939" s="42">
        <f>IF($A939="","",IF($I939="Y","수신거부: 문자·이메일 보내지 않기",IF(OR($E939="SMS",$E939="EMAIL"),IF(OR($H939="",$H939="NONE"),"동의 근거 없음: 전화·방문만",IF($H939="INQUIRY",IF(N($N939)=0,"견적 요청일을 못 찾음: 관련 ID에 견적 ID(Q-…)를 넣었는지 확인",IF('설정 Settings'!$C$15&gt;N($N939),"문의 후 6개월 지남: 다른 동의 근거 필요","OK: 이름·주소·연락처·수신거부 문구 넣기")),IF($H939="REFERRAL","소개 후 첫 메시지만 OK: 소개자 이름 + 이름·주소·연락처·수신거부 문구. 두 번째부터는 다른 동의 근거 필요",IF(AND($H939="REPLY",$D939&lt;&gt;"QUOTE",$D939&lt;&gt;"CALLBACK"),"문의에 대한 답장이 아님: EXPRESS 또는 INQUIRY 동의 필요","OK: 이름·주소·연락처·수신거부 문구 넣기")))),"")))</f>
      </c>
      <c r="N939" s="40">
        <f>IF($H939="INQUIRY",IFERROR(EDATE(INDEX('견적 Quotes'!$B$3:$B$1002,MATCH($C939,'견적 Quotes'!$A$3:$A$1002,0)),'설정 Settings'!$C$20),""),"")</f>
      </c>
    </row>
    <row r="940" spans="12:14" x14ac:dyDescent="0.25">
      <c r="L940" s="42">
        <f>IF($A940="","",IF($G940="Y","완료 DONE",IF($F940="","날짜 없음",IF($F940&lt;'설정 Settings'!$C$15,"지남 OVERDUE",IF($F940='설정 Settings'!$C$15,"오늘 TODAY","예정 OPEN")))))</f>
      </c>
      <c r="M940" s="42">
        <f>IF($A940="","",IF($I940="Y","수신거부: 문자·이메일 보내지 않기",IF(OR($E940="SMS",$E940="EMAIL"),IF(OR($H940="",$H940="NONE"),"동의 근거 없음: 전화·방문만",IF($H940="INQUIRY",IF(N($N940)=0,"견적 요청일을 못 찾음: 관련 ID에 견적 ID(Q-…)를 넣었는지 확인",IF('설정 Settings'!$C$15&gt;N($N940),"문의 후 6개월 지남: 다른 동의 근거 필요","OK: 이름·주소·연락처·수신거부 문구 넣기")),IF($H940="REFERRAL","소개 후 첫 메시지만 OK: 소개자 이름 + 이름·주소·연락처·수신거부 문구. 두 번째부터는 다른 동의 근거 필요",IF(AND($H940="REPLY",$D940&lt;&gt;"QUOTE",$D940&lt;&gt;"CALLBACK"),"문의에 대한 답장이 아님: EXPRESS 또는 INQUIRY 동의 필요","OK: 이름·주소·연락처·수신거부 문구 넣기")))),"")))</f>
      </c>
      <c r="N940" s="40">
        <f>IF($H940="INQUIRY",IFERROR(EDATE(INDEX('견적 Quotes'!$B$3:$B$1002,MATCH($C940,'견적 Quotes'!$A$3:$A$1002,0)),'설정 Settings'!$C$20),""),"")</f>
      </c>
    </row>
    <row r="941" spans="12:14" x14ac:dyDescent="0.25">
      <c r="L941" s="42">
        <f>IF($A941="","",IF($G941="Y","완료 DONE",IF($F941="","날짜 없음",IF($F941&lt;'설정 Settings'!$C$15,"지남 OVERDUE",IF($F941='설정 Settings'!$C$15,"오늘 TODAY","예정 OPEN")))))</f>
      </c>
      <c r="M941" s="42">
        <f>IF($A941="","",IF($I941="Y","수신거부: 문자·이메일 보내지 않기",IF(OR($E941="SMS",$E941="EMAIL"),IF(OR($H941="",$H941="NONE"),"동의 근거 없음: 전화·방문만",IF($H941="INQUIRY",IF(N($N941)=0,"견적 요청일을 못 찾음: 관련 ID에 견적 ID(Q-…)를 넣었는지 확인",IF('설정 Settings'!$C$15&gt;N($N941),"문의 후 6개월 지남: 다른 동의 근거 필요","OK: 이름·주소·연락처·수신거부 문구 넣기")),IF($H941="REFERRAL","소개 후 첫 메시지만 OK: 소개자 이름 + 이름·주소·연락처·수신거부 문구. 두 번째부터는 다른 동의 근거 필요",IF(AND($H941="REPLY",$D941&lt;&gt;"QUOTE",$D941&lt;&gt;"CALLBACK"),"문의에 대한 답장이 아님: EXPRESS 또는 INQUIRY 동의 필요","OK: 이름·주소·연락처·수신거부 문구 넣기")))),"")))</f>
      </c>
      <c r="N941" s="40">
        <f>IF($H941="INQUIRY",IFERROR(EDATE(INDEX('견적 Quotes'!$B$3:$B$1002,MATCH($C941,'견적 Quotes'!$A$3:$A$1002,0)),'설정 Settings'!$C$20),""),"")</f>
      </c>
    </row>
    <row r="942" spans="12:14" x14ac:dyDescent="0.25">
      <c r="L942" s="42">
        <f>IF($A942="","",IF($G942="Y","완료 DONE",IF($F942="","날짜 없음",IF($F942&lt;'설정 Settings'!$C$15,"지남 OVERDUE",IF($F942='설정 Settings'!$C$15,"오늘 TODAY","예정 OPEN")))))</f>
      </c>
      <c r="M942" s="42">
        <f>IF($A942="","",IF($I942="Y","수신거부: 문자·이메일 보내지 않기",IF(OR($E942="SMS",$E942="EMAIL"),IF(OR($H942="",$H942="NONE"),"동의 근거 없음: 전화·방문만",IF($H942="INQUIRY",IF(N($N942)=0,"견적 요청일을 못 찾음: 관련 ID에 견적 ID(Q-…)를 넣었는지 확인",IF('설정 Settings'!$C$15&gt;N($N942),"문의 후 6개월 지남: 다른 동의 근거 필요","OK: 이름·주소·연락처·수신거부 문구 넣기")),IF($H942="REFERRAL","소개 후 첫 메시지만 OK: 소개자 이름 + 이름·주소·연락처·수신거부 문구. 두 번째부터는 다른 동의 근거 필요",IF(AND($H942="REPLY",$D942&lt;&gt;"QUOTE",$D942&lt;&gt;"CALLBACK"),"문의에 대한 답장이 아님: EXPRESS 또는 INQUIRY 동의 필요","OK: 이름·주소·연락처·수신거부 문구 넣기")))),"")))</f>
      </c>
      <c r="N942" s="40">
        <f>IF($H942="INQUIRY",IFERROR(EDATE(INDEX('견적 Quotes'!$B$3:$B$1002,MATCH($C942,'견적 Quotes'!$A$3:$A$1002,0)),'설정 Settings'!$C$20),""),"")</f>
      </c>
    </row>
    <row r="943" spans="12:14" x14ac:dyDescent="0.25">
      <c r="L943" s="42">
        <f>IF($A943="","",IF($G943="Y","완료 DONE",IF($F943="","날짜 없음",IF($F943&lt;'설정 Settings'!$C$15,"지남 OVERDUE",IF($F943='설정 Settings'!$C$15,"오늘 TODAY","예정 OPEN")))))</f>
      </c>
      <c r="M943" s="42">
        <f>IF($A943="","",IF($I943="Y","수신거부: 문자·이메일 보내지 않기",IF(OR($E943="SMS",$E943="EMAIL"),IF(OR($H943="",$H943="NONE"),"동의 근거 없음: 전화·방문만",IF($H943="INQUIRY",IF(N($N943)=0,"견적 요청일을 못 찾음: 관련 ID에 견적 ID(Q-…)를 넣었는지 확인",IF('설정 Settings'!$C$15&gt;N($N943),"문의 후 6개월 지남: 다른 동의 근거 필요","OK: 이름·주소·연락처·수신거부 문구 넣기")),IF($H943="REFERRAL","소개 후 첫 메시지만 OK: 소개자 이름 + 이름·주소·연락처·수신거부 문구. 두 번째부터는 다른 동의 근거 필요",IF(AND($H943="REPLY",$D943&lt;&gt;"QUOTE",$D943&lt;&gt;"CALLBACK"),"문의에 대한 답장이 아님: EXPRESS 또는 INQUIRY 동의 필요","OK: 이름·주소·연락처·수신거부 문구 넣기")))),"")))</f>
      </c>
      <c r="N943" s="40">
        <f>IF($H943="INQUIRY",IFERROR(EDATE(INDEX('견적 Quotes'!$B$3:$B$1002,MATCH($C943,'견적 Quotes'!$A$3:$A$1002,0)),'설정 Settings'!$C$20),""),"")</f>
      </c>
    </row>
    <row r="944" spans="12:14" x14ac:dyDescent="0.25">
      <c r="L944" s="42">
        <f>IF($A944="","",IF($G944="Y","완료 DONE",IF($F944="","날짜 없음",IF($F944&lt;'설정 Settings'!$C$15,"지남 OVERDUE",IF($F944='설정 Settings'!$C$15,"오늘 TODAY","예정 OPEN")))))</f>
      </c>
      <c r="M944" s="42">
        <f>IF($A944="","",IF($I944="Y","수신거부: 문자·이메일 보내지 않기",IF(OR($E944="SMS",$E944="EMAIL"),IF(OR($H944="",$H944="NONE"),"동의 근거 없음: 전화·방문만",IF($H944="INQUIRY",IF(N($N944)=0,"견적 요청일을 못 찾음: 관련 ID에 견적 ID(Q-…)를 넣었는지 확인",IF('설정 Settings'!$C$15&gt;N($N944),"문의 후 6개월 지남: 다른 동의 근거 필요","OK: 이름·주소·연락처·수신거부 문구 넣기")),IF($H944="REFERRAL","소개 후 첫 메시지만 OK: 소개자 이름 + 이름·주소·연락처·수신거부 문구. 두 번째부터는 다른 동의 근거 필요",IF(AND($H944="REPLY",$D944&lt;&gt;"QUOTE",$D944&lt;&gt;"CALLBACK"),"문의에 대한 답장이 아님: EXPRESS 또는 INQUIRY 동의 필요","OK: 이름·주소·연락처·수신거부 문구 넣기")))),"")))</f>
      </c>
      <c r="N944" s="40">
        <f>IF($H944="INQUIRY",IFERROR(EDATE(INDEX('견적 Quotes'!$B$3:$B$1002,MATCH($C944,'견적 Quotes'!$A$3:$A$1002,0)),'설정 Settings'!$C$20),""),"")</f>
      </c>
    </row>
    <row r="945" spans="12:14" x14ac:dyDescent="0.25">
      <c r="L945" s="42">
        <f>IF($A945="","",IF($G945="Y","완료 DONE",IF($F945="","날짜 없음",IF($F945&lt;'설정 Settings'!$C$15,"지남 OVERDUE",IF($F945='설정 Settings'!$C$15,"오늘 TODAY","예정 OPEN")))))</f>
      </c>
      <c r="M945" s="42">
        <f>IF($A945="","",IF($I945="Y","수신거부: 문자·이메일 보내지 않기",IF(OR($E945="SMS",$E945="EMAIL"),IF(OR($H945="",$H945="NONE"),"동의 근거 없음: 전화·방문만",IF($H945="INQUIRY",IF(N($N945)=0,"견적 요청일을 못 찾음: 관련 ID에 견적 ID(Q-…)를 넣었는지 확인",IF('설정 Settings'!$C$15&gt;N($N945),"문의 후 6개월 지남: 다른 동의 근거 필요","OK: 이름·주소·연락처·수신거부 문구 넣기")),IF($H945="REFERRAL","소개 후 첫 메시지만 OK: 소개자 이름 + 이름·주소·연락처·수신거부 문구. 두 번째부터는 다른 동의 근거 필요",IF(AND($H945="REPLY",$D945&lt;&gt;"QUOTE",$D945&lt;&gt;"CALLBACK"),"문의에 대한 답장이 아님: EXPRESS 또는 INQUIRY 동의 필요","OK: 이름·주소·연락처·수신거부 문구 넣기")))),"")))</f>
      </c>
      <c r="N945" s="40">
        <f>IF($H945="INQUIRY",IFERROR(EDATE(INDEX('견적 Quotes'!$B$3:$B$1002,MATCH($C945,'견적 Quotes'!$A$3:$A$1002,0)),'설정 Settings'!$C$20),""),"")</f>
      </c>
    </row>
    <row r="946" spans="12:14" x14ac:dyDescent="0.25">
      <c r="L946" s="42">
        <f>IF($A946="","",IF($G946="Y","완료 DONE",IF($F946="","날짜 없음",IF($F946&lt;'설정 Settings'!$C$15,"지남 OVERDUE",IF($F946='설정 Settings'!$C$15,"오늘 TODAY","예정 OPEN")))))</f>
      </c>
      <c r="M946" s="42">
        <f>IF($A946="","",IF($I946="Y","수신거부: 문자·이메일 보내지 않기",IF(OR($E946="SMS",$E946="EMAIL"),IF(OR($H946="",$H946="NONE"),"동의 근거 없음: 전화·방문만",IF($H946="INQUIRY",IF(N($N946)=0,"견적 요청일을 못 찾음: 관련 ID에 견적 ID(Q-…)를 넣었는지 확인",IF('설정 Settings'!$C$15&gt;N($N946),"문의 후 6개월 지남: 다른 동의 근거 필요","OK: 이름·주소·연락처·수신거부 문구 넣기")),IF($H946="REFERRAL","소개 후 첫 메시지만 OK: 소개자 이름 + 이름·주소·연락처·수신거부 문구. 두 번째부터는 다른 동의 근거 필요",IF(AND($H946="REPLY",$D946&lt;&gt;"QUOTE",$D946&lt;&gt;"CALLBACK"),"문의에 대한 답장이 아님: EXPRESS 또는 INQUIRY 동의 필요","OK: 이름·주소·연락처·수신거부 문구 넣기")))),"")))</f>
      </c>
      <c r="N946" s="40">
        <f>IF($H946="INQUIRY",IFERROR(EDATE(INDEX('견적 Quotes'!$B$3:$B$1002,MATCH($C946,'견적 Quotes'!$A$3:$A$1002,0)),'설정 Settings'!$C$20),""),"")</f>
      </c>
    </row>
    <row r="947" spans="12:14" x14ac:dyDescent="0.25">
      <c r="L947" s="42">
        <f>IF($A947="","",IF($G947="Y","완료 DONE",IF($F947="","날짜 없음",IF($F947&lt;'설정 Settings'!$C$15,"지남 OVERDUE",IF($F947='설정 Settings'!$C$15,"오늘 TODAY","예정 OPEN")))))</f>
      </c>
      <c r="M947" s="42">
        <f>IF($A947="","",IF($I947="Y","수신거부: 문자·이메일 보내지 않기",IF(OR($E947="SMS",$E947="EMAIL"),IF(OR($H947="",$H947="NONE"),"동의 근거 없음: 전화·방문만",IF($H947="INQUIRY",IF(N($N947)=0,"견적 요청일을 못 찾음: 관련 ID에 견적 ID(Q-…)를 넣었는지 확인",IF('설정 Settings'!$C$15&gt;N($N947),"문의 후 6개월 지남: 다른 동의 근거 필요","OK: 이름·주소·연락처·수신거부 문구 넣기")),IF($H947="REFERRAL","소개 후 첫 메시지만 OK: 소개자 이름 + 이름·주소·연락처·수신거부 문구. 두 번째부터는 다른 동의 근거 필요",IF(AND($H947="REPLY",$D947&lt;&gt;"QUOTE",$D947&lt;&gt;"CALLBACK"),"문의에 대한 답장이 아님: EXPRESS 또는 INQUIRY 동의 필요","OK: 이름·주소·연락처·수신거부 문구 넣기")))),"")))</f>
      </c>
      <c r="N947" s="40">
        <f>IF($H947="INQUIRY",IFERROR(EDATE(INDEX('견적 Quotes'!$B$3:$B$1002,MATCH($C947,'견적 Quotes'!$A$3:$A$1002,0)),'설정 Settings'!$C$20),""),"")</f>
      </c>
    </row>
    <row r="948" spans="12:14" x14ac:dyDescent="0.25">
      <c r="L948" s="42">
        <f>IF($A948="","",IF($G948="Y","완료 DONE",IF($F948="","날짜 없음",IF($F948&lt;'설정 Settings'!$C$15,"지남 OVERDUE",IF($F948='설정 Settings'!$C$15,"오늘 TODAY","예정 OPEN")))))</f>
      </c>
      <c r="M948" s="42">
        <f>IF($A948="","",IF($I948="Y","수신거부: 문자·이메일 보내지 않기",IF(OR($E948="SMS",$E948="EMAIL"),IF(OR($H948="",$H948="NONE"),"동의 근거 없음: 전화·방문만",IF($H948="INQUIRY",IF(N($N948)=0,"견적 요청일을 못 찾음: 관련 ID에 견적 ID(Q-…)를 넣었는지 확인",IF('설정 Settings'!$C$15&gt;N($N948),"문의 후 6개월 지남: 다른 동의 근거 필요","OK: 이름·주소·연락처·수신거부 문구 넣기")),IF($H948="REFERRAL","소개 후 첫 메시지만 OK: 소개자 이름 + 이름·주소·연락처·수신거부 문구. 두 번째부터는 다른 동의 근거 필요",IF(AND($H948="REPLY",$D948&lt;&gt;"QUOTE",$D948&lt;&gt;"CALLBACK"),"문의에 대한 답장이 아님: EXPRESS 또는 INQUIRY 동의 필요","OK: 이름·주소·연락처·수신거부 문구 넣기")))),"")))</f>
      </c>
      <c r="N948" s="40">
        <f>IF($H948="INQUIRY",IFERROR(EDATE(INDEX('견적 Quotes'!$B$3:$B$1002,MATCH($C948,'견적 Quotes'!$A$3:$A$1002,0)),'설정 Settings'!$C$20),""),"")</f>
      </c>
    </row>
    <row r="949" spans="12:14" x14ac:dyDescent="0.25">
      <c r="L949" s="42">
        <f>IF($A949="","",IF($G949="Y","완료 DONE",IF($F949="","날짜 없음",IF($F949&lt;'설정 Settings'!$C$15,"지남 OVERDUE",IF($F949='설정 Settings'!$C$15,"오늘 TODAY","예정 OPEN")))))</f>
      </c>
      <c r="M949" s="42">
        <f>IF($A949="","",IF($I949="Y","수신거부: 문자·이메일 보내지 않기",IF(OR($E949="SMS",$E949="EMAIL"),IF(OR($H949="",$H949="NONE"),"동의 근거 없음: 전화·방문만",IF($H949="INQUIRY",IF(N($N949)=0,"견적 요청일을 못 찾음: 관련 ID에 견적 ID(Q-…)를 넣었는지 확인",IF('설정 Settings'!$C$15&gt;N($N949),"문의 후 6개월 지남: 다른 동의 근거 필요","OK: 이름·주소·연락처·수신거부 문구 넣기")),IF($H949="REFERRAL","소개 후 첫 메시지만 OK: 소개자 이름 + 이름·주소·연락처·수신거부 문구. 두 번째부터는 다른 동의 근거 필요",IF(AND($H949="REPLY",$D949&lt;&gt;"QUOTE",$D949&lt;&gt;"CALLBACK"),"문의에 대한 답장이 아님: EXPRESS 또는 INQUIRY 동의 필요","OK: 이름·주소·연락처·수신거부 문구 넣기")))),"")))</f>
      </c>
      <c r="N949" s="40">
        <f>IF($H949="INQUIRY",IFERROR(EDATE(INDEX('견적 Quotes'!$B$3:$B$1002,MATCH($C949,'견적 Quotes'!$A$3:$A$1002,0)),'설정 Settings'!$C$20),""),"")</f>
      </c>
    </row>
    <row r="950" spans="12:14" x14ac:dyDescent="0.25">
      <c r="L950" s="42">
        <f>IF($A950="","",IF($G950="Y","완료 DONE",IF($F950="","날짜 없음",IF($F950&lt;'설정 Settings'!$C$15,"지남 OVERDUE",IF($F950='설정 Settings'!$C$15,"오늘 TODAY","예정 OPEN")))))</f>
      </c>
      <c r="M950" s="42">
        <f>IF($A950="","",IF($I950="Y","수신거부: 문자·이메일 보내지 않기",IF(OR($E950="SMS",$E950="EMAIL"),IF(OR($H950="",$H950="NONE"),"동의 근거 없음: 전화·방문만",IF($H950="INQUIRY",IF(N($N950)=0,"견적 요청일을 못 찾음: 관련 ID에 견적 ID(Q-…)를 넣었는지 확인",IF('설정 Settings'!$C$15&gt;N($N950),"문의 후 6개월 지남: 다른 동의 근거 필요","OK: 이름·주소·연락처·수신거부 문구 넣기")),IF($H950="REFERRAL","소개 후 첫 메시지만 OK: 소개자 이름 + 이름·주소·연락처·수신거부 문구. 두 번째부터는 다른 동의 근거 필요",IF(AND($H950="REPLY",$D950&lt;&gt;"QUOTE",$D950&lt;&gt;"CALLBACK"),"문의에 대한 답장이 아님: EXPRESS 또는 INQUIRY 동의 필요","OK: 이름·주소·연락처·수신거부 문구 넣기")))),"")))</f>
      </c>
      <c r="N950" s="40">
        <f>IF($H950="INQUIRY",IFERROR(EDATE(INDEX('견적 Quotes'!$B$3:$B$1002,MATCH($C950,'견적 Quotes'!$A$3:$A$1002,0)),'설정 Settings'!$C$20),""),"")</f>
      </c>
    </row>
    <row r="951" spans="12:14" x14ac:dyDescent="0.25">
      <c r="L951" s="42">
        <f>IF($A951="","",IF($G951="Y","완료 DONE",IF($F951="","날짜 없음",IF($F951&lt;'설정 Settings'!$C$15,"지남 OVERDUE",IF($F951='설정 Settings'!$C$15,"오늘 TODAY","예정 OPEN")))))</f>
      </c>
      <c r="M951" s="42">
        <f>IF($A951="","",IF($I951="Y","수신거부: 문자·이메일 보내지 않기",IF(OR($E951="SMS",$E951="EMAIL"),IF(OR($H951="",$H951="NONE"),"동의 근거 없음: 전화·방문만",IF($H951="INQUIRY",IF(N($N951)=0,"견적 요청일을 못 찾음: 관련 ID에 견적 ID(Q-…)를 넣었는지 확인",IF('설정 Settings'!$C$15&gt;N($N951),"문의 후 6개월 지남: 다른 동의 근거 필요","OK: 이름·주소·연락처·수신거부 문구 넣기")),IF($H951="REFERRAL","소개 후 첫 메시지만 OK: 소개자 이름 + 이름·주소·연락처·수신거부 문구. 두 번째부터는 다른 동의 근거 필요",IF(AND($H951="REPLY",$D951&lt;&gt;"QUOTE",$D951&lt;&gt;"CALLBACK"),"문의에 대한 답장이 아님: EXPRESS 또는 INQUIRY 동의 필요","OK: 이름·주소·연락처·수신거부 문구 넣기")))),"")))</f>
      </c>
      <c r="N951" s="40">
        <f>IF($H951="INQUIRY",IFERROR(EDATE(INDEX('견적 Quotes'!$B$3:$B$1002,MATCH($C951,'견적 Quotes'!$A$3:$A$1002,0)),'설정 Settings'!$C$20),""),"")</f>
      </c>
    </row>
    <row r="952" spans="12:14" x14ac:dyDescent="0.25">
      <c r="L952" s="42">
        <f>IF($A952="","",IF($G952="Y","완료 DONE",IF($F952="","날짜 없음",IF($F952&lt;'설정 Settings'!$C$15,"지남 OVERDUE",IF($F952='설정 Settings'!$C$15,"오늘 TODAY","예정 OPEN")))))</f>
      </c>
      <c r="M952" s="42">
        <f>IF($A952="","",IF($I952="Y","수신거부: 문자·이메일 보내지 않기",IF(OR($E952="SMS",$E952="EMAIL"),IF(OR($H952="",$H952="NONE"),"동의 근거 없음: 전화·방문만",IF($H952="INQUIRY",IF(N($N952)=0,"견적 요청일을 못 찾음: 관련 ID에 견적 ID(Q-…)를 넣었는지 확인",IF('설정 Settings'!$C$15&gt;N($N952),"문의 후 6개월 지남: 다른 동의 근거 필요","OK: 이름·주소·연락처·수신거부 문구 넣기")),IF($H952="REFERRAL","소개 후 첫 메시지만 OK: 소개자 이름 + 이름·주소·연락처·수신거부 문구. 두 번째부터는 다른 동의 근거 필요",IF(AND($H952="REPLY",$D952&lt;&gt;"QUOTE",$D952&lt;&gt;"CALLBACK"),"문의에 대한 답장이 아님: EXPRESS 또는 INQUIRY 동의 필요","OK: 이름·주소·연락처·수신거부 문구 넣기")))),"")))</f>
      </c>
      <c r="N952" s="40">
        <f>IF($H952="INQUIRY",IFERROR(EDATE(INDEX('견적 Quotes'!$B$3:$B$1002,MATCH($C952,'견적 Quotes'!$A$3:$A$1002,0)),'설정 Settings'!$C$20),""),"")</f>
      </c>
    </row>
    <row r="953" spans="12:14" x14ac:dyDescent="0.25">
      <c r="L953" s="42">
        <f>IF($A953="","",IF($G953="Y","완료 DONE",IF($F953="","날짜 없음",IF($F953&lt;'설정 Settings'!$C$15,"지남 OVERDUE",IF($F953='설정 Settings'!$C$15,"오늘 TODAY","예정 OPEN")))))</f>
      </c>
      <c r="M953" s="42">
        <f>IF($A953="","",IF($I953="Y","수신거부: 문자·이메일 보내지 않기",IF(OR($E953="SMS",$E953="EMAIL"),IF(OR($H953="",$H953="NONE"),"동의 근거 없음: 전화·방문만",IF($H953="INQUIRY",IF(N($N953)=0,"견적 요청일을 못 찾음: 관련 ID에 견적 ID(Q-…)를 넣었는지 확인",IF('설정 Settings'!$C$15&gt;N($N953),"문의 후 6개월 지남: 다른 동의 근거 필요","OK: 이름·주소·연락처·수신거부 문구 넣기")),IF($H953="REFERRAL","소개 후 첫 메시지만 OK: 소개자 이름 + 이름·주소·연락처·수신거부 문구. 두 번째부터는 다른 동의 근거 필요",IF(AND($H953="REPLY",$D953&lt;&gt;"QUOTE",$D953&lt;&gt;"CALLBACK"),"문의에 대한 답장이 아님: EXPRESS 또는 INQUIRY 동의 필요","OK: 이름·주소·연락처·수신거부 문구 넣기")))),"")))</f>
      </c>
      <c r="N953" s="40">
        <f>IF($H953="INQUIRY",IFERROR(EDATE(INDEX('견적 Quotes'!$B$3:$B$1002,MATCH($C953,'견적 Quotes'!$A$3:$A$1002,0)),'설정 Settings'!$C$20),""),"")</f>
      </c>
    </row>
    <row r="954" spans="12:14" x14ac:dyDescent="0.25">
      <c r="L954" s="42">
        <f>IF($A954="","",IF($G954="Y","완료 DONE",IF($F954="","날짜 없음",IF($F954&lt;'설정 Settings'!$C$15,"지남 OVERDUE",IF($F954='설정 Settings'!$C$15,"오늘 TODAY","예정 OPEN")))))</f>
      </c>
      <c r="M954" s="42">
        <f>IF($A954="","",IF($I954="Y","수신거부: 문자·이메일 보내지 않기",IF(OR($E954="SMS",$E954="EMAIL"),IF(OR($H954="",$H954="NONE"),"동의 근거 없음: 전화·방문만",IF($H954="INQUIRY",IF(N($N954)=0,"견적 요청일을 못 찾음: 관련 ID에 견적 ID(Q-…)를 넣었는지 확인",IF('설정 Settings'!$C$15&gt;N($N954),"문의 후 6개월 지남: 다른 동의 근거 필요","OK: 이름·주소·연락처·수신거부 문구 넣기")),IF($H954="REFERRAL","소개 후 첫 메시지만 OK: 소개자 이름 + 이름·주소·연락처·수신거부 문구. 두 번째부터는 다른 동의 근거 필요",IF(AND($H954="REPLY",$D954&lt;&gt;"QUOTE",$D954&lt;&gt;"CALLBACK"),"문의에 대한 답장이 아님: EXPRESS 또는 INQUIRY 동의 필요","OK: 이름·주소·연락처·수신거부 문구 넣기")))),"")))</f>
      </c>
      <c r="N954" s="40">
        <f>IF($H954="INQUIRY",IFERROR(EDATE(INDEX('견적 Quotes'!$B$3:$B$1002,MATCH($C954,'견적 Quotes'!$A$3:$A$1002,0)),'설정 Settings'!$C$20),""),"")</f>
      </c>
    </row>
    <row r="955" spans="12:14" x14ac:dyDescent="0.25">
      <c r="L955" s="42">
        <f>IF($A955="","",IF($G955="Y","완료 DONE",IF($F955="","날짜 없음",IF($F955&lt;'설정 Settings'!$C$15,"지남 OVERDUE",IF($F955='설정 Settings'!$C$15,"오늘 TODAY","예정 OPEN")))))</f>
      </c>
      <c r="M955" s="42">
        <f>IF($A955="","",IF($I955="Y","수신거부: 문자·이메일 보내지 않기",IF(OR($E955="SMS",$E955="EMAIL"),IF(OR($H955="",$H955="NONE"),"동의 근거 없음: 전화·방문만",IF($H955="INQUIRY",IF(N($N955)=0,"견적 요청일을 못 찾음: 관련 ID에 견적 ID(Q-…)를 넣었는지 확인",IF('설정 Settings'!$C$15&gt;N($N955),"문의 후 6개월 지남: 다른 동의 근거 필요","OK: 이름·주소·연락처·수신거부 문구 넣기")),IF($H955="REFERRAL","소개 후 첫 메시지만 OK: 소개자 이름 + 이름·주소·연락처·수신거부 문구. 두 번째부터는 다른 동의 근거 필요",IF(AND($H955="REPLY",$D955&lt;&gt;"QUOTE",$D955&lt;&gt;"CALLBACK"),"문의에 대한 답장이 아님: EXPRESS 또는 INQUIRY 동의 필요","OK: 이름·주소·연락처·수신거부 문구 넣기")))),"")))</f>
      </c>
      <c r="N955" s="40">
        <f>IF($H955="INQUIRY",IFERROR(EDATE(INDEX('견적 Quotes'!$B$3:$B$1002,MATCH($C955,'견적 Quotes'!$A$3:$A$1002,0)),'설정 Settings'!$C$20),""),"")</f>
      </c>
    </row>
    <row r="956" spans="12:14" x14ac:dyDescent="0.25">
      <c r="L956" s="42">
        <f>IF($A956="","",IF($G956="Y","완료 DONE",IF($F956="","날짜 없음",IF($F956&lt;'설정 Settings'!$C$15,"지남 OVERDUE",IF($F956='설정 Settings'!$C$15,"오늘 TODAY","예정 OPEN")))))</f>
      </c>
      <c r="M956" s="42">
        <f>IF($A956="","",IF($I956="Y","수신거부: 문자·이메일 보내지 않기",IF(OR($E956="SMS",$E956="EMAIL"),IF(OR($H956="",$H956="NONE"),"동의 근거 없음: 전화·방문만",IF($H956="INQUIRY",IF(N($N956)=0,"견적 요청일을 못 찾음: 관련 ID에 견적 ID(Q-…)를 넣었는지 확인",IF('설정 Settings'!$C$15&gt;N($N956),"문의 후 6개월 지남: 다른 동의 근거 필요","OK: 이름·주소·연락처·수신거부 문구 넣기")),IF($H956="REFERRAL","소개 후 첫 메시지만 OK: 소개자 이름 + 이름·주소·연락처·수신거부 문구. 두 번째부터는 다른 동의 근거 필요",IF(AND($H956="REPLY",$D956&lt;&gt;"QUOTE",$D956&lt;&gt;"CALLBACK"),"문의에 대한 답장이 아님: EXPRESS 또는 INQUIRY 동의 필요","OK: 이름·주소·연락처·수신거부 문구 넣기")))),"")))</f>
      </c>
      <c r="N956" s="40">
        <f>IF($H956="INQUIRY",IFERROR(EDATE(INDEX('견적 Quotes'!$B$3:$B$1002,MATCH($C956,'견적 Quotes'!$A$3:$A$1002,0)),'설정 Settings'!$C$20),""),"")</f>
      </c>
    </row>
    <row r="957" spans="12:14" x14ac:dyDescent="0.25">
      <c r="L957" s="42">
        <f>IF($A957="","",IF($G957="Y","완료 DONE",IF($F957="","날짜 없음",IF($F957&lt;'설정 Settings'!$C$15,"지남 OVERDUE",IF($F957='설정 Settings'!$C$15,"오늘 TODAY","예정 OPEN")))))</f>
      </c>
      <c r="M957" s="42">
        <f>IF($A957="","",IF($I957="Y","수신거부: 문자·이메일 보내지 않기",IF(OR($E957="SMS",$E957="EMAIL"),IF(OR($H957="",$H957="NONE"),"동의 근거 없음: 전화·방문만",IF($H957="INQUIRY",IF(N($N957)=0,"견적 요청일을 못 찾음: 관련 ID에 견적 ID(Q-…)를 넣었는지 확인",IF('설정 Settings'!$C$15&gt;N($N957),"문의 후 6개월 지남: 다른 동의 근거 필요","OK: 이름·주소·연락처·수신거부 문구 넣기")),IF($H957="REFERRAL","소개 후 첫 메시지만 OK: 소개자 이름 + 이름·주소·연락처·수신거부 문구. 두 번째부터는 다른 동의 근거 필요",IF(AND($H957="REPLY",$D957&lt;&gt;"QUOTE",$D957&lt;&gt;"CALLBACK"),"문의에 대한 답장이 아님: EXPRESS 또는 INQUIRY 동의 필요","OK: 이름·주소·연락처·수신거부 문구 넣기")))),"")))</f>
      </c>
      <c r="N957" s="40">
        <f>IF($H957="INQUIRY",IFERROR(EDATE(INDEX('견적 Quotes'!$B$3:$B$1002,MATCH($C957,'견적 Quotes'!$A$3:$A$1002,0)),'설정 Settings'!$C$20),""),"")</f>
      </c>
    </row>
    <row r="958" spans="12:14" x14ac:dyDescent="0.25">
      <c r="L958" s="42">
        <f>IF($A958="","",IF($G958="Y","완료 DONE",IF($F958="","날짜 없음",IF($F958&lt;'설정 Settings'!$C$15,"지남 OVERDUE",IF($F958='설정 Settings'!$C$15,"오늘 TODAY","예정 OPEN")))))</f>
      </c>
      <c r="M958" s="42">
        <f>IF($A958="","",IF($I958="Y","수신거부: 문자·이메일 보내지 않기",IF(OR($E958="SMS",$E958="EMAIL"),IF(OR($H958="",$H958="NONE"),"동의 근거 없음: 전화·방문만",IF($H958="INQUIRY",IF(N($N958)=0,"견적 요청일을 못 찾음: 관련 ID에 견적 ID(Q-…)를 넣었는지 확인",IF('설정 Settings'!$C$15&gt;N($N958),"문의 후 6개월 지남: 다른 동의 근거 필요","OK: 이름·주소·연락처·수신거부 문구 넣기")),IF($H958="REFERRAL","소개 후 첫 메시지만 OK: 소개자 이름 + 이름·주소·연락처·수신거부 문구. 두 번째부터는 다른 동의 근거 필요",IF(AND($H958="REPLY",$D958&lt;&gt;"QUOTE",$D958&lt;&gt;"CALLBACK"),"문의에 대한 답장이 아님: EXPRESS 또는 INQUIRY 동의 필요","OK: 이름·주소·연락처·수신거부 문구 넣기")))),"")))</f>
      </c>
      <c r="N958" s="40">
        <f>IF($H958="INQUIRY",IFERROR(EDATE(INDEX('견적 Quotes'!$B$3:$B$1002,MATCH($C958,'견적 Quotes'!$A$3:$A$1002,0)),'설정 Settings'!$C$20),""),"")</f>
      </c>
    </row>
    <row r="959" spans="12:14" x14ac:dyDescent="0.25">
      <c r="L959" s="42">
        <f>IF($A959="","",IF($G959="Y","완료 DONE",IF($F959="","날짜 없음",IF($F959&lt;'설정 Settings'!$C$15,"지남 OVERDUE",IF($F959='설정 Settings'!$C$15,"오늘 TODAY","예정 OPEN")))))</f>
      </c>
      <c r="M959" s="42">
        <f>IF($A959="","",IF($I959="Y","수신거부: 문자·이메일 보내지 않기",IF(OR($E959="SMS",$E959="EMAIL"),IF(OR($H959="",$H959="NONE"),"동의 근거 없음: 전화·방문만",IF($H959="INQUIRY",IF(N($N959)=0,"견적 요청일을 못 찾음: 관련 ID에 견적 ID(Q-…)를 넣었는지 확인",IF('설정 Settings'!$C$15&gt;N($N959),"문의 후 6개월 지남: 다른 동의 근거 필요","OK: 이름·주소·연락처·수신거부 문구 넣기")),IF($H959="REFERRAL","소개 후 첫 메시지만 OK: 소개자 이름 + 이름·주소·연락처·수신거부 문구. 두 번째부터는 다른 동의 근거 필요",IF(AND($H959="REPLY",$D959&lt;&gt;"QUOTE",$D959&lt;&gt;"CALLBACK"),"문의에 대한 답장이 아님: EXPRESS 또는 INQUIRY 동의 필요","OK: 이름·주소·연락처·수신거부 문구 넣기")))),"")))</f>
      </c>
      <c r="N959" s="40">
        <f>IF($H959="INQUIRY",IFERROR(EDATE(INDEX('견적 Quotes'!$B$3:$B$1002,MATCH($C959,'견적 Quotes'!$A$3:$A$1002,0)),'설정 Settings'!$C$20),""),"")</f>
      </c>
    </row>
    <row r="960" spans="12:14" x14ac:dyDescent="0.25">
      <c r="L960" s="42">
        <f>IF($A960="","",IF($G960="Y","완료 DONE",IF($F960="","날짜 없음",IF($F960&lt;'설정 Settings'!$C$15,"지남 OVERDUE",IF($F960='설정 Settings'!$C$15,"오늘 TODAY","예정 OPEN")))))</f>
      </c>
      <c r="M960" s="42">
        <f>IF($A960="","",IF($I960="Y","수신거부: 문자·이메일 보내지 않기",IF(OR($E960="SMS",$E960="EMAIL"),IF(OR($H960="",$H960="NONE"),"동의 근거 없음: 전화·방문만",IF($H960="INQUIRY",IF(N($N960)=0,"견적 요청일을 못 찾음: 관련 ID에 견적 ID(Q-…)를 넣었는지 확인",IF('설정 Settings'!$C$15&gt;N($N960),"문의 후 6개월 지남: 다른 동의 근거 필요","OK: 이름·주소·연락처·수신거부 문구 넣기")),IF($H960="REFERRAL","소개 후 첫 메시지만 OK: 소개자 이름 + 이름·주소·연락처·수신거부 문구. 두 번째부터는 다른 동의 근거 필요",IF(AND($H960="REPLY",$D960&lt;&gt;"QUOTE",$D960&lt;&gt;"CALLBACK"),"문의에 대한 답장이 아님: EXPRESS 또는 INQUIRY 동의 필요","OK: 이름·주소·연락처·수신거부 문구 넣기")))),"")))</f>
      </c>
      <c r="N960" s="40">
        <f>IF($H960="INQUIRY",IFERROR(EDATE(INDEX('견적 Quotes'!$B$3:$B$1002,MATCH($C960,'견적 Quotes'!$A$3:$A$1002,0)),'설정 Settings'!$C$20),""),"")</f>
      </c>
    </row>
    <row r="961" spans="12:14" x14ac:dyDescent="0.25">
      <c r="L961" s="42">
        <f>IF($A961="","",IF($G961="Y","완료 DONE",IF($F961="","날짜 없음",IF($F961&lt;'설정 Settings'!$C$15,"지남 OVERDUE",IF($F961='설정 Settings'!$C$15,"오늘 TODAY","예정 OPEN")))))</f>
      </c>
      <c r="M961" s="42">
        <f>IF($A961="","",IF($I961="Y","수신거부: 문자·이메일 보내지 않기",IF(OR($E961="SMS",$E961="EMAIL"),IF(OR($H961="",$H961="NONE"),"동의 근거 없음: 전화·방문만",IF($H961="INQUIRY",IF(N($N961)=0,"견적 요청일을 못 찾음: 관련 ID에 견적 ID(Q-…)를 넣었는지 확인",IF('설정 Settings'!$C$15&gt;N($N961),"문의 후 6개월 지남: 다른 동의 근거 필요","OK: 이름·주소·연락처·수신거부 문구 넣기")),IF($H961="REFERRAL","소개 후 첫 메시지만 OK: 소개자 이름 + 이름·주소·연락처·수신거부 문구. 두 번째부터는 다른 동의 근거 필요",IF(AND($H961="REPLY",$D961&lt;&gt;"QUOTE",$D961&lt;&gt;"CALLBACK"),"문의에 대한 답장이 아님: EXPRESS 또는 INQUIRY 동의 필요","OK: 이름·주소·연락처·수신거부 문구 넣기")))),"")))</f>
      </c>
      <c r="N961" s="40">
        <f>IF($H961="INQUIRY",IFERROR(EDATE(INDEX('견적 Quotes'!$B$3:$B$1002,MATCH($C961,'견적 Quotes'!$A$3:$A$1002,0)),'설정 Settings'!$C$20),""),"")</f>
      </c>
    </row>
    <row r="962" spans="12:14" x14ac:dyDescent="0.25">
      <c r="L962" s="42">
        <f>IF($A962="","",IF($G962="Y","완료 DONE",IF($F962="","날짜 없음",IF($F962&lt;'설정 Settings'!$C$15,"지남 OVERDUE",IF($F962='설정 Settings'!$C$15,"오늘 TODAY","예정 OPEN")))))</f>
      </c>
      <c r="M962" s="42">
        <f>IF($A962="","",IF($I962="Y","수신거부: 문자·이메일 보내지 않기",IF(OR($E962="SMS",$E962="EMAIL"),IF(OR($H962="",$H962="NONE"),"동의 근거 없음: 전화·방문만",IF($H962="INQUIRY",IF(N($N962)=0,"견적 요청일을 못 찾음: 관련 ID에 견적 ID(Q-…)를 넣었는지 확인",IF('설정 Settings'!$C$15&gt;N($N962),"문의 후 6개월 지남: 다른 동의 근거 필요","OK: 이름·주소·연락처·수신거부 문구 넣기")),IF($H962="REFERRAL","소개 후 첫 메시지만 OK: 소개자 이름 + 이름·주소·연락처·수신거부 문구. 두 번째부터는 다른 동의 근거 필요",IF(AND($H962="REPLY",$D962&lt;&gt;"QUOTE",$D962&lt;&gt;"CALLBACK"),"문의에 대한 답장이 아님: EXPRESS 또는 INQUIRY 동의 필요","OK: 이름·주소·연락처·수신거부 문구 넣기")))),"")))</f>
      </c>
      <c r="N962" s="40">
        <f>IF($H962="INQUIRY",IFERROR(EDATE(INDEX('견적 Quotes'!$B$3:$B$1002,MATCH($C962,'견적 Quotes'!$A$3:$A$1002,0)),'설정 Settings'!$C$20),""),"")</f>
      </c>
    </row>
    <row r="963" spans="12:14" x14ac:dyDescent="0.25">
      <c r="L963" s="42">
        <f>IF($A963="","",IF($G963="Y","완료 DONE",IF($F963="","날짜 없음",IF($F963&lt;'설정 Settings'!$C$15,"지남 OVERDUE",IF($F963='설정 Settings'!$C$15,"오늘 TODAY","예정 OPEN")))))</f>
      </c>
      <c r="M963" s="42">
        <f>IF($A963="","",IF($I963="Y","수신거부: 문자·이메일 보내지 않기",IF(OR($E963="SMS",$E963="EMAIL"),IF(OR($H963="",$H963="NONE"),"동의 근거 없음: 전화·방문만",IF($H963="INQUIRY",IF(N($N963)=0,"견적 요청일을 못 찾음: 관련 ID에 견적 ID(Q-…)를 넣었는지 확인",IF('설정 Settings'!$C$15&gt;N($N963),"문의 후 6개월 지남: 다른 동의 근거 필요","OK: 이름·주소·연락처·수신거부 문구 넣기")),IF($H963="REFERRAL","소개 후 첫 메시지만 OK: 소개자 이름 + 이름·주소·연락처·수신거부 문구. 두 번째부터는 다른 동의 근거 필요",IF(AND($H963="REPLY",$D963&lt;&gt;"QUOTE",$D963&lt;&gt;"CALLBACK"),"문의에 대한 답장이 아님: EXPRESS 또는 INQUIRY 동의 필요","OK: 이름·주소·연락처·수신거부 문구 넣기")))),"")))</f>
      </c>
      <c r="N963" s="40">
        <f>IF($H963="INQUIRY",IFERROR(EDATE(INDEX('견적 Quotes'!$B$3:$B$1002,MATCH($C963,'견적 Quotes'!$A$3:$A$1002,0)),'설정 Settings'!$C$20),""),"")</f>
      </c>
    </row>
    <row r="964" spans="12:14" x14ac:dyDescent="0.25">
      <c r="L964" s="42">
        <f>IF($A964="","",IF($G964="Y","완료 DONE",IF($F964="","날짜 없음",IF($F964&lt;'설정 Settings'!$C$15,"지남 OVERDUE",IF($F964='설정 Settings'!$C$15,"오늘 TODAY","예정 OPEN")))))</f>
      </c>
      <c r="M964" s="42">
        <f>IF($A964="","",IF($I964="Y","수신거부: 문자·이메일 보내지 않기",IF(OR($E964="SMS",$E964="EMAIL"),IF(OR($H964="",$H964="NONE"),"동의 근거 없음: 전화·방문만",IF($H964="INQUIRY",IF(N($N964)=0,"견적 요청일을 못 찾음: 관련 ID에 견적 ID(Q-…)를 넣었는지 확인",IF('설정 Settings'!$C$15&gt;N($N964),"문의 후 6개월 지남: 다른 동의 근거 필요","OK: 이름·주소·연락처·수신거부 문구 넣기")),IF($H964="REFERRAL","소개 후 첫 메시지만 OK: 소개자 이름 + 이름·주소·연락처·수신거부 문구. 두 번째부터는 다른 동의 근거 필요",IF(AND($H964="REPLY",$D964&lt;&gt;"QUOTE",$D964&lt;&gt;"CALLBACK"),"문의에 대한 답장이 아님: EXPRESS 또는 INQUIRY 동의 필요","OK: 이름·주소·연락처·수신거부 문구 넣기")))),"")))</f>
      </c>
      <c r="N964" s="40">
        <f>IF($H964="INQUIRY",IFERROR(EDATE(INDEX('견적 Quotes'!$B$3:$B$1002,MATCH($C964,'견적 Quotes'!$A$3:$A$1002,0)),'설정 Settings'!$C$20),""),"")</f>
      </c>
    </row>
    <row r="965" spans="12:14" x14ac:dyDescent="0.25">
      <c r="L965" s="42">
        <f>IF($A965="","",IF($G965="Y","완료 DONE",IF($F965="","날짜 없음",IF($F965&lt;'설정 Settings'!$C$15,"지남 OVERDUE",IF($F965='설정 Settings'!$C$15,"오늘 TODAY","예정 OPEN")))))</f>
      </c>
      <c r="M965" s="42">
        <f>IF($A965="","",IF($I965="Y","수신거부: 문자·이메일 보내지 않기",IF(OR($E965="SMS",$E965="EMAIL"),IF(OR($H965="",$H965="NONE"),"동의 근거 없음: 전화·방문만",IF($H965="INQUIRY",IF(N($N965)=0,"견적 요청일을 못 찾음: 관련 ID에 견적 ID(Q-…)를 넣었는지 확인",IF('설정 Settings'!$C$15&gt;N($N965),"문의 후 6개월 지남: 다른 동의 근거 필요","OK: 이름·주소·연락처·수신거부 문구 넣기")),IF($H965="REFERRAL","소개 후 첫 메시지만 OK: 소개자 이름 + 이름·주소·연락처·수신거부 문구. 두 번째부터는 다른 동의 근거 필요",IF(AND($H965="REPLY",$D965&lt;&gt;"QUOTE",$D965&lt;&gt;"CALLBACK"),"문의에 대한 답장이 아님: EXPRESS 또는 INQUIRY 동의 필요","OK: 이름·주소·연락처·수신거부 문구 넣기")))),"")))</f>
      </c>
      <c r="N965" s="40">
        <f>IF($H965="INQUIRY",IFERROR(EDATE(INDEX('견적 Quotes'!$B$3:$B$1002,MATCH($C965,'견적 Quotes'!$A$3:$A$1002,0)),'설정 Settings'!$C$20),""),"")</f>
      </c>
    </row>
    <row r="966" spans="12:14" x14ac:dyDescent="0.25">
      <c r="L966" s="42">
        <f>IF($A966="","",IF($G966="Y","완료 DONE",IF($F966="","날짜 없음",IF($F966&lt;'설정 Settings'!$C$15,"지남 OVERDUE",IF($F966='설정 Settings'!$C$15,"오늘 TODAY","예정 OPEN")))))</f>
      </c>
      <c r="M966" s="42">
        <f>IF($A966="","",IF($I966="Y","수신거부: 문자·이메일 보내지 않기",IF(OR($E966="SMS",$E966="EMAIL"),IF(OR($H966="",$H966="NONE"),"동의 근거 없음: 전화·방문만",IF($H966="INQUIRY",IF(N($N966)=0,"견적 요청일을 못 찾음: 관련 ID에 견적 ID(Q-…)를 넣었는지 확인",IF('설정 Settings'!$C$15&gt;N($N966),"문의 후 6개월 지남: 다른 동의 근거 필요","OK: 이름·주소·연락처·수신거부 문구 넣기")),IF($H966="REFERRAL","소개 후 첫 메시지만 OK: 소개자 이름 + 이름·주소·연락처·수신거부 문구. 두 번째부터는 다른 동의 근거 필요",IF(AND($H966="REPLY",$D966&lt;&gt;"QUOTE",$D966&lt;&gt;"CALLBACK"),"문의에 대한 답장이 아님: EXPRESS 또는 INQUIRY 동의 필요","OK: 이름·주소·연락처·수신거부 문구 넣기")))),"")))</f>
      </c>
      <c r="N966" s="40">
        <f>IF($H966="INQUIRY",IFERROR(EDATE(INDEX('견적 Quotes'!$B$3:$B$1002,MATCH($C966,'견적 Quotes'!$A$3:$A$1002,0)),'설정 Settings'!$C$20),""),"")</f>
      </c>
    </row>
    <row r="967" spans="12:14" x14ac:dyDescent="0.25">
      <c r="L967" s="42">
        <f>IF($A967="","",IF($G967="Y","완료 DONE",IF($F967="","날짜 없음",IF($F967&lt;'설정 Settings'!$C$15,"지남 OVERDUE",IF($F967='설정 Settings'!$C$15,"오늘 TODAY","예정 OPEN")))))</f>
      </c>
      <c r="M967" s="42">
        <f>IF($A967="","",IF($I967="Y","수신거부: 문자·이메일 보내지 않기",IF(OR($E967="SMS",$E967="EMAIL"),IF(OR($H967="",$H967="NONE"),"동의 근거 없음: 전화·방문만",IF($H967="INQUIRY",IF(N($N967)=0,"견적 요청일을 못 찾음: 관련 ID에 견적 ID(Q-…)를 넣었는지 확인",IF('설정 Settings'!$C$15&gt;N($N967),"문의 후 6개월 지남: 다른 동의 근거 필요","OK: 이름·주소·연락처·수신거부 문구 넣기")),IF($H967="REFERRAL","소개 후 첫 메시지만 OK: 소개자 이름 + 이름·주소·연락처·수신거부 문구. 두 번째부터는 다른 동의 근거 필요",IF(AND($H967="REPLY",$D967&lt;&gt;"QUOTE",$D967&lt;&gt;"CALLBACK"),"문의에 대한 답장이 아님: EXPRESS 또는 INQUIRY 동의 필요","OK: 이름·주소·연락처·수신거부 문구 넣기")))),"")))</f>
      </c>
      <c r="N967" s="40">
        <f>IF($H967="INQUIRY",IFERROR(EDATE(INDEX('견적 Quotes'!$B$3:$B$1002,MATCH($C967,'견적 Quotes'!$A$3:$A$1002,0)),'설정 Settings'!$C$20),""),"")</f>
      </c>
    </row>
    <row r="968" spans="12:14" x14ac:dyDescent="0.25">
      <c r="L968" s="42">
        <f>IF($A968="","",IF($G968="Y","완료 DONE",IF($F968="","날짜 없음",IF($F968&lt;'설정 Settings'!$C$15,"지남 OVERDUE",IF($F968='설정 Settings'!$C$15,"오늘 TODAY","예정 OPEN")))))</f>
      </c>
      <c r="M968" s="42">
        <f>IF($A968="","",IF($I968="Y","수신거부: 문자·이메일 보내지 않기",IF(OR($E968="SMS",$E968="EMAIL"),IF(OR($H968="",$H968="NONE"),"동의 근거 없음: 전화·방문만",IF($H968="INQUIRY",IF(N($N968)=0,"견적 요청일을 못 찾음: 관련 ID에 견적 ID(Q-…)를 넣었는지 확인",IF('설정 Settings'!$C$15&gt;N($N968),"문의 후 6개월 지남: 다른 동의 근거 필요","OK: 이름·주소·연락처·수신거부 문구 넣기")),IF($H968="REFERRAL","소개 후 첫 메시지만 OK: 소개자 이름 + 이름·주소·연락처·수신거부 문구. 두 번째부터는 다른 동의 근거 필요",IF(AND($H968="REPLY",$D968&lt;&gt;"QUOTE",$D968&lt;&gt;"CALLBACK"),"문의에 대한 답장이 아님: EXPRESS 또는 INQUIRY 동의 필요","OK: 이름·주소·연락처·수신거부 문구 넣기")))),"")))</f>
      </c>
      <c r="N968" s="40">
        <f>IF($H968="INQUIRY",IFERROR(EDATE(INDEX('견적 Quotes'!$B$3:$B$1002,MATCH($C968,'견적 Quotes'!$A$3:$A$1002,0)),'설정 Settings'!$C$20),""),"")</f>
      </c>
    </row>
    <row r="969" spans="12:14" x14ac:dyDescent="0.25">
      <c r="L969" s="42">
        <f>IF($A969="","",IF($G969="Y","완료 DONE",IF($F969="","날짜 없음",IF($F969&lt;'설정 Settings'!$C$15,"지남 OVERDUE",IF($F969='설정 Settings'!$C$15,"오늘 TODAY","예정 OPEN")))))</f>
      </c>
      <c r="M969" s="42">
        <f>IF($A969="","",IF($I969="Y","수신거부: 문자·이메일 보내지 않기",IF(OR($E969="SMS",$E969="EMAIL"),IF(OR($H969="",$H969="NONE"),"동의 근거 없음: 전화·방문만",IF($H969="INQUIRY",IF(N($N969)=0,"견적 요청일을 못 찾음: 관련 ID에 견적 ID(Q-…)를 넣었는지 확인",IF('설정 Settings'!$C$15&gt;N($N969),"문의 후 6개월 지남: 다른 동의 근거 필요","OK: 이름·주소·연락처·수신거부 문구 넣기")),IF($H969="REFERRAL","소개 후 첫 메시지만 OK: 소개자 이름 + 이름·주소·연락처·수신거부 문구. 두 번째부터는 다른 동의 근거 필요",IF(AND($H969="REPLY",$D969&lt;&gt;"QUOTE",$D969&lt;&gt;"CALLBACK"),"문의에 대한 답장이 아님: EXPRESS 또는 INQUIRY 동의 필요","OK: 이름·주소·연락처·수신거부 문구 넣기")))),"")))</f>
      </c>
      <c r="N969" s="40">
        <f>IF($H969="INQUIRY",IFERROR(EDATE(INDEX('견적 Quotes'!$B$3:$B$1002,MATCH($C969,'견적 Quotes'!$A$3:$A$1002,0)),'설정 Settings'!$C$20),""),"")</f>
      </c>
    </row>
    <row r="970" spans="12:14" x14ac:dyDescent="0.25">
      <c r="L970" s="42">
        <f>IF($A970="","",IF($G970="Y","완료 DONE",IF($F970="","날짜 없음",IF($F970&lt;'설정 Settings'!$C$15,"지남 OVERDUE",IF($F970='설정 Settings'!$C$15,"오늘 TODAY","예정 OPEN")))))</f>
      </c>
      <c r="M970" s="42">
        <f>IF($A970="","",IF($I970="Y","수신거부: 문자·이메일 보내지 않기",IF(OR($E970="SMS",$E970="EMAIL"),IF(OR($H970="",$H970="NONE"),"동의 근거 없음: 전화·방문만",IF($H970="INQUIRY",IF(N($N970)=0,"견적 요청일을 못 찾음: 관련 ID에 견적 ID(Q-…)를 넣었는지 확인",IF('설정 Settings'!$C$15&gt;N($N970),"문의 후 6개월 지남: 다른 동의 근거 필요","OK: 이름·주소·연락처·수신거부 문구 넣기")),IF($H970="REFERRAL","소개 후 첫 메시지만 OK: 소개자 이름 + 이름·주소·연락처·수신거부 문구. 두 번째부터는 다른 동의 근거 필요",IF(AND($H970="REPLY",$D970&lt;&gt;"QUOTE",$D970&lt;&gt;"CALLBACK"),"문의에 대한 답장이 아님: EXPRESS 또는 INQUIRY 동의 필요","OK: 이름·주소·연락처·수신거부 문구 넣기")))),"")))</f>
      </c>
      <c r="N970" s="40">
        <f>IF($H970="INQUIRY",IFERROR(EDATE(INDEX('견적 Quotes'!$B$3:$B$1002,MATCH($C970,'견적 Quotes'!$A$3:$A$1002,0)),'설정 Settings'!$C$20),""),"")</f>
      </c>
    </row>
    <row r="971" spans="12:14" x14ac:dyDescent="0.25">
      <c r="L971" s="42">
        <f>IF($A971="","",IF($G971="Y","완료 DONE",IF($F971="","날짜 없음",IF($F971&lt;'설정 Settings'!$C$15,"지남 OVERDUE",IF($F971='설정 Settings'!$C$15,"오늘 TODAY","예정 OPEN")))))</f>
      </c>
      <c r="M971" s="42">
        <f>IF($A971="","",IF($I971="Y","수신거부: 문자·이메일 보내지 않기",IF(OR($E971="SMS",$E971="EMAIL"),IF(OR($H971="",$H971="NONE"),"동의 근거 없음: 전화·방문만",IF($H971="INQUIRY",IF(N($N971)=0,"견적 요청일을 못 찾음: 관련 ID에 견적 ID(Q-…)를 넣었는지 확인",IF('설정 Settings'!$C$15&gt;N($N971),"문의 후 6개월 지남: 다른 동의 근거 필요","OK: 이름·주소·연락처·수신거부 문구 넣기")),IF($H971="REFERRAL","소개 후 첫 메시지만 OK: 소개자 이름 + 이름·주소·연락처·수신거부 문구. 두 번째부터는 다른 동의 근거 필요",IF(AND($H971="REPLY",$D971&lt;&gt;"QUOTE",$D971&lt;&gt;"CALLBACK"),"문의에 대한 답장이 아님: EXPRESS 또는 INQUIRY 동의 필요","OK: 이름·주소·연락처·수신거부 문구 넣기")))),"")))</f>
      </c>
      <c r="N971" s="40">
        <f>IF($H971="INQUIRY",IFERROR(EDATE(INDEX('견적 Quotes'!$B$3:$B$1002,MATCH($C971,'견적 Quotes'!$A$3:$A$1002,0)),'설정 Settings'!$C$20),""),"")</f>
      </c>
    </row>
    <row r="972" spans="12:14" x14ac:dyDescent="0.25">
      <c r="L972" s="42">
        <f>IF($A972="","",IF($G972="Y","완료 DONE",IF($F972="","날짜 없음",IF($F972&lt;'설정 Settings'!$C$15,"지남 OVERDUE",IF($F972='설정 Settings'!$C$15,"오늘 TODAY","예정 OPEN")))))</f>
      </c>
      <c r="M972" s="42">
        <f>IF($A972="","",IF($I972="Y","수신거부: 문자·이메일 보내지 않기",IF(OR($E972="SMS",$E972="EMAIL"),IF(OR($H972="",$H972="NONE"),"동의 근거 없음: 전화·방문만",IF($H972="INQUIRY",IF(N($N972)=0,"견적 요청일을 못 찾음: 관련 ID에 견적 ID(Q-…)를 넣었는지 확인",IF('설정 Settings'!$C$15&gt;N($N972),"문의 후 6개월 지남: 다른 동의 근거 필요","OK: 이름·주소·연락처·수신거부 문구 넣기")),IF($H972="REFERRAL","소개 후 첫 메시지만 OK: 소개자 이름 + 이름·주소·연락처·수신거부 문구. 두 번째부터는 다른 동의 근거 필요",IF(AND($H972="REPLY",$D972&lt;&gt;"QUOTE",$D972&lt;&gt;"CALLBACK"),"문의에 대한 답장이 아님: EXPRESS 또는 INQUIRY 동의 필요","OK: 이름·주소·연락처·수신거부 문구 넣기")))),"")))</f>
      </c>
      <c r="N972" s="40">
        <f>IF($H972="INQUIRY",IFERROR(EDATE(INDEX('견적 Quotes'!$B$3:$B$1002,MATCH($C972,'견적 Quotes'!$A$3:$A$1002,0)),'설정 Settings'!$C$20),""),"")</f>
      </c>
    </row>
    <row r="973" spans="12:14" x14ac:dyDescent="0.25">
      <c r="L973" s="42">
        <f>IF($A973="","",IF($G973="Y","완료 DONE",IF($F973="","날짜 없음",IF($F973&lt;'설정 Settings'!$C$15,"지남 OVERDUE",IF($F973='설정 Settings'!$C$15,"오늘 TODAY","예정 OPEN")))))</f>
      </c>
      <c r="M973" s="42">
        <f>IF($A973="","",IF($I973="Y","수신거부: 문자·이메일 보내지 않기",IF(OR($E973="SMS",$E973="EMAIL"),IF(OR($H973="",$H973="NONE"),"동의 근거 없음: 전화·방문만",IF($H973="INQUIRY",IF(N($N973)=0,"견적 요청일을 못 찾음: 관련 ID에 견적 ID(Q-…)를 넣었는지 확인",IF('설정 Settings'!$C$15&gt;N($N973),"문의 후 6개월 지남: 다른 동의 근거 필요","OK: 이름·주소·연락처·수신거부 문구 넣기")),IF($H973="REFERRAL","소개 후 첫 메시지만 OK: 소개자 이름 + 이름·주소·연락처·수신거부 문구. 두 번째부터는 다른 동의 근거 필요",IF(AND($H973="REPLY",$D973&lt;&gt;"QUOTE",$D973&lt;&gt;"CALLBACK"),"문의에 대한 답장이 아님: EXPRESS 또는 INQUIRY 동의 필요","OK: 이름·주소·연락처·수신거부 문구 넣기")))),"")))</f>
      </c>
      <c r="N973" s="40">
        <f>IF($H973="INQUIRY",IFERROR(EDATE(INDEX('견적 Quotes'!$B$3:$B$1002,MATCH($C973,'견적 Quotes'!$A$3:$A$1002,0)),'설정 Settings'!$C$20),""),"")</f>
      </c>
    </row>
    <row r="974" spans="12:14" x14ac:dyDescent="0.25">
      <c r="L974" s="42">
        <f>IF($A974="","",IF($G974="Y","완료 DONE",IF($F974="","날짜 없음",IF($F974&lt;'설정 Settings'!$C$15,"지남 OVERDUE",IF($F974='설정 Settings'!$C$15,"오늘 TODAY","예정 OPEN")))))</f>
      </c>
      <c r="M974" s="42">
        <f>IF($A974="","",IF($I974="Y","수신거부: 문자·이메일 보내지 않기",IF(OR($E974="SMS",$E974="EMAIL"),IF(OR($H974="",$H974="NONE"),"동의 근거 없음: 전화·방문만",IF($H974="INQUIRY",IF(N($N974)=0,"견적 요청일을 못 찾음: 관련 ID에 견적 ID(Q-…)를 넣었는지 확인",IF('설정 Settings'!$C$15&gt;N($N974),"문의 후 6개월 지남: 다른 동의 근거 필요","OK: 이름·주소·연락처·수신거부 문구 넣기")),IF($H974="REFERRAL","소개 후 첫 메시지만 OK: 소개자 이름 + 이름·주소·연락처·수신거부 문구. 두 번째부터는 다른 동의 근거 필요",IF(AND($H974="REPLY",$D974&lt;&gt;"QUOTE",$D974&lt;&gt;"CALLBACK"),"문의에 대한 답장이 아님: EXPRESS 또는 INQUIRY 동의 필요","OK: 이름·주소·연락처·수신거부 문구 넣기")))),"")))</f>
      </c>
      <c r="N974" s="40">
        <f>IF($H974="INQUIRY",IFERROR(EDATE(INDEX('견적 Quotes'!$B$3:$B$1002,MATCH($C974,'견적 Quotes'!$A$3:$A$1002,0)),'설정 Settings'!$C$20),""),"")</f>
      </c>
    </row>
    <row r="975" spans="12:14" x14ac:dyDescent="0.25">
      <c r="L975" s="42">
        <f>IF($A975="","",IF($G975="Y","완료 DONE",IF($F975="","날짜 없음",IF($F975&lt;'설정 Settings'!$C$15,"지남 OVERDUE",IF($F975='설정 Settings'!$C$15,"오늘 TODAY","예정 OPEN")))))</f>
      </c>
      <c r="M975" s="42">
        <f>IF($A975="","",IF($I975="Y","수신거부: 문자·이메일 보내지 않기",IF(OR($E975="SMS",$E975="EMAIL"),IF(OR($H975="",$H975="NONE"),"동의 근거 없음: 전화·방문만",IF($H975="INQUIRY",IF(N($N975)=0,"견적 요청일을 못 찾음: 관련 ID에 견적 ID(Q-…)를 넣었는지 확인",IF('설정 Settings'!$C$15&gt;N($N975),"문의 후 6개월 지남: 다른 동의 근거 필요","OK: 이름·주소·연락처·수신거부 문구 넣기")),IF($H975="REFERRAL","소개 후 첫 메시지만 OK: 소개자 이름 + 이름·주소·연락처·수신거부 문구. 두 번째부터는 다른 동의 근거 필요",IF(AND($H975="REPLY",$D975&lt;&gt;"QUOTE",$D975&lt;&gt;"CALLBACK"),"문의에 대한 답장이 아님: EXPRESS 또는 INQUIRY 동의 필요","OK: 이름·주소·연락처·수신거부 문구 넣기")))),"")))</f>
      </c>
      <c r="N975" s="40">
        <f>IF($H975="INQUIRY",IFERROR(EDATE(INDEX('견적 Quotes'!$B$3:$B$1002,MATCH($C975,'견적 Quotes'!$A$3:$A$1002,0)),'설정 Settings'!$C$20),""),"")</f>
      </c>
    </row>
    <row r="976" spans="12:14" x14ac:dyDescent="0.25">
      <c r="L976" s="42">
        <f>IF($A976="","",IF($G976="Y","완료 DONE",IF($F976="","날짜 없음",IF($F976&lt;'설정 Settings'!$C$15,"지남 OVERDUE",IF($F976='설정 Settings'!$C$15,"오늘 TODAY","예정 OPEN")))))</f>
      </c>
      <c r="M976" s="42">
        <f>IF($A976="","",IF($I976="Y","수신거부: 문자·이메일 보내지 않기",IF(OR($E976="SMS",$E976="EMAIL"),IF(OR($H976="",$H976="NONE"),"동의 근거 없음: 전화·방문만",IF($H976="INQUIRY",IF(N($N976)=0,"견적 요청일을 못 찾음: 관련 ID에 견적 ID(Q-…)를 넣었는지 확인",IF('설정 Settings'!$C$15&gt;N($N976),"문의 후 6개월 지남: 다른 동의 근거 필요","OK: 이름·주소·연락처·수신거부 문구 넣기")),IF($H976="REFERRAL","소개 후 첫 메시지만 OK: 소개자 이름 + 이름·주소·연락처·수신거부 문구. 두 번째부터는 다른 동의 근거 필요",IF(AND($H976="REPLY",$D976&lt;&gt;"QUOTE",$D976&lt;&gt;"CALLBACK"),"문의에 대한 답장이 아님: EXPRESS 또는 INQUIRY 동의 필요","OK: 이름·주소·연락처·수신거부 문구 넣기")))),"")))</f>
      </c>
      <c r="N976" s="40">
        <f>IF($H976="INQUIRY",IFERROR(EDATE(INDEX('견적 Quotes'!$B$3:$B$1002,MATCH($C976,'견적 Quotes'!$A$3:$A$1002,0)),'설정 Settings'!$C$20),""),"")</f>
      </c>
    </row>
    <row r="977" spans="12:14" x14ac:dyDescent="0.25">
      <c r="L977" s="42">
        <f>IF($A977="","",IF($G977="Y","완료 DONE",IF($F977="","날짜 없음",IF($F977&lt;'설정 Settings'!$C$15,"지남 OVERDUE",IF($F977='설정 Settings'!$C$15,"오늘 TODAY","예정 OPEN")))))</f>
      </c>
      <c r="M977" s="42">
        <f>IF($A977="","",IF($I977="Y","수신거부: 문자·이메일 보내지 않기",IF(OR($E977="SMS",$E977="EMAIL"),IF(OR($H977="",$H977="NONE"),"동의 근거 없음: 전화·방문만",IF($H977="INQUIRY",IF(N($N977)=0,"견적 요청일을 못 찾음: 관련 ID에 견적 ID(Q-…)를 넣었는지 확인",IF('설정 Settings'!$C$15&gt;N($N977),"문의 후 6개월 지남: 다른 동의 근거 필요","OK: 이름·주소·연락처·수신거부 문구 넣기")),IF($H977="REFERRAL","소개 후 첫 메시지만 OK: 소개자 이름 + 이름·주소·연락처·수신거부 문구. 두 번째부터는 다른 동의 근거 필요",IF(AND($H977="REPLY",$D977&lt;&gt;"QUOTE",$D977&lt;&gt;"CALLBACK"),"문의에 대한 답장이 아님: EXPRESS 또는 INQUIRY 동의 필요","OK: 이름·주소·연락처·수신거부 문구 넣기")))),"")))</f>
      </c>
      <c r="N977" s="40">
        <f>IF($H977="INQUIRY",IFERROR(EDATE(INDEX('견적 Quotes'!$B$3:$B$1002,MATCH($C977,'견적 Quotes'!$A$3:$A$1002,0)),'설정 Settings'!$C$20),""),"")</f>
      </c>
    </row>
    <row r="978" spans="12:14" x14ac:dyDescent="0.25">
      <c r="L978" s="42">
        <f>IF($A978="","",IF($G978="Y","완료 DONE",IF($F978="","날짜 없음",IF($F978&lt;'설정 Settings'!$C$15,"지남 OVERDUE",IF($F978='설정 Settings'!$C$15,"오늘 TODAY","예정 OPEN")))))</f>
      </c>
      <c r="M978" s="42">
        <f>IF($A978="","",IF($I978="Y","수신거부: 문자·이메일 보내지 않기",IF(OR($E978="SMS",$E978="EMAIL"),IF(OR($H978="",$H978="NONE"),"동의 근거 없음: 전화·방문만",IF($H978="INQUIRY",IF(N($N978)=0,"견적 요청일을 못 찾음: 관련 ID에 견적 ID(Q-…)를 넣었는지 확인",IF('설정 Settings'!$C$15&gt;N($N978),"문의 후 6개월 지남: 다른 동의 근거 필요","OK: 이름·주소·연락처·수신거부 문구 넣기")),IF($H978="REFERRAL","소개 후 첫 메시지만 OK: 소개자 이름 + 이름·주소·연락처·수신거부 문구. 두 번째부터는 다른 동의 근거 필요",IF(AND($H978="REPLY",$D978&lt;&gt;"QUOTE",$D978&lt;&gt;"CALLBACK"),"문의에 대한 답장이 아님: EXPRESS 또는 INQUIRY 동의 필요","OK: 이름·주소·연락처·수신거부 문구 넣기")))),"")))</f>
      </c>
      <c r="N978" s="40">
        <f>IF($H978="INQUIRY",IFERROR(EDATE(INDEX('견적 Quotes'!$B$3:$B$1002,MATCH($C978,'견적 Quotes'!$A$3:$A$1002,0)),'설정 Settings'!$C$20),""),"")</f>
      </c>
    </row>
    <row r="979" spans="12:14" x14ac:dyDescent="0.25">
      <c r="L979" s="42">
        <f>IF($A979="","",IF($G979="Y","완료 DONE",IF($F979="","날짜 없음",IF($F979&lt;'설정 Settings'!$C$15,"지남 OVERDUE",IF($F979='설정 Settings'!$C$15,"오늘 TODAY","예정 OPEN")))))</f>
      </c>
      <c r="M979" s="42">
        <f>IF($A979="","",IF($I979="Y","수신거부: 문자·이메일 보내지 않기",IF(OR($E979="SMS",$E979="EMAIL"),IF(OR($H979="",$H979="NONE"),"동의 근거 없음: 전화·방문만",IF($H979="INQUIRY",IF(N($N979)=0,"견적 요청일을 못 찾음: 관련 ID에 견적 ID(Q-…)를 넣었는지 확인",IF('설정 Settings'!$C$15&gt;N($N979),"문의 후 6개월 지남: 다른 동의 근거 필요","OK: 이름·주소·연락처·수신거부 문구 넣기")),IF($H979="REFERRAL","소개 후 첫 메시지만 OK: 소개자 이름 + 이름·주소·연락처·수신거부 문구. 두 번째부터는 다른 동의 근거 필요",IF(AND($H979="REPLY",$D979&lt;&gt;"QUOTE",$D979&lt;&gt;"CALLBACK"),"문의에 대한 답장이 아님: EXPRESS 또는 INQUIRY 동의 필요","OK: 이름·주소·연락처·수신거부 문구 넣기")))),"")))</f>
      </c>
      <c r="N979" s="40">
        <f>IF($H979="INQUIRY",IFERROR(EDATE(INDEX('견적 Quotes'!$B$3:$B$1002,MATCH($C979,'견적 Quotes'!$A$3:$A$1002,0)),'설정 Settings'!$C$20),""),"")</f>
      </c>
    </row>
    <row r="980" spans="12:14" x14ac:dyDescent="0.25">
      <c r="L980" s="42">
        <f>IF($A980="","",IF($G980="Y","완료 DONE",IF($F980="","날짜 없음",IF($F980&lt;'설정 Settings'!$C$15,"지남 OVERDUE",IF($F980='설정 Settings'!$C$15,"오늘 TODAY","예정 OPEN")))))</f>
      </c>
      <c r="M980" s="42">
        <f>IF($A980="","",IF($I980="Y","수신거부: 문자·이메일 보내지 않기",IF(OR($E980="SMS",$E980="EMAIL"),IF(OR($H980="",$H980="NONE"),"동의 근거 없음: 전화·방문만",IF($H980="INQUIRY",IF(N($N980)=0,"견적 요청일을 못 찾음: 관련 ID에 견적 ID(Q-…)를 넣었는지 확인",IF('설정 Settings'!$C$15&gt;N($N980),"문의 후 6개월 지남: 다른 동의 근거 필요","OK: 이름·주소·연락처·수신거부 문구 넣기")),IF($H980="REFERRAL","소개 후 첫 메시지만 OK: 소개자 이름 + 이름·주소·연락처·수신거부 문구. 두 번째부터는 다른 동의 근거 필요",IF(AND($H980="REPLY",$D980&lt;&gt;"QUOTE",$D980&lt;&gt;"CALLBACK"),"문의에 대한 답장이 아님: EXPRESS 또는 INQUIRY 동의 필요","OK: 이름·주소·연락처·수신거부 문구 넣기")))),"")))</f>
      </c>
      <c r="N980" s="40">
        <f>IF($H980="INQUIRY",IFERROR(EDATE(INDEX('견적 Quotes'!$B$3:$B$1002,MATCH($C980,'견적 Quotes'!$A$3:$A$1002,0)),'설정 Settings'!$C$20),""),"")</f>
      </c>
    </row>
    <row r="981" spans="12:14" x14ac:dyDescent="0.25">
      <c r="L981" s="42">
        <f>IF($A981="","",IF($G981="Y","완료 DONE",IF($F981="","날짜 없음",IF($F981&lt;'설정 Settings'!$C$15,"지남 OVERDUE",IF($F981='설정 Settings'!$C$15,"오늘 TODAY","예정 OPEN")))))</f>
      </c>
      <c r="M981" s="42">
        <f>IF($A981="","",IF($I981="Y","수신거부: 문자·이메일 보내지 않기",IF(OR($E981="SMS",$E981="EMAIL"),IF(OR($H981="",$H981="NONE"),"동의 근거 없음: 전화·방문만",IF($H981="INQUIRY",IF(N($N981)=0,"견적 요청일을 못 찾음: 관련 ID에 견적 ID(Q-…)를 넣었는지 확인",IF('설정 Settings'!$C$15&gt;N($N981),"문의 후 6개월 지남: 다른 동의 근거 필요","OK: 이름·주소·연락처·수신거부 문구 넣기")),IF($H981="REFERRAL","소개 후 첫 메시지만 OK: 소개자 이름 + 이름·주소·연락처·수신거부 문구. 두 번째부터는 다른 동의 근거 필요",IF(AND($H981="REPLY",$D981&lt;&gt;"QUOTE",$D981&lt;&gt;"CALLBACK"),"문의에 대한 답장이 아님: EXPRESS 또는 INQUIRY 동의 필요","OK: 이름·주소·연락처·수신거부 문구 넣기")))),"")))</f>
      </c>
      <c r="N981" s="40">
        <f>IF($H981="INQUIRY",IFERROR(EDATE(INDEX('견적 Quotes'!$B$3:$B$1002,MATCH($C981,'견적 Quotes'!$A$3:$A$1002,0)),'설정 Settings'!$C$20),""),"")</f>
      </c>
    </row>
    <row r="982" spans="12:14" x14ac:dyDescent="0.25">
      <c r="L982" s="42">
        <f>IF($A982="","",IF($G982="Y","완료 DONE",IF($F982="","날짜 없음",IF($F982&lt;'설정 Settings'!$C$15,"지남 OVERDUE",IF($F982='설정 Settings'!$C$15,"오늘 TODAY","예정 OPEN")))))</f>
      </c>
      <c r="M982" s="42">
        <f>IF($A982="","",IF($I982="Y","수신거부: 문자·이메일 보내지 않기",IF(OR($E982="SMS",$E982="EMAIL"),IF(OR($H982="",$H982="NONE"),"동의 근거 없음: 전화·방문만",IF($H982="INQUIRY",IF(N($N982)=0,"견적 요청일을 못 찾음: 관련 ID에 견적 ID(Q-…)를 넣었는지 확인",IF('설정 Settings'!$C$15&gt;N($N982),"문의 후 6개월 지남: 다른 동의 근거 필요","OK: 이름·주소·연락처·수신거부 문구 넣기")),IF($H982="REFERRAL","소개 후 첫 메시지만 OK: 소개자 이름 + 이름·주소·연락처·수신거부 문구. 두 번째부터는 다른 동의 근거 필요",IF(AND($H982="REPLY",$D982&lt;&gt;"QUOTE",$D982&lt;&gt;"CALLBACK"),"문의에 대한 답장이 아님: EXPRESS 또는 INQUIRY 동의 필요","OK: 이름·주소·연락처·수신거부 문구 넣기")))),"")))</f>
      </c>
      <c r="N982" s="40">
        <f>IF($H982="INQUIRY",IFERROR(EDATE(INDEX('견적 Quotes'!$B$3:$B$1002,MATCH($C982,'견적 Quotes'!$A$3:$A$1002,0)),'설정 Settings'!$C$20),""),"")</f>
      </c>
    </row>
    <row r="983" spans="12:14" x14ac:dyDescent="0.25">
      <c r="L983" s="42">
        <f>IF($A983="","",IF($G983="Y","완료 DONE",IF($F983="","날짜 없음",IF($F983&lt;'설정 Settings'!$C$15,"지남 OVERDUE",IF($F983='설정 Settings'!$C$15,"오늘 TODAY","예정 OPEN")))))</f>
      </c>
      <c r="M983" s="42">
        <f>IF($A983="","",IF($I983="Y","수신거부: 문자·이메일 보내지 않기",IF(OR($E983="SMS",$E983="EMAIL"),IF(OR($H983="",$H983="NONE"),"동의 근거 없음: 전화·방문만",IF($H983="INQUIRY",IF(N($N983)=0,"견적 요청일을 못 찾음: 관련 ID에 견적 ID(Q-…)를 넣었는지 확인",IF('설정 Settings'!$C$15&gt;N($N983),"문의 후 6개월 지남: 다른 동의 근거 필요","OK: 이름·주소·연락처·수신거부 문구 넣기")),IF($H983="REFERRAL","소개 후 첫 메시지만 OK: 소개자 이름 + 이름·주소·연락처·수신거부 문구. 두 번째부터는 다른 동의 근거 필요",IF(AND($H983="REPLY",$D983&lt;&gt;"QUOTE",$D983&lt;&gt;"CALLBACK"),"문의에 대한 답장이 아님: EXPRESS 또는 INQUIRY 동의 필요","OK: 이름·주소·연락처·수신거부 문구 넣기")))),"")))</f>
      </c>
      <c r="N983" s="40">
        <f>IF($H983="INQUIRY",IFERROR(EDATE(INDEX('견적 Quotes'!$B$3:$B$1002,MATCH($C983,'견적 Quotes'!$A$3:$A$1002,0)),'설정 Settings'!$C$20),""),"")</f>
      </c>
    </row>
    <row r="984" spans="12:14" x14ac:dyDescent="0.25">
      <c r="L984" s="42">
        <f>IF($A984="","",IF($G984="Y","완료 DONE",IF($F984="","날짜 없음",IF($F984&lt;'설정 Settings'!$C$15,"지남 OVERDUE",IF($F984='설정 Settings'!$C$15,"오늘 TODAY","예정 OPEN")))))</f>
      </c>
      <c r="M984" s="42">
        <f>IF($A984="","",IF($I984="Y","수신거부: 문자·이메일 보내지 않기",IF(OR($E984="SMS",$E984="EMAIL"),IF(OR($H984="",$H984="NONE"),"동의 근거 없음: 전화·방문만",IF($H984="INQUIRY",IF(N($N984)=0,"견적 요청일을 못 찾음: 관련 ID에 견적 ID(Q-…)를 넣었는지 확인",IF('설정 Settings'!$C$15&gt;N($N984),"문의 후 6개월 지남: 다른 동의 근거 필요","OK: 이름·주소·연락처·수신거부 문구 넣기")),IF($H984="REFERRAL","소개 후 첫 메시지만 OK: 소개자 이름 + 이름·주소·연락처·수신거부 문구. 두 번째부터는 다른 동의 근거 필요",IF(AND($H984="REPLY",$D984&lt;&gt;"QUOTE",$D984&lt;&gt;"CALLBACK"),"문의에 대한 답장이 아님: EXPRESS 또는 INQUIRY 동의 필요","OK: 이름·주소·연락처·수신거부 문구 넣기")))),"")))</f>
      </c>
      <c r="N984" s="40">
        <f>IF($H984="INQUIRY",IFERROR(EDATE(INDEX('견적 Quotes'!$B$3:$B$1002,MATCH($C984,'견적 Quotes'!$A$3:$A$1002,0)),'설정 Settings'!$C$20),""),"")</f>
      </c>
    </row>
    <row r="985" spans="12:14" x14ac:dyDescent="0.25">
      <c r="L985" s="42">
        <f>IF($A985="","",IF($G985="Y","완료 DONE",IF($F985="","날짜 없음",IF($F985&lt;'설정 Settings'!$C$15,"지남 OVERDUE",IF($F985='설정 Settings'!$C$15,"오늘 TODAY","예정 OPEN")))))</f>
      </c>
      <c r="M985" s="42">
        <f>IF($A985="","",IF($I985="Y","수신거부: 문자·이메일 보내지 않기",IF(OR($E985="SMS",$E985="EMAIL"),IF(OR($H985="",$H985="NONE"),"동의 근거 없음: 전화·방문만",IF($H985="INQUIRY",IF(N($N985)=0,"견적 요청일을 못 찾음: 관련 ID에 견적 ID(Q-…)를 넣었는지 확인",IF('설정 Settings'!$C$15&gt;N($N985),"문의 후 6개월 지남: 다른 동의 근거 필요","OK: 이름·주소·연락처·수신거부 문구 넣기")),IF($H985="REFERRAL","소개 후 첫 메시지만 OK: 소개자 이름 + 이름·주소·연락처·수신거부 문구. 두 번째부터는 다른 동의 근거 필요",IF(AND($H985="REPLY",$D985&lt;&gt;"QUOTE",$D985&lt;&gt;"CALLBACK"),"문의에 대한 답장이 아님: EXPRESS 또는 INQUIRY 동의 필요","OK: 이름·주소·연락처·수신거부 문구 넣기")))),"")))</f>
      </c>
      <c r="N985" s="40">
        <f>IF($H985="INQUIRY",IFERROR(EDATE(INDEX('견적 Quotes'!$B$3:$B$1002,MATCH($C985,'견적 Quotes'!$A$3:$A$1002,0)),'설정 Settings'!$C$20),""),"")</f>
      </c>
    </row>
    <row r="986" spans="12:14" x14ac:dyDescent="0.25">
      <c r="L986" s="42">
        <f>IF($A986="","",IF($G986="Y","완료 DONE",IF($F986="","날짜 없음",IF($F986&lt;'설정 Settings'!$C$15,"지남 OVERDUE",IF($F986='설정 Settings'!$C$15,"오늘 TODAY","예정 OPEN")))))</f>
      </c>
      <c r="M986" s="42">
        <f>IF($A986="","",IF($I986="Y","수신거부: 문자·이메일 보내지 않기",IF(OR($E986="SMS",$E986="EMAIL"),IF(OR($H986="",$H986="NONE"),"동의 근거 없음: 전화·방문만",IF($H986="INQUIRY",IF(N($N986)=0,"견적 요청일을 못 찾음: 관련 ID에 견적 ID(Q-…)를 넣었는지 확인",IF('설정 Settings'!$C$15&gt;N($N986),"문의 후 6개월 지남: 다른 동의 근거 필요","OK: 이름·주소·연락처·수신거부 문구 넣기")),IF($H986="REFERRAL","소개 후 첫 메시지만 OK: 소개자 이름 + 이름·주소·연락처·수신거부 문구. 두 번째부터는 다른 동의 근거 필요",IF(AND($H986="REPLY",$D986&lt;&gt;"QUOTE",$D986&lt;&gt;"CALLBACK"),"문의에 대한 답장이 아님: EXPRESS 또는 INQUIRY 동의 필요","OK: 이름·주소·연락처·수신거부 문구 넣기")))),"")))</f>
      </c>
      <c r="N986" s="40">
        <f>IF($H986="INQUIRY",IFERROR(EDATE(INDEX('견적 Quotes'!$B$3:$B$1002,MATCH($C986,'견적 Quotes'!$A$3:$A$1002,0)),'설정 Settings'!$C$20),""),"")</f>
      </c>
    </row>
    <row r="987" spans="12:14" x14ac:dyDescent="0.25">
      <c r="L987" s="42">
        <f>IF($A987="","",IF($G987="Y","완료 DONE",IF($F987="","날짜 없음",IF($F987&lt;'설정 Settings'!$C$15,"지남 OVERDUE",IF($F987='설정 Settings'!$C$15,"오늘 TODAY","예정 OPEN")))))</f>
      </c>
      <c r="M987" s="42">
        <f>IF($A987="","",IF($I987="Y","수신거부: 문자·이메일 보내지 않기",IF(OR($E987="SMS",$E987="EMAIL"),IF(OR($H987="",$H987="NONE"),"동의 근거 없음: 전화·방문만",IF($H987="INQUIRY",IF(N($N987)=0,"견적 요청일을 못 찾음: 관련 ID에 견적 ID(Q-…)를 넣었는지 확인",IF('설정 Settings'!$C$15&gt;N($N987),"문의 후 6개월 지남: 다른 동의 근거 필요","OK: 이름·주소·연락처·수신거부 문구 넣기")),IF($H987="REFERRAL","소개 후 첫 메시지만 OK: 소개자 이름 + 이름·주소·연락처·수신거부 문구. 두 번째부터는 다른 동의 근거 필요",IF(AND($H987="REPLY",$D987&lt;&gt;"QUOTE",$D987&lt;&gt;"CALLBACK"),"문의에 대한 답장이 아님: EXPRESS 또는 INQUIRY 동의 필요","OK: 이름·주소·연락처·수신거부 문구 넣기")))),"")))</f>
      </c>
      <c r="N987" s="40">
        <f>IF($H987="INQUIRY",IFERROR(EDATE(INDEX('견적 Quotes'!$B$3:$B$1002,MATCH($C987,'견적 Quotes'!$A$3:$A$1002,0)),'설정 Settings'!$C$20),""),"")</f>
      </c>
    </row>
    <row r="988" spans="12:14" x14ac:dyDescent="0.25">
      <c r="L988" s="42">
        <f>IF($A988="","",IF($G988="Y","완료 DONE",IF($F988="","날짜 없음",IF($F988&lt;'설정 Settings'!$C$15,"지남 OVERDUE",IF($F988='설정 Settings'!$C$15,"오늘 TODAY","예정 OPEN")))))</f>
      </c>
      <c r="M988" s="42">
        <f>IF($A988="","",IF($I988="Y","수신거부: 문자·이메일 보내지 않기",IF(OR($E988="SMS",$E988="EMAIL"),IF(OR($H988="",$H988="NONE"),"동의 근거 없음: 전화·방문만",IF($H988="INQUIRY",IF(N($N988)=0,"견적 요청일을 못 찾음: 관련 ID에 견적 ID(Q-…)를 넣었는지 확인",IF('설정 Settings'!$C$15&gt;N($N988),"문의 후 6개월 지남: 다른 동의 근거 필요","OK: 이름·주소·연락처·수신거부 문구 넣기")),IF($H988="REFERRAL","소개 후 첫 메시지만 OK: 소개자 이름 + 이름·주소·연락처·수신거부 문구. 두 번째부터는 다른 동의 근거 필요",IF(AND($H988="REPLY",$D988&lt;&gt;"QUOTE",$D988&lt;&gt;"CALLBACK"),"문의에 대한 답장이 아님: EXPRESS 또는 INQUIRY 동의 필요","OK: 이름·주소·연락처·수신거부 문구 넣기")))),"")))</f>
      </c>
      <c r="N988" s="40">
        <f>IF($H988="INQUIRY",IFERROR(EDATE(INDEX('견적 Quotes'!$B$3:$B$1002,MATCH($C988,'견적 Quotes'!$A$3:$A$1002,0)),'설정 Settings'!$C$20),""),"")</f>
      </c>
    </row>
    <row r="989" spans="12:14" x14ac:dyDescent="0.25">
      <c r="L989" s="42">
        <f>IF($A989="","",IF($G989="Y","완료 DONE",IF($F989="","날짜 없음",IF($F989&lt;'설정 Settings'!$C$15,"지남 OVERDUE",IF($F989='설정 Settings'!$C$15,"오늘 TODAY","예정 OPEN")))))</f>
      </c>
      <c r="M989" s="42">
        <f>IF($A989="","",IF($I989="Y","수신거부: 문자·이메일 보내지 않기",IF(OR($E989="SMS",$E989="EMAIL"),IF(OR($H989="",$H989="NONE"),"동의 근거 없음: 전화·방문만",IF($H989="INQUIRY",IF(N($N989)=0,"견적 요청일을 못 찾음: 관련 ID에 견적 ID(Q-…)를 넣었는지 확인",IF('설정 Settings'!$C$15&gt;N($N989),"문의 후 6개월 지남: 다른 동의 근거 필요","OK: 이름·주소·연락처·수신거부 문구 넣기")),IF($H989="REFERRAL","소개 후 첫 메시지만 OK: 소개자 이름 + 이름·주소·연락처·수신거부 문구. 두 번째부터는 다른 동의 근거 필요",IF(AND($H989="REPLY",$D989&lt;&gt;"QUOTE",$D989&lt;&gt;"CALLBACK"),"문의에 대한 답장이 아님: EXPRESS 또는 INQUIRY 동의 필요","OK: 이름·주소·연락처·수신거부 문구 넣기")))),"")))</f>
      </c>
      <c r="N989" s="40">
        <f>IF($H989="INQUIRY",IFERROR(EDATE(INDEX('견적 Quotes'!$B$3:$B$1002,MATCH($C989,'견적 Quotes'!$A$3:$A$1002,0)),'설정 Settings'!$C$20),""),"")</f>
      </c>
    </row>
    <row r="990" spans="12:14" x14ac:dyDescent="0.25">
      <c r="L990" s="42">
        <f>IF($A990="","",IF($G990="Y","완료 DONE",IF($F990="","날짜 없음",IF($F990&lt;'설정 Settings'!$C$15,"지남 OVERDUE",IF($F990='설정 Settings'!$C$15,"오늘 TODAY","예정 OPEN")))))</f>
      </c>
      <c r="M990" s="42">
        <f>IF($A990="","",IF($I990="Y","수신거부: 문자·이메일 보내지 않기",IF(OR($E990="SMS",$E990="EMAIL"),IF(OR($H990="",$H990="NONE"),"동의 근거 없음: 전화·방문만",IF($H990="INQUIRY",IF(N($N990)=0,"견적 요청일을 못 찾음: 관련 ID에 견적 ID(Q-…)를 넣었는지 확인",IF('설정 Settings'!$C$15&gt;N($N990),"문의 후 6개월 지남: 다른 동의 근거 필요","OK: 이름·주소·연락처·수신거부 문구 넣기")),IF($H990="REFERRAL","소개 후 첫 메시지만 OK: 소개자 이름 + 이름·주소·연락처·수신거부 문구. 두 번째부터는 다른 동의 근거 필요",IF(AND($H990="REPLY",$D990&lt;&gt;"QUOTE",$D990&lt;&gt;"CALLBACK"),"문의에 대한 답장이 아님: EXPRESS 또는 INQUIRY 동의 필요","OK: 이름·주소·연락처·수신거부 문구 넣기")))),"")))</f>
      </c>
      <c r="N990" s="40">
        <f>IF($H990="INQUIRY",IFERROR(EDATE(INDEX('견적 Quotes'!$B$3:$B$1002,MATCH($C990,'견적 Quotes'!$A$3:$A$1002,0)),'설정 Settings'!$C$20),""),"")</f>
      </c>
    </row>
    <row r="991" spans="12:14" x14ac:dyDescent="0.25">
      <c r="L991" s="42">
        <f>IF($A991="","",IF($G991="Y","완료 DONE",IF($F991="","날짜 없음",IF($F991&lt;'설정 Settings'!$C$15,"지남 OVERDUE",IF($F991='설정 Settings'!$C$15,"오늘 TODAY","예정 OPEN")))))</f>
      </c>
      <c r="M991" s="42">
        <f>IF($A991="","",IF($I991="Y","수신거부: 문자·이메일 보내지 않기",IF(OR($E991="SMS",$E991="EMAIL"),IF(OR($H991="",$H991="NONE"),"동의 근거 없음: 전화·방문만",IF($H991="INQUIRY",IF(N($N991)=0,"견적 요청일을 못 찾음: 관련 ID에 견적 ID(Q-…)를 넣었는지 확인",IF('설정 Settings'!$C$15&gt;N($N991),"문의 후 6개월 지남: 다른 동의 근거 필요","OK: 이름·주소·연락처·수신거부 문구 넣기")),IF($H991="REFERRAL","소개 후 첫 메시지만 OK: 소개자 이름 + 이름·주소·연락처·수신거부 문구. 두 번째부터는 다른 동의 근거 필요",IF(AND($H991="REPLY",$D991&lt;&gt;"QUOTE",$D991&lt;&gt;"CALLBACK"),"문의에 대한 답장이 아님: EXPRESS 또는 INQUIRY 동의 필요","OK: 이름·주소·연락처·수신거부 문구 넣기")))),"")))</f>
      </c>
      <c r="N991" s="40">
        <f>IF($H991="INQUIRY",IFERROR(EDATE(INDEX('견적 Quotes'!$B$3:$B$1002,MATCH($C991,'견적 Quotes'!$A$3:$A$1002,0)),'설정 Settings'!$C$20),""),"")</f>
      </c>
    </row>
    <row r="992" spans="12:14" x14ac:dyDescent="0.25">
      <c r="L992" s="42">
        <f>IF($A992="","",IF($G992="Y","완료 DONE",IF($F992="","날짜 없음",IF($F992&lt;'설정 Settings'!$C$15,"지남 OVERDUE",IF($F992='설정 Settings'!$C$15,"오늘 TODAY","예정 OPEN")))))</f>
      </c>
      <c r="M992" s="42">
        <f>IF($A992="","",IF($I992="Y","수신거부: 문자·이메일 보내지 않기",IF(OR($E992="SMS",$E992="EMAIL"),IF(OR($H992="",$H992="NONE"),"동의 근거 없음: 전화·방문만",IF($H992="INQUIRY",IF(N($N992)=0,"견적 요청일을 못 찾음: 관련 ID에 견적 ID(Q-…)를 넣었는지 확인",IF('설정 Settings'!$C$15&gt;N($N992),"문의 후 6개월 지남: 다른 동의 근거 필요","OK: 이름·주소·연락처·수신거부 문구 넣기")),IF($H992="REFERRAL","소개 후 첫 메시지만 OK: 소개자 이름 + 이름·주소·연락처·수신거부 문구. 두 번째부터는 다른 동의 근거 필요",IF(AND($H992="REPLY",$D992&lt;&gt;"QUOTE",$D992&lt;&gt;"CALLBACK"),"문의에 대한 답장이 아님: EXPRESS 또는 INQUIRY 동의 필요","OK: 이름·주소·연락처·수신거부 문구 넣기")))),"")))</f>
      </c>
      <c r="N992" s="40">
        <f>IF($H992="INQUIRY",IFERROR(EDATE(INDEX('견적 Quotes'!$B$3:$B$1002,MATCH($C992,'견적 Quotes'!$A$3:$A$1002,0)),'설정 Settings'!$C$20),""),"")</f>
      </c>
    </row>
    <row r="993" spans="12:14" x14ac:dyDescent="0.25">
      <c r="L993" s="42">
        <f>IF($A993="","",IF($G993="Y","완료 DONE",IF($F993="","날짜 없음",IF($F993&lt;'설정 Settings'!$C$15,"지남 OVERDUE",IF($F993='설정 Settings'!$C$15,"오늘 TODAY","예정 OPEN")))))</f>
      </c>
      <c r="M993" s="42">
        <f>IF($A993="","",IF($I993="Y","수신거부: 문자·이메일 보내지 않기",IF(OR($E993="SMS",$E993="EMAIL"),IF(OR($H993="",$H993="NONE"),"동의 근거 없음: 전화·방문만",IF($H993="INQUIRY",IF(N($N993)=0,"견적 요청일을 못 찾음: 관련 ID에 견적 ID(Q-…)를 넣었는지 확인",IF('설정 Settings'!$C$15&gt;N($N993),"문의 후 6개월 지남: 다른 동의 근거 필요","OK: 이름·주소·연락처·수신거부 문구 넣기")),IF($H993="REFERRAL","소개 후 첫 메시지만 OK: 소개자 이름 + 이름·주소·연락처·수신거부 문구. 두 번째부터는 다른 동의 근거 필요",IF(AND($H993="REPLY",$D993&lt;&gt;"QUOTE",$D993&lt;&gt;"CALLBACK"),"문의에 대한 답장이 아님: EXPRESS 또는 INQUIRY 동의 필요","OK: 이름·주소·연락처·수신거부 문구 넣기")))),"")))</f>
      </c>
      <c r="N993" s="40">
        <f>IF($H993="INQUIRY",IFERROR(EDATE(INDEX('견적 Quotes'!$B$3:$B$1002,MATCH($C993,'견적 Quotes'!$A$3:$A$1002,0)),'설정 Settings'!$C$20),""),"")</f>
      </c>
    </row>
    <row r="994" spans="12:14" x14ac:dyDescent="0.25">
      <c r="L994" s="42">
        <f>IF($A994="","",IF($G994="Y","완료 DONE",IF($F994="","날짜 없음",IF($F994&lt;'설정 Settings'!$C$15,"지남 OVERDUE",IF($F994='설정 Settings'!$C$15,"오늘 TODAY","예정 OPEN")))))</f>
      </c>
      <c r="M994" s="42">
        <f>IF($A994="","",IF($I994="Y","수신거부: 문자·이메일 보내지 않기",IF(OR($E994="SMS",$E994="EMAIL"),IF(OR($H994="",$H994="NONE"),"동의 근거 없음: 전화·방문만",IF($H994="INQUIRY",IF(N($N994)=0,"견적 요청일을 못 찾음: 관련 ID에 견적 ID(Q-…)를 넣었는지 확인",IF('설정 Settings'!$C$15&gt;N($N994),"문의 후 6개월 지남: 다른 동의 근거 필요","OK: 이름·주소·연락처·수신거부 문구 넣기")),IF($H994="REFERRAL","소개 후 첫 메시지만 OK: 소개자 이름 + 이름·주소·연락처·수신거부 문구. 두 번째부터는 다른 동의 근거 필요",IF(AND($H994="REPLY",$D994&lt;&gt;"QUOTE",$D994&lt;&gt;"CALLBACK"),"문의에 대한 답장이 아님: EXPRESS 또는 INQUIRY 동의 필요","OK: 이름·주소·연락처·수신거부 문구 넣기")))),"")))</f>
      </c>
      <c r="N994" s="40">
        <f>IF($H994="INQUIRY",IFERROR(EDATE(INDEX('견적 Quotes'!$B$3:$B$1002,MATCH($C994,'견적 Quotes'!$A$3:$A$1002,0)),'설정 Settings'!$C$20),""),"")</f>
      </c>
    </row>
    <row r="995" spans="12:14" x14ac:dyDescent="0.25">
      <c r="L995" s="42">
        <f>IF($A995="","",IF($G995="Y","완료 DONE",IF($F995="","날짜 없음",IF($F995&lt;'설정 Settings'!$C$15,"지남 OVERDUE",IF($F995='설정 Settings'!$C$15,"오늘 TODAY","예정 OPEN")))))</f>
      </c>
      <c r="M995" s="42">
        <f>IF($A995="","",IF($I995="Y","수신거부: 문자·이메일 보내지 않기",IF(OR($E995="SMS",$E995="EMAIL"),IF(OR($H995="",$H995="NONE"),"동의 근거 없음: 전화·방문만",IF($H995="INQUIRY",IF(N($N995)=0,"견적 요청일을 못 찾음: 관련 ID에 견적 ID(Q-…)를 넣었는지 확인",IF('설정 Settings'!$C$15&gt;N($N995),"문의 후 6개월 지남: 다른 동의 근거 필요","OK: 이름·주소·연락처·수신거부 문구 넣기")),IF($H995="REFERRAL","소개 후 첫 메시지만 OK: 소개자 이름 + 이름·주소·연락처·수신거부 문구. 두 번째부터는 다른 동의 근거 필요",IF(AND($H995="REPLY",$D995&lt;&gt;"QUOTE",$D995&lt;&gt;"CALLBACK"),"문의에 대한 답장이 아님: EXPRESS 또는 INQUIRY 동의 필요","OK: 이름·주소·연락처·수신거부 문구 넣기")))),"")))</f>
      </c>
      <c r="N995" s="40">
        <f>IF($H995="INQUIRY",IFERROR(EDATE(INDEX('견적 Quotes'!$B$3:$B$1002,MATCH($C995,'견적 Quotes'!$A$3:$A$1002,0)),'설정 Settings'!$C$20),""),"")</f>
      </c>
    </row>
    <row r="996" spans="12:14" x14ac:dyDescent="0.25">
      <c r="L996" s="42">
        <f>IF($A996="","",IF($G996="Y","완료 DONE",IF($F996="","날짜 없음",IF($F996&lt;'설정 Settings'!$C$15,"지남 OVERDUE",IF($F996='설정 Settings'!$C$15,"오늘 TODAY","예정 OPEN")))))</f>
      </c>
      <c r="M996" s="42">
        <f>IF($A996="","",IF($I996="Y","수신거부: 문자·이메일 보내지 않기",IF(OR($E996="SMS",$E996="EMAIL"),IF(OR($H996="",$H996="NONE"),"동의 근거 없음: 전화·방문만",IF($H996="INQUIRY",IF(N($N996)=0,"견적 요청일을 못 찾음: 관련 ID에 견적 ID(Q-…)를 넣었는지 확인",IF('설정 Settings'!$C$15&gt;N($N996),"문의 후 6개월 지남: 다른 동의 근거 필요","OK: 이름·주소·연락처·수신거부 문구 넣기")),IF($H996="REFERRAL","소개 후 첫 메시지만 OK: 소개자 이름 + 이름·주소·연락처·수신거부 문구. 두 번째부터는 다른 동의 근거 필요",IF(AND($H996="REPLY",$D996&lt;&gt;"QUOTE",$D996&lt;&gt;"CALLBACK"),"문의에 대한 답장이 아님: EXPRESS 또는 INQUIRY 동의 필요","OK: 이름·주소·연락처·수신거부 문구 넣기")))),"")))</f>
      </c>
      <c r="N996" s="40">
        <f>IF($H996="INQUIRY",IFERROR(EDATE(INDEX('견적 Quotes'!$B$3:$B$1002,MATCH($C996,'견적 Quotes'!$A$3:$A$1002,0)),'설정 Settings'!$C$20),""),"")</f>
      </c>
    </row>
    <row r="997" spans="12:14" x14ac:dyDescent="0.25">
      <c r="L997" s="42">
        <f>IF($A997="","",IF($G997="Y","완료 DONE",IF($F997="","날짜 없음",IF($F997&lt;'설정 Settings'!$C$15,"지남 OVERDUE",IF($F997='설정 Settings'!$C$15,"오늘 TODAY","예정 OPEN")))))</f>
      </c>
      <c r="M997" s="42">
        <f>IF($A997="","",IF($I997="Y","수신거부: 문자·이메일 보내지 않기",IF(OR($E997="SMS",$E997="EMAIL"),IF(OR($H997="",$H997="NONE"),"동의 근거 없음: 전화·방문만",IF($H997="INQUIRY",IF(N($N997)=0,"견적 요청일을 못 찾음: 관련 ID에 견적 ID(Q-…)를 넣었는지 확인",IF('설정 Settings'!$C$15&gt;N($N997),"문의 후 6개월 지남: 다른 동의 근거 필요","OK: 이름·주소·연락처·수신거부 문구 넣기")),IF($H997="REFERRAL","소개 후 첫 메시지만 OK: 소개자 이름 + 이름·주소·연락처·수신거부 문구. 두 번째부터는 다른 동의 근거 필요",IF(AND($H997="REPLY",$D997&lt;&gt;"QUOTE",$D997&lt;&gt;"CALLBACK"),"문의에 대한 답장이 아님: EXPRESS 또는 INQUIRY 동의 필요","OK: 이름·주소·연락처·수신거부 문구 넣기")))),"")))</f>
      </c>
      <c r="N997" s="40">
        <f>IF($H997="INQUIRY",IFERROR(EDATE(INDEX('견적 Quotes'!$B$3:$B$1002,MATCH($C997,'견적 Quotes'!$A$3:$A$1002,0)),'설정 Settings'!$C$20),""),"")</f>
      </c>
    </row>
    <row r="998" spans="12:14" x14ac:dyDescent="0.25">
      <c r="L998" s="42">
        <f>IF($A998="","",IF($G998="Y","완료 DONE",IF($F998="","날짜 없음",IF($F998&lt;'설정 Settings'!$C$15,"지남 OVERDUE",IF($F998='설정 Settings'!$C$15,"오늘 TODAY","예정 OPEN")))))</f>
      </c>
      <c r="M998" s="42">
        <f>IF($A998="","",IF($I998="Y","수신거부: 문자·이메일 보내지 않기",IF(OR($E998="SMS",$E998="EMAIL"),IF(OR($H998="",$H998="NONE"),"동의 근거 없음: 전화·방문만",IF($H998="INQUIRY",IF(N($N998)=0,"견적 요청일을 못 찾음: 관련 ID에 견적 ID(Q-…)를 넣었는지 확인",IF('설정 Settings'!$C$15&gt;N($N998),"문의 후 6개월 지남: 다른 동의 근거 필요","OK: 이름·주소·연락처·수신거부 문구 넣기")),IF($H998="REFERRAL","소개 후 첫 메시지만 OK: 소개자 이름 + 이름·주소·연락처·수신거부 문구. 두 번째부터는 다른 동의 근거 필요",IF(AND($H998="REPLY",$D998&lt;&gt;"QUOTE",$D998&lt;&gt;"CALLBACK"),"문의에 대한 답장이 아님: EXPRESS 또는 INQUIRY 동의 필요","OK: 이름·주소·연락처·수신거부 문구 넣기")))),"")))</f>
      </c>
      <c r="N998" s="40">
        <f>IF($H998="INQUIRY",IFERROR(EDATE(INDEX('견적 Quotes'!$B$3:$B$1002,MATCH($C998,'견적 Quotes'!$A$3:$A$1002,0)),'설정 Settings'!$C$20),""),"")</f>
      </c>
    </row>
    <row r="999" spans="12:14" x14ac:dyDescent="0.25">
      <c r="L999" s="42">
        <f>IF($A999="","",IF($G999="Y","완료 DONE",IF($F999="","날짜 없음",IF($F999&lt;'설정 Settings'!$C$15,"지남 OVERDUE",IF($F999='설정 Settings'!$C$15,"오늘 TODAY","예정 OPEN")))))</f>
      </c>
      <c r="M999" s="42">
        <f>IF($A999="","",IF($I999="Y","수신거부: 문자·이메일 보내지 않기",IF(OR($E999="SMS",$E999="EMAIL"),IF(OR($H999="",$H999="NONE"),"동의 근거 없음: 전화·방문만",IF($H999="INQUIRY",IF(N($N999)=0,"견적 요청일을 못 찾음: 관련 ID에 견적 ID(Q-…)를 넣었는지 확인",IF('설정 Settings'!$C$15&gt;N($N999),"문의 후 6개월 지남: 다른 동의 근거 필요","OK: 이름·주소·연락처·수신거부 문구 넣기")),IF($H999="REFERRAL","소개 후 첫 메시지만 OK: 소개자 이름 + 이름·주소·연락처·수신거부 문구. 두 번째부터는 다른 동의 근거 필요",IF(AND($H999="REPLY",$D999&lt;&gt;"QUOTE",$D999&lt;&gt;"CALLBACK"),"문의에 대한 답장이 아님: EXPRESS 또는 INQUIRY 동의 필요","OK: 이름·주소·연락처·수신거부 문구 넣기")))),"")))</f>
      </c>
      <c r="N999" s="40">
        <f>IF($H999="INQUIRY",IFERROR(EDATE(INDEX('견적 Quotes'!$B$3:$B$1002,MATCH($C999,'견적 Quotes'!$A$3:$A$1002,0)),'설정 Settings'!$C$20),""),"")</f>
      </c>
    </row>
    <row r="1000" spans="12:14" x14ac:dyDescent="0.25">
      <c r="L1000" s="42">
        <f>IF($A1000="","",IF($G1000="Y","완료 DONE",IF($F1000="","날짜 없음",IF($F1000&lt;'설정 Settings'!$C$15,"지남 OVERDUE",IF($F1000='설정 Settings'!$C$15,"오늘 TODAY","예정 OPEN")))))</f>
      </c>
      <c r="M1000" s="42">
        <f>IF($A1000="","",IF($I1000="Y","수신거부: 문자·이메일 보내지 않기",IF(OR($E1000="SMS",$E1000="EMAIL"),IF(OR($H1000="",$H1000="NONE"),"동의 근거 없음: 전화·방문만",IF($H1000="INQUIRY",IF(N($N1000)=0,"견적 요청일을 못 찾음: 관련 ID에 견적 ID(Q-…)를 넣었는지 확인",IF('설정 Settings'!$C$15&gt;N($N1000),"문의 후 6개월 지남: 다른 동의 근거 필요","OK: 이름·주소·연락처·수신거부 문구 넣기")),IF($H1000="REFERRAL","소개 후 첫 메시지만 OK: 소개자 이름 + 이름·주소·연락처·수신거부 문구. 두 번째부터는 다른 동의 근거 필요",IF(AND($H1000="REPLY",$D1000&lt;&gt;"QUOTE",$D1000&lt;&gt;"CALLBACK"),"문의에 대한 답장이 아님: EXPRESS 또는 INQUIRY 동의 필요","OK: 이름·주소·연락처·수신거부 문구 넣기")))),"")))</f>
      </c>
      <c r="N1000" s="40">
        <f>IF($H1000="INQUIRY",IFERROR(EDATE(INDEX('견적 Quotes'!$B$3:$B$1002,MATCH($C1000,'견적 Quotes'!$A$3:$A$1002,0)),'설정 Settings'!$C$20),""),"")</f>
      </c>
    </row>
    <row r="1001" spans="12:14" x14ac:dyDescent="0.25">
      <c r="L1001" s="42">
        <f>IF($A1001="","",IF($G1001="Y","완료 DONE",IF($F1001="","날짜 없음",IF($F1001&lt;'설정 Settings'!$C$15,"지남 OVERDUE",IF($F1001='설정 Settings'!$C$15,"오늘 TODAY","예정 OPEN")))))</f>
      </c>
      <c r="M1001" s="42">
        <f>IF($A1001="","",IF($I1001="Y","수신거부: 문자·이메일 보내지 않기",IF(OR($E1001="SMS",$E1001="EMAIL"),IF(OR($H1001="",$H1001="NONE"),"동의 근거 없음: 전화·방문만",IF($H1001="INQUIRY",IF(N($N1001)=0,"견적 요청일을 못 찾음: 관련 ID에 견적 ID(Q-…)를 넣었는지 확인",IF('설정 Settings'!$C$15&gt;N($N1001),"문의 후 6개월 지남: 다른 동의 근거 필요","OK: 이름·주소·연락처·수신거부 문구 넣기")),IF($H1001="REFERRAL","소개 후 첫 메시지만 OK: 소개자 이름 + 이름·주소·연락처·수신거부 문구. 두 번째부터는 다른 동의 근거 필요",IF(AND($H1001="REPLY",$D1001&lt;&gt;"QUOTE",$D1001&lt;&gt;"CALLBACK"),"문의에 대한 답장이 아님: EXPRESS 또는 INQUIRY 동의 필요","OK: 이름·주소·연락처·수신거부 문구 넣기")))),"")))</f>
      </c>
      <c r="N1001" s="40">
        <f>IF($H1001="INQUIRY",IFERROR(EDATE(INDEX('견적 Quotes'!$B$3:$B$1002,MATCH($C1001,'견적 Quotes'!$A$3:$A$1002,0)),'설정 Settings'!$C$20),""),"")</f>
      </c>
    </row>
    <row r="1002" spans="12:14" x14ac:dyDescent="0.25">
      <c r="L1002" s="42">
        <f>IF($A1002="","",IF($G1002="Y","완료 DONE",IF($F1002="","날짜 없음",IF($F1002&lt;'설정 Settings'!$C$15,"지남 OVERDUE",IF($F1002='설정 Settings'!$C$15,"오늘 TODAY","예정 OPEN")))))</f>
      </c>
      <c r="M1002" s="42">
        <f>IF($A1002="","",IF($I1002="Y","수신거부: 문자·이메일 보내지 않기",IF(OR($E1002="SMS",$E1002="EMAIL"),IF(OR($H1002="",$H1002="NONE"),"동의 근거 없음: 전화·방문만",IF($H1002="INQUIRY",IF(N($N1002)=0,"견적 요청일을 못 찾음: 관련 ID에 견적 ID(Q-…)를 넣었는지 확인",IF('설정 Settings'!$C$15&gt;N($N1002),"문의 후 6개월 지남: 다른 동의 근거 필요","OK: 이름·주소·연락처·수신거부 문구 넣기")),IF($H1002="REFERRAL","소개 후 첫 메시지만 OK: 소개자 이름 + 이름·주소·연락처·수신거부 문구. 두 번째부터는 다른 동의 근거 필요",IF(AND($H1002="REPLY",$D1002&lt;&gt;"QUOTE",$D1002&lt;&gt;"CALLBACK"),"문의에 대한 답장이 아님: EXPRESS 또는 INQUIRY 동의 필요","OK: 이름·주소·연락처·수신거부 문구 넣기")))),"")))</f>
      </c>
      <c r="N1002" s="40">
        <f>IF($H1002="INQUIRY",IFERROR(EDATE(INDEX('견적 Quotes'!$B$3:$B$1002,MATCH($C1002,'견적 Quotes'!$A$3:$A$1002,0)),'설정 Settings'!$C$20),""),"")</f>
      </c>
    </row>
  </sheetData>
  <dataValidations count="5">
    <dataValidation type="list" allowBlank="1" showErrorMessage="1" errorStyle="stop" errorTitle="목록에서 고르세요 / Pick from the list" error="허용 / allowed: QUOTE,CALLBACK,RECURRING,REFERRAL,REVIEW,SNOW,OTHER" sqref="D3:D1002">
      <formula1>"QUOTE,CALLBACK,RECURRING,REFERRAL,REVIEW,SNOW,OTHER"</formula1>
    </dataValidation>
    <dataValidation type="list" allowBlank="1" showErrorMessage="1" errorStyle="stop" errorTitle="목록에서 고르세요 / Pick from the list" error="허용 / allowed: PHONE,SMS,EMAIL,DOOR,IN-PERSON" sqref="E3:E1002">
      <formula1>"PHONE,SMS,EMAIL,DOOR,IN-PERSON"</formula1>
    </dataValidation>
    <dataValidation type="list" allowBlank="1" showErrorMessage="1" errorStyle="stop" errorTitle="목록에서 고르세요 / Pick from the list" error="허용 / allowed: Y,N" sqref="G3:G1002">
      <formula1>"Y,N"</formula1>
    </dataValidation>
    <dataValidation type="list" allowBlank="1" showErrorMessage="1" errorStyle="stop" errorTitle="목록에서 고르세요 / Pick from the list" error="허용 / allowed: EXPRESS,INQUIRY,REPLY,REFERRAL,NONE" sqref="H3:H1002">
      <formula1>"EXPRESS,INQUIRY,REPLY,REFERRAL,NONE"</formula1>
    </dataValidation>
    <dataValidation type="list" allowBlank="1" showErrorMessage="1" errorStyle="stop" errorTitle="목록에서 고르세요 / Pick from the list" error="허용 / allowed: Y,N" sqref="I3:I1002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I6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  <col min="3" max="3" width="30" customWidth="1"/>
    <col min="4" max="6" width="12" customWidth="1"/>
    <col min="7" max="7" width="22" customWidth="1"/>
    <col min="8" max="8" width="28" customWidth="1"/>
    <col min="9" max="9" width="64" customWidth="1"/>
  </cols>
  <sheetData>
    <row r="1" ht="24" customHeight="1" spans="1:9" x14ac:dyDescent="0.25">
      <c r="A1" s="43">
        <f>"지표 Dashboard — 기준일 "&amp;YEAR('설정 Settings'!$C$15)&amp;"-"&amp;TEXT(MONTH('설정 Settings'!$C$15),"00")&amp;"-"&amp;TEXT(DAY('설정 Settings'!$C$15),"00")</f>
      </c>
      <c r="B1" s="43"/>
      <c r="C1" s="43"/>
      <c r="D1" s="43"/>
      <c r="E1" s="43"/>
      <c r="F1" s="43"/>
      <c r="G1" s="43"/>
      <c r="H1" s="43"/>
      <c r="I1" s="43"/>
    </row>
    <row r="2" ht="30" customHeight="1" spans="1:9" x14ac:dyDescent="0.25">
      <c r="A2" s="2" t="s">
        <v>576</v>
      </c>
      <c r="B2" s="2"/>
      <c r="C2" s="2"/>
      <c r="D2" s="2"/>
      <c r="E2" s="2"/>
      <c r="F2" s="2"/>
      <c r="G2" s="2"/>
      <c r="H2" s="2"/>
      <c r="I2" s="2"/>
    </row>
    <row r="4" ht="20" customHeight="1" spans="1:9" x14ac:dyDescent="0.25">
      <c r="A4" s="4" t="s">
        <v>577</v>
      </c>
      <c r="B4" s="4"/>
      <c r="C4" s="4"/>
      <c r="D4" s="4"/>
      <c r="E4" s="4"/>
      <c r="F4" s="4"/>
      <c r="G4" s="4"/>
      <c r="H4" s="4"/>
      <c r="I4" s="4"/>
    </row>
    <row r="5" spans="1:9" x14ac:dyDescent="0.25">
      <c r="A5" s="5" t="s">
        <v>578</v>
      </c>
      <c r="B5" s="44">
        <f>COUNTIFS('문 두드리기 Doors'!$E$3:$E$10002,"NA")+COUNTIFS('문 두드리기 Doors'!$E$3:$E$10002,"NI")+COUNTIFS('문 두드리기 Doors'!$E$3:$E$10002,"Q")+COUNTIFS('문 두드리기 Doors'!$E$3:$E$10002,"B")+COUNTIFS('문 두드리기 Doors'!$E$3:$E$10002,"CB")</f>
      </c>
      <c r="C5" s="44"/>
      <c r="D5" s="45" t="s">
        <v>579</v>
      </c>
      <c r="E5" s="45"/>
      <c r="F5" s="45"/>
      <c r="G5" s="45"/>
      <c r="H5" s="45"/>
      <c r="I5" s="45"/>
    </row>
    <row r="6" spans="1:9" x14ac:dyDescent="0.25">
      <c r="A6" s="5" t="s">
        <v>580</v>
      </c>
      <c r="B6" s="44">
        <f>COUNTIFS('문 두드리기 Doors'!$E$3:$E$10002,"NI")+COUNTIFS('문 두드리기 Doors'!$E$3:$E$10002,"Q")+COUNTIFS('문 두드리기 Doors'!$E$3:$E$10002,"B")+COUNTIFS('문 두드리기 Doors'!$E$3:$E$10002,"CB")</f>
      </c>
      <c r="C6" s="44"/>
      <c r="D6" s="45" t="s">
        <v>581</v>
      </c>
      <c r="E6" s="45"/>
      <c r="F6" s="45"/>
      <c r="G6" s="45"/>
      <c r="H6" s="45"/>
      <c r="I6" s="45"/>
    </row>
    <row r="7" spans="1:9" x14ac:dyDescent="0.25">
      <c r="A7" s="5" t="s">
        <v>582</v>
      </c>
      <c r="B7" s="44">
        <f>COUNTIFS('문 두드리기 Doors'!$E$3:$E$10002,"Q")+COUNTIFS('문 두드리기 Doors'!$E$3:$E$10002,"B")</f>
      </c>
      <c r="C7" s="44"/>
      <c r="D7" s="45" t="s">
        <v>583</v>
      </c>
      <c r="E7" s="45"/>
      <c r="F7" s="45"/>
      <c r="G7" s="45"/>
      <c r="H7" s="45"/>
      <c r="I7" s="45"/>
    </row>
    <row r="8" spans="1:9" x14ac:dyDescent="0.25">
      <c r="A8" s="5" t="s">
        <v>584</v>
      </c>
      <c r="B8" s="44">
        <f>COUNTIFS('문 두드리기 Doors'!$E$3:$E$10002,"NS")</f>
      </c>
      <c r="C8" s="44"/>
      <c r="D8" s="45" t="s">
        <v>585</v>
      </c>
      <c r="E8" s="45"/>
      <c r="F8" s="45"/>
      <c r="G8" s="45"/>
      <c r="H8" s="45"/>
      <c r="I8" s="45"/>
    </row>
    <row r="9" spans="1:9" x14ac:dyDescent="0.25">
      <c r="A9" s="5" t="s">
        <v>586</v>
      </c>
      <c r="B9" s="44">
        <f>COUNTIFS('견적 Quotes'!$C$3:$C$1002,"DOOR")</f>
      </c>
      <c r="C9" s="44"/>
      <c r="D9" s="45" t="s">
        <v>587</v>
      </c>
      <c r="E9" s="45"/>
      <c r="F9" s="45"/>
      <c r="G9" s="45"/>
      <c r="H9" s="45"/>
      <c r="I9" s="45"/>
    </row>
    <row r="10" spans="1:9" x14ac:dyDescent="0.25">
      <c r="A10" s="5" t="s">
        <v>588</v>
      </c>
      <c r="B10" s="44">
        <f>COUNTIFS('견적 Quotes'!$C$3:$C$1002,"DOOR",'견적 Quotes'!$I$3:$I$1002,"WON")</f>
      </c>
      <c r="C10" s="44"/>
      <c r="D10" s="45" t="s">
        <v>12</v>
      </c>
      <c r="E10" s="45"/>
      <c r="F10" s="45"/>
      <c r="G10" s="45"/>
      <c r="H10" s="45"/>
      <c r="I10" s="45"/>
    </row>
    <row r="11" spans="1:9" x14ac:dyDescent="0.25">
      <c r="A11" s="5" t="s">
        <v>589</v>
      </c>
      <c r="B11" s="44">
        <f>COUNTIFS('작업 Jobs'!$G$3:$G$1002,"DOOR")</f>
      </c>
      <c r="C11" s="44"/>
      <c r="D11" s="45" t="s">
        <v>12</v>
      </c>
      <c r="E11" s="45"/>
      <c r="F11" s="45"/>
      <c r="G11" s="45"/>
      <c r="H11" s="45"/>
      <c r="I11" s="45"/>
    </row>
    <row r="12" spans="1:9" x14ac:dyDescent="0.25">
      <c r="A12" s="5" t="s">
        <v>590</v>
      </c>
      <c r="B12" s="44">
        <f>COUNT('작업 Jobs'!$C$3:$C$1002)</f>
      </c>
      <c r="C12" s="44"/>
      <c r="D12" s="45" t="s">
        <v>12</v>
      </c>
      <c r="E12" s="45"/>
      <c r="F12" s="45"/>
      <c r="G12" s="45"/>
      <c r="H12" s="45"/>
      <c r="I12" s="45"/>
    </row>
    <row r="14" ht="20" customHeight="1" spans="1:9" x14ac:dyDescent="0.25">
      <c r="A14" s="4" t="s">
        <v>591</v>
      </c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20" t="s">
        <v>592</v>
      </c>
      <c r="B15" s="20" t="s">
        <v>593</v>
      </c>
      <c r="C15" s="20" t="s">
        <v>594</v>
      </c>
      <c r="D15" s="20" t="s">
        <v>595</v>
      </c>
      <c r="E15" s="20" t="s">
        <v>596</v>
      </c>
      <c r="F15" s="20" t="s">
        <v>597</v>
      </c>
      <c r="G15" s="20"/>
      <c r="H15" s="20"/>
      <c r="I15" s="20"/>
    </row>
    <row r="16" spans="1:9" x14ac:dyDescent="0.25">
      <c r="A16" s="5" t="s">
        <v>598</v>
      </c>
      <c r="B16" s="22">
        <f>IFERROR($B$6/$B$5,0)</f>
      </c>
      <c r="C16" s="12">
        <f>$B$5</f>
      </c>
      <c r="D16" s="22">
        <f>'설정 Settings'!$C$49</f>
      </c>
      <c r="E16" s="46">
        <f>IF(AND($B$5&gt;='설정 Settings'!$C$52,$B$16&gt;0),$B$16,$D$16)</f>
      </c>
      <c r="F16" s="25" t="s">
        <v>599</v>
      </c>
      <c r="G16" s="25"/>
      <c r="H16" s="25"/>
      <c r="I16" s="25"/>
    </row>
    <row r="17" spans="1:9" x14ac:dyDescent="0.25">
      <c r="A17" s="5" t="s">
        <v>600</v>
      </c>
      <c r="B17" s="22">
        <f>IFERROR($B$7/$B$6,0)</f>
      </c>
      <c r="C17" s="12">
        <f>$B$6</f>
      </c>
      <c r="D17" s="22">
        <f>'설정 Settings'!$C$50</f>
      </c>
      <c r="E17" s="46">
        <f>IF(AND($B$5&gt;='설정 Settings'!$C$52,$B$17&gt;0),$B$17,$D$17)</f>
      </c>
      <c r="F17" s="25" t="s">
        <v>601</v>
      </c>
      <c r="G17" s="25"/>
      <c r="H17" s="25"/>
      <c r="I17" s="25"/>
    </row>
    <row r="18" spans="1:9" x14ac:dyDescent="0.25">
      <c r="A18" s="5" t="s">
        <v>602</v>
      </c>
      <c r="B18" s="22">
        <f>IFERROR($B$10/$B$9,0)</f>
      </c>
      <c r="C18" s="12">
        <f>$B$9</f>
      </c>
      <c r="D18" s="22">
        <f>'설정 Settings'!$C$51</f>
      </c>
      <c r="E18" s="46">
        <f>IF(AND($B$5&gt;='설정 Settings'!$C$52,$B$18&gt;0),$B$18,$D$18)</f>
      </c>
      <c r="F18" s="25" t="s">
        <v>603</v>
      </c>
      <c r="G18" s="25"/>
      <c r="H18" s="25"/>
      <c r="I18" s="25"/>
    </row>
    <row r="19" spans="1:9" x14ac:dyDescent="0.25">
      <c r="A19" s="5" t="s">
        <v>604</v>
      </c>
      <c r="B19" s="22">
        <f>IFERROR($B$10/$B$5,0)</f>
      </c>
      <c r="C19" s="12">
        <f>$B$5</f>
      </c>
      <c r="D19" s="22">
        <f>$D$16*$D$17*$D$18</f>
      </c>
      <c r="E19" s="46">
        <f>$E$16*$E$17*$E$18</f>
      </c>
      <c r="F19" s="25" t="s">
        <v>605</v>
      </c>
      <c r="G19" s="25"/>
      <c r="H19" s="25"/>
      <c r="I19" s="25"/>
    </row>
    <row r="20" spans="1:9" x14ac:dyDescent="0.25">
      <c r="A20" s="5" t="s">
        <v>606</v>
      </c>
      <c r="B20" s="47">
        <f>IFERROR($B$5/$B$10,0)</f>
      </c>
      <c r="C20" s="12">
        <f>$B$10</f>
      </c>
      <c r="D20" s="47">
        <f>IFERROR(1/$D$19,0)</f>
      </c>
      <c r="E20" s="48">
        <f>IFERROR(1/$E$19,0)</f>
      </c>
      <c r="F20" s="25" t="s">
        <v>607</v>
      </c>
      <c r="G20" s="25"/>
      <c r="H20" s="25"/>
      <c r="I20" s="25"/>
    </row>
    <row r="21" spans="1:9" x14ac:dyDescent="0.25">
      <c r="A21" s="5" t="s">
        <v>608</v>
      </c>
      <c r="B21" s="47">
        <f>IFERROR($B$5/$B$11,0)</f>
      </c>
      <c r="C21" s="12">
        <f>$B$11</f>
      </c>
      <c r="D21" s="22"/>
      <c r="E21" s="46"/>
      <c r="F21" s="25" t="s">
        <v>609</v>
      </c>
      <c r="G21" s="25"/>
      <c r="H21" s="25"/>
      <c r="I21" s="25"/>
    </row>
    <row r="22" spans="1:5" x14ac:dyDescent="0.25">
      <c r="A22" s="5" t="s">
        <v>610</v>
      </c>
      <c r="B22" s="10">
        <f>IF($B$5&gt;='설정 Settings'!$C$52,"측정값 사용 (시도 "&amp;$B$5&amp;"회)","가정 사용 — 시도 "&amp;$B$5&amp;"/"&amp;'설정 Settings'!$C$52)</f>
      </c>
      <c r="C22" s="10"/>
      <c r="D22" s="10"/>
      <c r="E22" s="10"/>
    </row>
    <row r="24" ht="20" customHeight="1" spans="1:9" x14ac:dyDescent="0.25">
      <c r="A24" s="4" t="s">
        <v>611</v>
      </c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5" t="s">
        <v>612</v>
      </c>
      <c r="B25" s="49">
        <f>'설정 Settings'!$C$53</f>
      </c>
      <c r="C25" s="49"/>
      <c r="D25" s="45" t="s">
        <v>613</v>
      </c>
      <c r="E25" s="45"/>
      <c r="F25" s="45"/>
      <c r="G25" s="45"/>
      <c r="H25" s="45"/>
      <c r="I25" s="45"/>
    </row>
    <row r="26" spans="1:9" x14ac:dyDescent="0.25">
      <c r="A26" s="5" t="s">
        <v>614</v>
      </c>
      <c r="B26" s="50">
        <f>'설정 Settings'!$C$55</f>
      </c>
      <c r="C26" s="50"/>
      <c r="D26" s="45" t="s">
        <v>615</v>
      </c>
      <c r="E26" s="45"/>
      <c r="F26" s="45"/>
      <c r="G26" s="45"/>
      <c r="H26" s="45"/>
      <c r="I26" s="45"/>
    </row>
    <row r="27" spans="1:9" x14ac:dyDescent="0.25">
      <c r="A27" s="21" t="s">
        <v>616</v>
      </c>
      <c r="B27" s="51">
        <f>IF($B$26="","설정에서 입력 필요",ROUNDUP(IFERROR($B$26/$E$19,0),0))</f>
      </c>
      <c r="C27" s="51"/>
      <c r="D27" s="45" t="s">
        <v>617</v>
      </c>
      <c r="E27" s="45"/>
      <c r="F27" s="45"/>
      <c r="G27" s="45"/>
      <c r="H27" s="45"/>
      <c r="I27" s="45"/>
    </row>
    <row r="28" spans="1:9" x14ac:dyDescent="0.25">
      <c r="A28" s="5" t="s">
        <v>618</v>
      </c>
      <c r="B28" s="52">
        <f>IFERROR(ROUND($B$27*'설정 Settings'!$C$60/60,1),0)</f>
      </c>
      <c r="C28" s="52"/>
      <c r="D28" s="45" t="s">
        <v>619</v>
      </c>
      <c r="E28" s="45"/>
      <c r="F28" s="45"/>
      <c r="G28" s="45"/>
      <c r="H28" s="45"/>
      <c r="I28" s="45"/>
    </row>
    <row r="29" spans="1:9" x14ac:dyDescent="0.25">
      <c r="A29" s="5" t="s">
        <v>620</v>
      </c>
      <c r="B29" s="44">
        <f>'설정 Settings'!$C$56</f>
      </c>
      <c r="C29" s="44"/>
      <c r="D29" s="45" t="s">
        <v>12</v>
      </c>
      <c r="E29" s="45"/>
      <c r="F29" s="45"/>
      <c r="G29" s="45"/>
      <c r="H29" s="45"/>
      <c r="I29" s="45"/>
    </row>
    <row r="30" spans="1:9" x14ac:dyDescent="0.25">
      <c r="A30" s="5" t="s">
        <v>621</v>
      </c>
      <c r="B30" s="44">
        <f>IFERROR(INDEX('설정 Settings'!$C$57:$C$59,$B$29),0)</f>
      </c>
      <c r="C30" s="44"/>
      <c r="D30" s="45" t="s">
        <v>613</v>
      </c>
      <c r="E30" s="45"/>
      <c r="F30" s="45"/>
      <c r="G30" s="45"/>
      <c r="H30" s="45"/>
      <c r="I30" s="45"/>
    </row>
    <row r="31" spans="1:9" x14ac:dyDescent="0.25">
      <c r="A31" s="5" t="s">
        <v>622</v>
      </c>
      <c r="B31" s="44">
        <f>COUNTIFS('문 두드리기 Doors'!$E$3:$E$10002,"NI",'문 두드리기 Doors'!$G$3:$G$10002,$B$29)+COUNTIFS('문 두드리기 Doors'!$E$3:$E$10002,"Q",'문 두드리기 Doors'!$G$3:$G$10002,$B$29)+COUNTIFS('문 두드리기 Doors'!$E$3:$E$10002,"B",'문 두드리기 Doors'!$G$3:$G$10002,$B$29)+COUNTIFS('문 두드리기 Doors'!$E$3:$E$10002,"NS",'문 두드리기 Doors'!$G$3:$G$10002,$B$29)+IF($B$29=1,COUNTIFS('문 두드리기 Doors'!$E$3:$E$10002,"NI",'문 두드리기 Doors'!$G$3:$G$10002,"")+COUNTIFS('문 두드리기 Doors'!$E$3:$E$10002,"Q",'문 두드리기 Doors'!$G$3:$G$10002,"")+COUNTIFS('문 두드리기 Doors'!$E$3:$E$10002,"B",'문 두드리기 Doors'!$G$3:$G$10002,"")+COUNTIFS('문 두드리기 Doors'!$E$3:$E$10002,"NS",'문 두드리기 Doors'!$G$3:$G$10002,""),0)</f>
      </c>
      <c r="C31" s="44"/>
      <c r="D31" s="45" t="s">
        <v>623</v>
      </c>
      <c r="E31" s="45"/>
      <c r="F31" s="45"/>
      <c r="G31" s="45"/>
      <c r="H31" s="45"/>
      <c r="I31" s="45"/>
    </row>
    <row r="32" spans="1:9" x14ac:dyDescent="0.25">
      <c r="A32" s="21" t="s">
        <v>624</v>
      </c>
      <c r="B32" s="51">
        <f>$B$30-$B$31</f>
      </c>
      <c r="C32" s="51"/>
      <c r="D32" s="45" t="s">
        <v>625</v>
      </c>
      <c r="E32" s="45"/>
      <c r="F32" s="45"/>
      <c r="G32" s="45"/>
      <c r="H32" s="45"/>
      <c r="I32" s="45"/>
    </row>
    <row r="33" spans="1:9" x14ac:dyDescent="0.25">
      <c r="A33" s="21" t="s">
        <v>626</v>
      </c>
      <c r="B33" s="53">
        <f>IF(ISNUMBER($B$27),IF($B$32&lt;2*$B$27,"클러스터 #2 열기 — 남은 가구 &lt; 2 × 문 목표","OK — 현재 클러스터 유지"),"-")</f>
      </c>
      <c r="C33" s="53"/>
      <c r="D33" s="45" t="s">
        <v>627</v>
      </c>
      <c r="E33" s="45"/>
      <c r="F33" s="45"/>
      <c r="G33" s="45"/>
      <c r="H33" s="45"/>
      <c r="I33" s="45"/>
    </row>
    <row r="35" ht="20" customHeight="1" spans="1:9" x14ac:dyDescent="0.25">
      <c r="A35" s="4" t="s">
        <v>628</v>
      </c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21" t="s">
        <v>629</v>
      </c>
      <c r="B36" s="54">
        <f>SUMIFS('작업 Jobs'!$M$3:$M$1002,'작업 Jobs'!$C$3:$C$1002,"&gt;="&amp;('설정 Settings'!$C$15-6),'작업 Jobs'!$C$3:$C$1002,"&lt;="&amp;'설정 Settings'!$C$15)</f>
      </c>
      <c r="C36" s="54"/>
      <c r="D36" s="45" t="s">
        <v>630</v>
      </c>
      <c r="E36" s="45"/>
      <c r="F36" s="45"/>
      <c r="G36" s="45"/>
      <c r="H36" s="45"/>
      <c r="I36" s="45"/>
    </row>
    <row r="37" spans="1:9" x14ac:dyDescent="0.25">
      <c r="A37" s="5" t="s">
        <v>631</v>
      </c>
      <c r="B37" s="44">
        <f>COUNTIFS('작업 Jobs'!$C$3:$C$1002,"&gt;="&amp;('설정 Settings'!$C$15-6),'작업 Jobs'!$C$3:$C$1002,"&lt;="&amp;'설정 Settings'!$C$15)</f>
      </c>
      <c r="C37" s="44"/>
      <c r="D37" s="45" t="s">
        <v>12</v>
      </c>
      <c r="E37" s="45"/>
      <c r="F37" s="45"/>
      <c r="G37" s="45"/>
      <c r="H37" s="45"/>
      <c r="I37" s="45"/>
    </row>
    <row r="38" spans="1:9" x14ac:dyDescent="0.25">
      <c r="A38" s="5" t="s">
        <v>632</v>
      </c>
      <c r="B38" s="55">
        <f>$B$36*4.33</f>
      </c>
      <c r="C38" s="55"/>
      <c r="D38" s="45" t="s">
        <v>633</v>
      </c>
      <c r="E38" s="45"/>
      <c r="F38" s="45"/>
      <c r="G38" s="45"/>
      <c r="H38" s="45"/>
      <c r="I38" s="45"/>
    </row>
    <row r="39" spans="1:9" x14ac:dyDescent="0.25">
      <c r="A39" s="5" t="s">
        <v>634</v>
      </c>
      <c r="B39" s="56">
        <f>SUMIFS('작업 Jobs'!$M$3:$M$1002,'작업 Jobs'!$C$3:$C$1002,"&gt;="&amp;DATE(YEAR('설정 Settings'!$C$15),MONTH('설정 Settings'!$C$15),1),'작업 Jobs'!$C$3:$C$1002,"&lt;="&amp;'설정 Settings'!$C$15)</f>
      </c>
      <c r="C39" s="56"/>
      <c r="D39" s="45" t="s">
        <v>635</v>
      </c>
      <c r="E39" s="45"/>
      <c r="F39" s="45"/>
      <c r="G39" s="45"/>
      <c r="H39" s="45"/>
      <c r="I39" s="45"/>
    </row>
    <row r="40" spans="1:9" x14ac:dyDescent="0.25">
      <c r="A40" s="5" t="s">
        <v>636</v>
      </c>
      <c r="B40" s="56">
        <f>SUMIF('작업 Jobs'!$P$3:$P$1002,"&gt;0")</f>
      </c>
      <c r="C40" s="56"/>
      <c r="D40" s="45" t="s">
        <v>637</v>
      </c>
      <c r="E40" s="45"/>
      <c r="F40" s="45"/>
      <c r="G40" s="45"/>
      <c r="H40" s="45"/>
      <c r="I40" s="45"/>
    </row>
    <row r="41" spans="1:9" x14ac:dyDescent="0.25">
      <c r="A41" s="5" t="s">
        <v>638</v>
      </c>
      <c r="B41" s="44">
        <f>COUNTIF('견적 Quotes'!$I$3:$I$1002,"OPEN")</f>
      </c>
      <c r="C41" s="44"/>
      <c r="D41" s="45" t="s">
        <v>12</v>
      </c>
      <c r="E41" s="45"/>
      <c r="F41" s="45"/>
      <c r="G41" s="45"/>
      <c r="H41" s="45"/>
      <c r="I41" s="45"/>
    </row>
    <row r="42" spans="1:9" x14ac:dyDescent="0.25">
      <c r="A42" s="5" t="s">
        <v>639</v>
      </c>
      <c r="B42" s="44">
        <f>COUNTIF('후속 Follow-ups'!$L$3:$L$1002,"지남 OVERDUE")</f>
      </c>
      <c r="C42" s="44"/>
      <c r="D42" s="45" t="s">
        <v>12</v>
      </c>
      <c r="E42" s="45"/>
      <c r="F42" s="45"/>
      <c r="G42" s="45"/>
      <c r="H42" s="45"/>
      <c r="I42" s="45"/>
    </row>
    <row r="43" spans="1:9" x14ac:dyDescent="0.25">
      <c r="A43" s="5" t="s">
        <v>640</v>
      </c>
      <c r="B43" s="49">
        <f>'EI 주간신고'!$R$14</f>
      </c>
      <c r="C43" s="49"/>
      <c r="D43" s="45" t="s">
        <v>641</v>
      </c>
      <c r="E43" s="45"/>
      <c r="F43" s="45"/>
      <c r="G43" s="45"/>
      <c r="H43" s="45"/>
      <c r="I43" s="45"/>
    </row>
    <row r="45" ht="20" customHeight="1" spans="1:9" x14ac:dyDescent="0.25">
      <c r="A45" s="4" t="s">
        <v>642</v>
      </c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20" t="s">
        <v>643</v>
      </c>
      <c r="B46" s="20" t="s">
        <v>644</v>
      </c>
      <c r="C46" s="20" t="s">
        <v>645</v>
      </c>
      <c r="D46" s="20" t="s">
        <v>646</v>
      </c>
      <c r="E46" s="20" t="s">
        <v>647</v>
      </c>
      <c r="F46" s="20" t="s">
        <v>648</v>
      </c>
      <c r="G46" s="20" t="s">
        <v>649</v>
      </c>
      <c r="H46" s="20" t="s">
        <v>650</v>
      </c>
      <c r="I46" s="20" t="s">
        <v>651</v>
      </c>
    </row>
    <row r="47" ht="29" customHeight="1" spans="1:9" x14ac:dyDescent="0.25">
      <c r="A47" s="21" t="s">
        <v>652</v>
      </c>
      <c r="B47" s="24">
        <f>'설정 Settings'!$C$99</f>
      </c>
      <c r="C47" s="8" t="s">
        <v>653</v>
      </c>
      <c r="D47" s="12">
        <f>COUNTIFS('문 두드리기 Doors'!$E$3:$E$10002,"NA",'문 두드리기 Doors'!$A$3:$A$10002,"&lt;="&amp;$B$47)+COUNTIFS('문 두드리기 Doors'!$E$3:$E$10002,"NI",'문 두드리기 Doors'!$A$3:$A$10002,"&lt;="&amp;$B$47)+COUNTIFS('문 두드리기 Doors'!$E$3:$E$10002,"Q",'문 두드리기 Doors'!$A$3:$A$10002,"&lt;="&amp;$B$47)+COUNTIFS('문 두드리기 Doors'!$E$3:$E$10002,"B",'문 두드리기 Doors'!$A$3:$A$10002,"&lt;="&amp;$B$47)+COUNTIFS('문 두드리기 Doors'!$E$3:$E$10002,"CB",'문 두드리기 Doors'!$A$3:$A$10002,"&lt;="&amp;$B$47)</f>
      </c>
      <c r="E47" s="12">
        <f>COUNTIFS('견적 Quotes'!$B$3:$B$1002,"&lt;="&amp;$B$47)</f>
      </c>
      <c r="F47" s="12"/>
      <c r="G47" s="57">
        <f>"시도 ≥"&amp;'설정 Settings'!$C$109&amp;", 견적 0"</f>
      </c>
      <c r="H47" s="58">
        <f>IF('설정 Settings'!$C$15&lt;$B$47,"대기 PENDING",IF(AND($D$47&gt;='설정 Settings'!$C$109,$E$47=0),"조치 ACTION","통과 PASS"))</f>
      </c>
      <c r="I47" s="8" t="s">
        <v>654</v>
      </c>
    </row>
    <row r="48" ht="29" customHeight="1" spans="1:9" x14ac:dyDescent="0.25">
      <c r="A48" s="21" t="s">
        <v>655</v>
      </c>
      <c r="B48" s="24">
        <f>'설정 Settings'!$C$100</f>
      </c>
      <c r="C48" s="8" t="s">
        <v>656</v>
      </c>
      <c r="D48" s="12">
        <f>'설정 Settings'!$C$92</f>
      </c>
      <c r="E48" s="12"/>
      <c r="F48" s="12"/>
      <c r="G48" s="57">
        <f>"YES"</f>
      </c>
      <c r="H48" s="58">
        <f>IF('설정 Settings'!$C$92="YES","통과 PASS",IF('설정 Settings'!$C$15&lt;$B$48,"대기 PENDING","실패 FAIL"))</f>
      </c>
      <c r="I48" s="8" t="s">
        <v>657</v>
      </c>
    </row>
    <row r="49" ht="16" customHeight="1" spans="1:9" x14ac:dyDescent="0.25">
      <c r="A49" s="21" t="s">
        <v>658</v>
      </c>
      <c r="B49" s="24">
        <f>'설정 Settings'!$C$101</f>
      </c>
      <c r="C49" s="8" t="s">
        <v>659</v>
      </c>
      <c r="D49" s="12">
        <f>'설정 Settings'!$C$94</f>
      </c>
      <c r="E49" s="12"/>
      <c r="F49" s="12"/>
      <c r="G49" s="57">
        <f>"YES"</f>
      </c>
      <c r="H49" s="58">
        <f>IF('설정 Settings'!$C$94="YES","통과 PASS",IF('설정 Settings'!$C$15&lt;$B$49,"대기 PENDING","실패 FAIL"))</f>
      </c>
      <c r="I49" s="8" t="s">
        <v>660</v>
      </c>
    </row>
    <row r="50" ht="29" customHeight="1" spans="1:9" x14ac:dyDescent="0.25">
      <c r="A50" s="21" t="s">
        <v>661</v>
      </c>
      <c r="B50" s="24">
        <f>'설정 Settings'!$C$102</f>
      </c>
      <c r="C50" s="8" t="s">
        <v>662</v>
      </c>
      <c r="D50" s="12">
        <f>COUNTIFS('작업 Jobs'!$C$3:$C$1002,"&lt;="&amp;$B$50,'작업 Jobs'!$O$3:$O$1002,"&gt;0")</f>
      </c>
      <c r="E50" s="12">
        <f>COUNTIFS('견적 Quotes'!$I$3:$I$1002,"WON",'견적 Quotes'!$J$3:$J$1002,"&lt;="&amp;$B$50)</f>
      </c>
      <c r="F50" s="12">
        <f>COUNTIFS('문 두드리기 Doors'!$E$3:$E$10002,"NA",'문 두드리기 Doors'!$A$3:$A$10002,"&lt;="&amp;$B$50)+COUNTIFS('문 두드리기 Doors'!$E$3:$E$10002,"NI",'문 두드리기 Doors'!$A$3:$A$10002,"&lt;="&amp;$B$50)+COUNTIFS('문 두드리기 Doors'!$E$3:$E$10002,"Q",'문 두드리기 Doors'!$A$3:$A$10002,"&lt;="&amp;$B$50)+COUNTIFS('문 두드리기 Doors'!$E$3:$E$10002,"B",'문 두드리기 Doors'!$A$3:$A$10002,"&lt;="&amp;$B$50)+COUNTIFS('문 두드리기 Doors'!$E$3:$E$10002,"CB",'문 두드리기 Doors'!$A$3:$A$10002,"&lt;="&amp;$B$50)</f>
      </c>
      <c r="G50" s="57">
        <f>"완료 0, 예약 &lt;"&amp;'설정 Settings'!$C$111&amp;", 시도 ≥"&amp;'설정 Settings'!$C$110</f>
      </c>
      <c r="H50" s="58">
        <f>IF('설정 Settings'!$C$15&lt;$B$50,"대기 PENDING",IF(AND($D$50=0,$E$50&lt;'설정 Settings'!$C$111,$F$50&gt;='설정 Settings'!$C$110),"실패 FAIL → Plan C","통과 PASS"))</f>
      </c>
      <c r="I50" s="8" t="s">
        <v>663</v>
      </c>
    </row>
    <row r="51" ht="29" customHeight="1" spans="1:9" x14ac:dyDescent="0.25">
      <c r="A51" s="21" t="s">
        <v>661</v>
      </c>
      <c r="B51" s="24">
        <f>'설정 Settings'!$C$102</f>
      </c>
      <c r="C51" s="8" t="s">
        <v>664</v>
      </c>
      <c r="D51" s="12">
        <f>'설정 Settings'!$C$93</f>
      </c>
      <c r="E51" s="12"/>
      <c r="F51" s="12"/>
      <c r="G51" s="57">
        <f>"YES"</f>
      </c>
      <c r="H51" s="58">
        <f>IF('설정 Settings'!$C$93="YES","통과 PASS",IF('설정 Settings'!$C$15&lt;$B$51,"대기 PENDING","실패 FAIL"))</f>
      </c>
      <c r="I51" s="8" t="s">
        <v>665</v>
      </c>
    </row>
    <row r="52" ht="29" customHeight="1" spans="1:9" x14ac:dyDescent="0.25">
      <c r="A52" s="21" t="s">
        <v>666</v>
      </c>
      <c r="B52" s="24">
        <f>'설정 Settings'!$C$103</f>
      </c>
      <c r="C52" s="8" t="s">
        <v>667</v>
      </c>
      <c r="D52" s="12">
        <f>COUNTIFS('작업 Jobs'!$C$3:$C$1002,"&lt;="&amp;$B$52)</f>
      </c>
      <c r="E52" s="59">
        <f>SUMIFS('작업 Jobs'!$M$3:$M$1002,'작업 Jobs'!$C$3:$C$1002,"&gt;="&amp;($B$52-6),'작업 Jobs'!$C$3:$C$1002,"&lt;="&amp;$B$52)</f>
      </c>
      <c r="F52" s="12"/>
      <c r="G52" s="57">
        <f>"완료 ≥"&amp;'설정 Settings'!$C$112&amp;", run-rate ≥ $"&amp;'설정 Settings'!$C$113</f>
      </c>
      <c r="H52" s="58">
        <f>IF('설정 Settings'!$C$15&lt;$B$52,"대기 PENDING",IF(OR($D$52&lt;'설정 Settings'!$C$112,$E$52&lt;'설정 Settings'!$C$113),"실패 FAIL → Plan C","통과 PASS"))</f>
      </c>
      <c r="I52" s="8" t="s">
        <v>668</v>
      </c>
    </row>
    <row r="53" ht="29" customHeight="1" spans="1:9" x14ac:dyDescent="0.25">
      <c r="A53" s="21" t="s">
        <v>669</v>
      </c>
      <c r="B53" s="24">
        <f>'설정 Settings'!$C$103</f>
      </c>
      <c r="C53" s="8" t="s">
        <v>670</v>
      </c>
      <c r="D53" s="12">
        <f>COUNTIFS('견적 Quotes'!$G$3:$G$1002,"GUT",'견적 Quotes'!$I$3:$I$1002,"WON",'견적 Quotes'!$K$3:$K$1002,"&gt;="&amp;'설정 Settings'!$C$107,'견적 Quotes'!$K$3:$K$1002,"&lt;="&amp;'설정 Settings'!$C$108,'견적 Quotes'!$J$3:$J$1002,"&lt;="&amp;$B$53)</f>
      </c>
      <c r="E53" s="12"/>
      <c r="F53" s="12"/>
      <c r="G53" s="57">
        <f>"≥"&amp;'설정 Settings'!$C$114</f>
      </c>
      <c r="H53" s="58">
        <f>IF('설정 Settings'!$C$94&lt;&gt;"YES","해당 없음 N/A",IF('설정 Settings'!$C$15&lt;$B$53,"대기 PENDING",IF($D$53&lt;'설정 Settings'!$C$114,"실패 FAIL → 홈통 접기","통과 PASS")))</f>
      </c>
      <c r="I53" s="8" t="s">
        <v>671</v>
      </c>
    </row>
    <row r="54" ht="29" customHeight="1" spans="1:9" x14ac:dyDescent="0.25">
      <c r="A54" s="21" t="s">
        <v>669</v>
      </c>
      <c r="B54" s="24">
        <f>'설정 Settings'!$C$103</f>
      </c>
      <c r="C54" s="8" t="s">
        <v>672</v>
      </c>
      <c r="D54" s="22">
        <f>IFERROR(COUNTIFS('견적 Quotes'!$C$3:$C$1002,"DOOR",'견적 Quotes'!$I$3:$I$1002,"WON",'견적 Quotes'!$J$3:$J$1002,"&lt;="&amp;$B$54)/(COUNTIFS('문 두드리기 Doors'!$E$3:$E$10002,"NA",'문 두드리기 Doors'!$A$3:$A$10002,"&lt;="&amp;$B$54)+COUNTIFS('문 두드리기 Doors'!$E$3:$E$10002,"NI",'문 두드리기 Doors'!$A$3:$A$10002,"&lt;="&amp;$B$54)+COUNTIFS('문 두드리기 Doors'!$E$3:$E$10002,"Q",'문 두드리기 Doors'!$A$3:$A$10002,"&lt;="&amp;$B$54)+COUNTIFS('문 두드리기 Doors'!$E$3:$E$10002,"B",'문 두드리기 Doors'!$A$3:$A$10002,"&lt;="&amp;$B$54)+COUNTIFS('문 두드리기 Doors'!$E$3:$E$10002,"CB",'문 두드리기 Doors'!$A$3:$A$10002,"&lt;="&amp;$B$54)),0)</f>
      </c>
      <c r="E54" s="22">
        <f>'설정 Settings'!$C$116</f>
      </c>
      <c r="F54" s="12"/>
      <c r="G54" s="57">
        <f>"≥ "&amp;TEXT('설정 Settings'!$C$115,"0.0%")</f>
      </c>
      <c r="H54" s="58">
        <f>IF('설정 Settings'!$C$94&lt;&gt;"YES","해당 없음 N/A",IF('설정 Settings'!$C$15&lt;$B$54,"대기 PENDING",IF($D$54&lt;'설정 Settings'!$C$115,"조치 ACTION → 보수 시나리오","통과 PASS")))</f>
      </c>
      <c r="I54" s="8" t="s">
        <v>673</v>
      </c>
    </row>
    <row r="55" ht="16" customHeight="1" spans="1:9" x14ac:dyDescent="0.25">
      <c r="A55" s="21" t="s">
        <v>674</v>
      </c>
      <c r="B55" s="24">
        <f>'설정 Settings'!$C$104</f>
      </c>
      <c r="C55" s="8" t="s">
        <v>675</v>
      </c>
      <c r="D55" s="59">
        <f>SUMIFS('작업 Jobs'!$M$3:$M$1002,'작업 Jobs'!$C$3:$C$1002,"&gt;="&amp;($B$55-6),'작업 Jobs'!$C$3:$C$1002,"&lt;="&amp;$B$55)</f>
      </c>
      <c r="E55" s="12"/>
      <c r="F55" s="12"/>
      <c r="G55" s="57">
        <f>"≥ $"&amp;'설정 Settings'!$C$117&amp;"/주"</f>
      </c>
      <c r="H55" s="58">
        <f>IF('설정 Settings'!$C$15&lt;$B$55,"대기 PENDING",IF($D$55&lt;'설정 Settings'!$C$117,"실패 FAIL → Plan C","통과 PASS"))</f>
      </c>
      <c r="I55" s="8" t="s">
        <v>668</v>
      </c>
    </row>
    <row r="56" ht="29" customHeight="1" spans="1:9" x14ac:dyDescent="0.25">
      <c r="A56" s="21" t="s">
        <v>676</v>
      </c>
      <c r="B56" s="24">
        <f>'설정 Settings'!$C$105</f>
      </c>
      <c r="C56" s="8" t="s">
        <v>677</v>
      </c>
      <c r="D56" s="59">
        <f>SUMIFS('작업 Jobs'!$M$3:$M$1002,'작업 Jobs'!$C$3:$C$1002,"&gt;="&amp;($B$56-6),'작업 Jobs'!$C$3:$C$1002,"&lt;="&amp;$B$56)</f>
      </c>
      <c r="E56" s="59">
        <f>'EI 주간신고'!$R$9</f>
      </c>
      <c r="F56" s="12"/>
      <c r="G56" s="57">
        <f>"≥ $"&amp;ROUND('EI 주간신고'!$R$9,0)&amp;"/주"</f>
      </c>
      <c r="H56" s="58">
        <f>IF('설정 Settings'!$C$15&lt;$B$56,"대기 PENDING",IF($D$56&gt;=$E$56,"Path B (11월)","Path A 유지"))</f>
      </c>
      <c r="I56" s="8" t="s">
        <v>678</v>
      </c>
    </row>
    <row r="57" ht="29" customHeight="1" spans="1:9" x14ac:dyDescent="0.25">
      <c r="A57" s="21" t="s">
        <v>679</v>
      </c>
      <c r="B57" s="24">
        <f>'설정 Settings'!$C$106</f>
      </c>
      <c r="C57" s="8" t="s">
        <v>680</v>
      </c>
      <c r="D57" s="12">
        <f>'손익분기 Break-even'!$B$34</f>
      </c>
      <c r="E57" s="12">
        <f>'손익분기 Break-even'!$B$32</f>
      </c>
      <c r="F57" s="12"/>
      <c r="G57" s="57">
        <f>"손익분기 수 이상"</f>
      </c>
      <c r="H57" s="58">
        <f>IF(AND($D$57=0,'설정 Settings'!$C$96&lt;&gt;"YES"),"해당 없음 N/A",IF($D$57&gt;=$E$57,"통과 PASS — 계약 유효",IF('설정 Settings'!$C$15&lt;=$B$57,"대기 PENDING — "&amp;MAX(0,$E$57-$D$57)&amp;"건 더 필요","무효 VOID")))</f>
      </c>
      <c r="I57" s="8" t="s">
        <v>681</v>
      </c>
    </row>
    <row r="58" ht="16" customHeight="1" spans="1:9" x14ac:dyDescent="0.25">
      <c r="A58" s="21" t="s">
        <v>682</v>
      </c>
      <c r="B58" s="24">
        <f>'설정 Settings'!$C$15</f>
      </c>
      <c r="C58" s="8" t="s">
        <v>683</v>
      </c>
      <c r="D58" s="19">
        <f>IF('설정 Settings'!$C$97="","",'설정 Settings'!$C$97)</f>
      </c>
      <c r="E58" s="19">
        <f>IF('설정 Settings'!$C$98="","",'설정 Settings'!$C$98)</f>
      </c>
      <c r="F58" s="12"/>
      <c r="G58" s="57">
        <f>"설정 시트"</f>
      </c>
      <c r="H58" s="58">
        <f>IF(OR($D$58="",$E$58=""),"입력 필요 (설정)",IF($D$58&lt;$E$58,"실패 FAIL — 구매 중단","통과 PASS"))</f>
      </c>
      <c r="I58" s="8" t="s">
        <v>684</v>
      </c>
    </row>
    <row r="60" ht="20" customHeight="1" spans="1:9" x14ac:dyDescent="0.25">
      <c r="A60" s="4" t="s">
        <v>685</v>
      </c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5" t="s">
        <v>686</v>
      </c>
      <c r="B61" s="60">
        <f>'설정 Settings'!$C$15</f>
      </c>
      <c r="C61" s="60"/>
      <c r="D61" s="45" t="s">
        <v>12</v>
      </c>
      <c r="E61" s="45"/>
      <c r="F61" s="45"/>
      <c r="G61" s="45"/>
      <c r="H61" s="45"/>
      <c r="I61" s="45"/>
    </row>
    <row r="62" spans="1:9" x14ac:dyDescent="0.25">
      <c r="A62" s="5" t="s">
        <v>687</v>
      </c>
      <c r="B62" s="44">
        <f>COUNTIFS('문 두드리기 Doors'!$E$3:$E$10002,"NA",'문 두드리기 Doors'!$A$3:$A$10002,$B$61)+COUNTIFS('문 두드리기 Doors'!$E$3:$E$10002,"NI",'문 두드리기 Doors'!$A$3:$A$10002,$B$61)+COUNTIFS('문 두드리기 Doors'!$E$3:$E$10002,"Q",'문 두드리기 Doors'!$A$3:$A$10002,$B$61)+COUNTIFS('문 두드리기 Doors'!$E$3:$E$10002,"B",'문 두드리기 Doors'!$A$3:$A$10002,$B$61)+COUNTIFS('문 두드리기 Doors'!$E$3:$E$10002,"CB",'문 두드리기 Doors'!$A$3:$A$10002,$B$61)</f>
      </c>
      <c r="C62" s="44"/>
      <c r="D62" s="45" t="s">
        <v>12</v>
      </c>
      <c r="E62" s="45"/>
      <c r="F62" s="45"/>
      <c r="G62" s="45"/>
      <c r="H62" s="45"/>
      <c r="I62" s="45"/>
    </row>
    <row r="63" spans="1:9" x14ac:dyDescent="0.25">
      <c r="A63" s="5" t="s">
        <v>688</v>
      </c>
      <c r="B63" s="44">
        <f>COUNTIFS('문 두드리기 Doors'!$E$3:$E$10002,"NI",'문 두드리기 Doors'!$A$3:$A$10002,$B$61)+COUNTIFS('문 두드리기 Doors'!$E$3:$E$10002,"Q",'문 두드리기 Doors'!$A$3:$A$10002,$B$61)+COUNTIFS('문 두드리기 Doors'!$E$3:$E$10002,"B",'문 두드리기 Doors'!$A$3:$A$10002,$B$61)+COUNTIFS('문 두드리기 Doors'!$E$3:$E$10002,"CB",'문 두드리기 Doors'!$A$3:$A$10002,$B$61)</f>
      </c>
      <c r="C63" s="44"/>
      <c r="D63" s="45" t="s">
        <v>12</v>
      </c>
      <c r="E63" s="45"/>
      <c r="F63" s="45"/>
      <c r="G63" s="45"/>
      <c r="H63" s="45"/>
      <c r="I63" s="45"/>
    </row>
    <row r="64" spans="1:9" x14ac:dyDescent="0.25">
      <c r="A64" s="5" t="s">
        <v>689</v>
      </c>
      <c r="B64" s="44">
        <f>COUNTIFS('견적 Quotes'!$B$3:$B$1002,$B$61)</f>
      </c>
      <c r="C64" s="44"/>
      <c r="D64" s="45" t="s">
        <v>12</v>
      </c>
      <c r="E64" s="45"/>
      <c r="F64" s="45"/>
      <c r="G64" s="45"/>
      <c r="H64" s="45"/>
      <c r="I64" s="45"/>
    </row>
    <row r="65" spans="1:9" x14ac:dyDescent="0.25">
      <c r="A65" s="5" t="s">
        <v>690</v>
      </c>
      <c r="B65" s="44">
        <f>COUNTIFS('견적 Quotes'!$J$3:$J$1002,$B$61,'견적 Quotes'!$I$3:$I$1002,"WON")</f>
      </c>
      <c r="C65" s="44"/>
      <c r="D65" s="45" t="s">
        <v>12</v>
      </c>
      <c r="E65" s="45"/>
      <c r="F65" s="45"/>
      <c r="G65" s="45"/>
      <c r="H65" s="45"/>
      <c r="I65" s="45"/>
    </row>
    <row r="66" spans="1:9" x14ac:dyDescent="0.25">
      <c r="A66" s="5" t="s">
        <v>691</v>
      </c>
      <c r="B66" s="44">
        <f>COUNTIFS('작업 Jobs'!$C$3:$C$1002,$B$61)</f>
      </c>
      <c r="C66" s="44"/>
      <c r="D66" s="45" t="s">
        <v>12</v>
      </c>
      <c r="E66" s="45"/>
      <c r="F66" s="45"/>
      <c r="G66" s="45"/>
      <c r="H66" s="45"/>
      <c r="I66" s="45"/>
    </row>
    <row r="67" spans="1:9" x14ac:dyDescent="0.25">
      <c r="A67" s="5" t="s">
        <v>692</v>
      </c>
      <c r="B67" s="44">
        <f>ROUND(SUMIFS('작업 Jobs'!$M$3:$M$1002,'작업 Jobs'!$C$3:$C$1002,$B$61),0)</f>
      </c>
      <c r="C67" s="44"/>
      <c r="D67" s="45" t="s">
        <v>12</v>
      </c>
      <c r="E67" s="45"/>
      <c r="F67" s="45"/>
      <c r="G67" s="45"/>
      <c r="H67" s="45"/>
      <c r="I67" s="45"/>
    </row>
    <row r="68" ht="22" customHeight="1" spans="1:9" x14ac:dyDescent="0.25">
      <c r="A68" s="21" t="s">
        <v>693</v>
      </c>
      <c r="B68" s="61">
        <f>"DAILY "&amp;YEAR($B$61)&amp;"-"&amp;TEXT(MONTH($B$61),"00")&amp;"-"&amp;TEXT(DAY($B$61),"00")&amp;" doors="&amp;$B$62&amp;" answers="&amp;$B$63&amp;" quotes="&amp;$B$64&amp;" closes="&amp;$B$65&amp;" completed="&amp;$B$66&amp;" net="&amp;$B$67</f>
      </c>
      <c r="C68" s="61"/>
      <c r="D68" s="61"/>
      <c r="E68" s="61"/>
      <c r="F68" s="61"/>
      <c r="G68" s="61"/>
      <c r="H68" s="61"/>
      <c r="I68" s="61"/>
    </row>
  </sheetData>
  <mergeCells count="81">
    <mergeCell ref="A1:I1"/>
    <mergeCell ref="A2:I2"/>
    <mergeCell ref="A4:I4"/>
    <mergeCell ref="B5:C5"/>
    <mergeCell ref="D5:I5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2:C12"/>
    <mergeCell ref="D12:I12"/>
    <mergeCell ref="A14:I14"/>
    <mergeCell ref="F15:I15"/>
    <mergeCell ref="F16:I16"/>
    <mergeCell ref="F17:I17"/>
    <mergeCell ref="F18:I18"/>
    <mergeCell ref="F19:I19"/>
    <mergeCell ref="F20:I20"/>
    <mergeCell ref="F21:I21"/>
    <mergeCell ref="B22:E22"/>
    <mergeCell ref="A24:I24"/>
    <mergeCell ref="B25:C25"/>
    <mergeCell ref="D25:I25"/>
    <mergeCell ref="B26:C26"/>
    <mergeCell ref="D26:I26"/>
    <mergeCell ref="B27:C27"/>
    <mergeCell ref="D27:I27"/>
    <mergeCell ref="B28:C28"/>
    <mergeCell ref="D28:I28"/>
    <mergeCell ref="B29:C29"/>
    <mergeCell ref="D29:I29"/>
    <mergeCell ref="B30:C30"/>
    <mergeCell ref="D30:I30"/>
    <mergeCell ref="B31:C31"/>
    <mergeCell ref="D31:I31"/>
    <mergeCell ref="B32:C32"/>
    <mergeCell ref="D32:I32"/>
    <mergeCell ref="B33:C33"/>
    <mergeCell ref="D33:I33"/>
    <mergeCell ref="A35:I35"/>
    <mergeCell ref="B36:C36"/>
    <mergeCell ref="D36:I36"/>
    <mergeCell ref="B37:C37"/>
    <mergeCell ref="D37:I37"/>
    <mergeCell ref="B38:C38"/>
    <mergeCell ref="D38:I38"/>
    <mergeCell ref="B39:C39"/>
    <mergeCell ref="D39:I39"/>
    <mergeCell ref="B40:C40"/>
    <mergeCell ref="D40:I40"/>
    <mergeCell ref="B41:C41"/>
    <mergeCell ref="D41:I41"/>
    <mergeCell ref="B42:C42"/>
    <mergeCell ref="D42:I42"/>
    <mergeCell ref="B43:C43"/>
    <mergeCell ref="D43:I43"/>
    <mergeCell ref="A45:I45"/>
    <mergeCell ref="A60:I60"/>
    <mergeCell ref="B61:C61"/>
    <mergeCell ref="D61:I61"/>
    <mergeCell ref="B62:C62"/>
    <mergeCell ref="D62:I62"/>
    <mergeCell ref="B63:C63"/>
    <mergeCell ref="D63:I63"/>
    <mergeCell ref="B64:C64"/>
    <mergeCell ref="D64:I64"/>
    <mergeCell ref="B65:C65"/>
    <mergeCell ref="D65:I65"/>
    <mergeCell ref="B66:C66"/>
    <mergeCell ref="D66:I66"/>
    <mergeCell ref="B67:C67"/>
    <mergeCell ref="D67:I67"/>
    <mergeCell ref="B68:I68"/>
  </mergeCells>
  <conditionalFormatting sqref="H47:H58">
    <cfRule type="expression" dxfId="0" priority="1">
      <formula>NOT(ISERROR(SEARCH("FAIL",H47)))</formula>
    </cfRule>
    <cfRule type="expression" dxfId="1" priority="2">
      <formula>NOT(ISERROR(SEARCH("VOID",H47)))</formula>
    </cfRule>
    <cfRule type="expression" dxfId="2" priority="3">
      <formula>NOT(ISERROR(SEARCH("ACTION",H47)))</formula>
    </cfRule>
    <cfRule type="expression" dxfId="3" priority="4">
      <formula>NOT(ISERROR(SEARCH("입력 필요",H47)))</formula>
    </cfRule>
    <cfRule type="expression" dxfId="4" priority="5">
      <formula>NOT(ISERROR(SEARCH("PASS",H47)))</formula>
    </cfRule>
    <cfRule type="expression" dxfId="5" priority="6">
      <formula>NOT(ISERROR(SEARCH("Path B",H47)))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S34"/>
  <sheetViews>
    <sheetView workbookViewId="0">
      <pane xSplit="1" ySplit="3" topLeftCell="B4" activePane="bottomRight" state="frozen"/>
      <selection pane="bottomRight" activeCell="F4" sqref="F4"/>
    </sheetView>
  </sheetViews>
  <sheetFormatPr defaultRowHeight="15" outlineLevelRow="0" outlineLevelCol="0" x14ac:dyDescent="55"/>
  <cols>
    <col min="1" max="5" width="12" customWidth="1"/>
    <col min="6" max="6" width="8" customWidth="1"/>
    <col min="7" max="11" width="12" customWidth="1"/>
    <col min="12" max="12" width="13" customWidth="1"/>
    <col min="14" max="14" width="12" customWidth="1"/>
    <col min="15" max="15" width="26" customWidth="1"/>
    <col min="16" max="16" width="2" customWidth="1"/>
    <col min="17" max="17" width="34" customWidth="1"/>
    <col min="18" max="18" width="14" customWidth="1"/>
    <col min="19" max="19" width="40" customWidth="1"/>
  </cols>
  <sheetData>
    <row r="1" ht="24" customHeight="1" spans="1:15" x14ac:dyDescent="0.25">
      <c r="A1" s="1" t="s">
        <v>694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42" customHeight="1" spans="1:15" x14ac:dyDescent="0.25">
      <c r="A2" s="2" t="s">
        <v>695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44" customHeight="1" spans="1:19" x14ac:dyDescent="0.25">
      <c r="A3" s="3" t="s">
        <v>696</v>
      </c>
      <c r="B3" s="20" t="s">
        <v>697</v>
      </c>
      <c r="C3" s="20" t="s">
        <v>698</v>
      </c>
      <c r="D3" s="20" t="s">
        <v>699</v>
      </c>
      <c r="E3" s="20" t="s">
        <v>700</v>
      </c>
      <c r="F3" s="3" t="s">
        <v>701</v>
      </c>
      <c r="G3" s="20" t="s">
        <v>702</v>
      </c>
      <c r="H3" s="20" t="s">
        <v>703</v>
      </c>
      <c r="I3" s="20" t="s">
        <v>704</v>
      </c>
      <c r="J3" s="20" t="s">
        <v>705</v>
      </c>
      <c r="K3" s="20" t="s">
        <v>706</v>
      </c>
      <c r="L3" s="20" t="s">
        <v>707</v>
      </c>
      <c r="M3" s="3" t="s">
        <v>708</v>
      </c>
      <c r="N3" s="3" t="s">
        <v>709</v>
      </c>
      <c r="O3" s="3" t="s">
        <v>487</v>
      </c>
      <c r="Q3" s="20" t="s">
        <v>710</v>
      </c>
      <c r="R3" s="20" t="s">
        <v>711</v>
      </c>
      <c r="S3" s="20" t="s">
        <v>352</v>
      </c>
    </row>
    <row r="4" ht="16" customHeight="1" spans="1:19" x14ac:dyDescent="0.25">
      <c r="A4" s="11">
        <v>46292</v>
      </c>
      <c r="B4" s="24">
        <f>$A4+6</f>
      </c>
      <c r="C4" s="59">
        <f>SUMIFS('작업 Jobs'!$H$3:$H$1002,'작업 Jobs'!$C$3:$C$1002,"&gt;="&amp;$A4,'작업 Jobs'!$C$3:$C$1002,"&lt;="&amp;$B4)</f>
      </c>
      <c r="D4" s="59">
        <f>SUMIFS('지출 Expenses'!$D$3:$D$1002,'지출 Expenses'!$A$3:$A$1002,"&gt;="&amp;$A4,'지출 Expenses'!$A$3:$A$1002,"&lt;="&amp;$B4)</f>
      </c>
      <c r="E4" s="59">
        <f>$C4-$D4</f>
      </c>
      <c r="F4" s="7">
        <f>IF(OR('설정 Settings'!$C$39="NO",$A4&lt;'설정 Settings'!$C$41),"-","A")</f>
      </c>
      <c r="G4" s="59">
        <f>IF($E4&lt;=0,0,'설정 Settings'!$C$44*MIN($E4,$R$6)+MAX(0,$E4-$R$6))</f>
      </c>
      <c r="H4" s="59">
        <f>IF($F4="A",MAX(0,$R$4-$G4),0)</f>
      </c>
      <c r="I4" s="59">
        <f>$H4+$E4</f>
      </c>
      <c r="J4" s="59">
        <f>$H4+$E4-MAX(0,$E4)*$R$7</f>
      </c>
      <c r="K4" s="59">
        <f>$E4-MAX(0,$E4)*$R$7</f>
      </c>
      <c r="L4" s="59">
        <f>IFERROR(($R$4-'설정 Settings'!$C$44*$E4+(1-$R$7)*$E4)/(1-$R$7),"")</f>
      </c>
      <c r="M4" s="7"/>
      <c r="N4" s="11"/>
      <c r="O4" s="7"/>
      <c r="Q4" s="5" t="s">
        <v>127</v>
      </c>
      <c r="R4" s="19">
        <f>'설정 Settings'!$C$42</f>
      </c>
      <c r="S4" s="45" t="s">
        <v>712</v>
      </c>
    </row>
    <row r="5" ht="16" customHeight="1" spans="1:19" x14ac:dyDescent="0.25">
      <c r="A5" s="11">
        <v>46299</v>
      </c>
      <c r="B5" s="24">
        <f>$A5+6</f>
      </c>
      <c r="C5" s="59">
        <f>SUMIFS('작업 Jobs'!$H$3:$H$1002,'작업 Jobs'!$C$3:$C$1002,"&gt;="&amp;$A5,'작업 Jobs'!$C$3:$C$1002,"&lt;="&amp;$B5)</f>
      </c>
      <c r="D5" s="59">
        <f>SUMIFS('지출 Expenses'!$D$3:$D$1002,'지출 Expenses'!$A$3:$A$1002,"&gt;="&amp;$A5,'지출 Expenses'!$A$3:$A$1002,"&lt;="&amp;$B5)</f>
      </c>
      <c r="E5" s="59">
        <f>$C5-$D5</f>
      </c>
      <c r="F5" s="7">
        <f>IF(OR('설정 Settings'!$C$39="NO",$A5&lt;'설정 Settings'!$C$41),"-","A")</f>
      </c>
      <c r="G5" s="59">
        <f>IF($E5&lt;=0,0,'설정 Settings'!$C$44*MIN($E5,$R$6)+MAX(0,$E5-$R$6))</f>
      </c>
      <c r="H5" s="59">
        <f>IF($F5="A",MAX(0,$R$4-$G5),0)</f>
      </c>
      <c r="I5" s="59">
        <f>$H5+$E5</f>
      </c>
      <c r="J5" s="59">
        <f>$H5+$E5-MAX(0,$E5)*$R$7</f>
      </c>
      <c r="K5" s="59">
        <f>$E5-MAX(0,$E5)*$R$7</f>
      </c>
      <c r="L5" s="59">
        <f>IFERROR(($R$4-'설정 Settings'!$C$44*$E5+(1-$R$7)*$E5)/(1-$R$7),"")</f>
      </c>
      <c r="M5" s="7"/>
      <c r="N5" s="11"/>
      <c r="O5" s="7"/>
      <c r="Q5" s="5" t="s">
        <v>132</v>
      </c>
      <c r="R5" s="19">
        <f>'설정 Settings'!$C$43</f>
      </c>
      <c r="S5" s="45" t="s">
        <v>613</v>
      </c>
    </row>
    <row r="6" ht="16" customHeight="1" spans="1:19" x14ac:dyDescent="0.25">
      <c r="A6" s="11">
        <v>46306</v>
      </c>
      <c r="B6" s="24">
        <f>$A6+6</f>
      </c>
      <c r="C6" s="59">
        <f>SUMIFS('작업 Jobs'!$H$3:$H$1002,'작업 Jobs'!$C$3:$C$1002,"&gt;="&amp;$A6,'작업 Jobs'!$C$3:$C$1002,"&lt;="&amp;$B6)</f>
      </c>
      <c r="D6" s="59">
        <f>SUMIFS('지출 Expenses'!$D$3:$D$1002,'지출 Expenses'!$A$3:$A$1002,"&gt;="&amp;$A6,'지출 Expenses'!$A$3:$A$1002,"&lt;="&amp;$B6)</f>
      </c>
      <c r="E6" s="59">
        <f>$C6-$D6</f>
      </c>
      <c r="F6" s="7">
        <f>IF(OR('설정 Settings'!$C$39="NO",$A6&lt;'설정 Settings'!$C$41),"-","A")</f>
      </c>
      <c r="G6" s="59">
        <f>IF($E6&lt;=0,0,'설정 Settings'!$C$44*MIN($E6,$R$6)+MAX(0,$E6-$R$6))</f>
      </c>
      <c r="H6" s="59">
        <f>IF($F6="A",MAX(0,$R$4-$G6),0)</f>
      </c>
      <c r="I6" s="59">
        <f>$H6+$E6</f>
      </c>
      <c r="J6" s="59">
        <f>$H6+$E6-MAX(0,$E6)*$R$7</f>
      </c>
      <c r="K6" s="59">
        <f>$E6-MAX(0,$E6)*$R$7</f>
      </c>
      <c r="L6" s="59">
        <f>IFERROR(($R$4-'설정 Settings'!$C$44*$E6+(1-$R$7)*$E6)/(1-$R$7),"")</f>
      </c>
      <c r="M6" s="7"/>
      <c r="N6" s="11"/>
      <c r="O6" s="7"/>
      <c r="Q6" s="5" t="s">
        <v>713</v>
      </c>
      <c r="R6" s="59">
        <f>'설정 Settings'!$C$43*'설정 Settings'!$C$45</f>
      </c>
      <c r="S6" s="45" t="s">
        <v>714</v>
      </c>
    </row>
    <row r="7" ht="16" customHeight="1" spans="1:19" x14ac:dyDescent="0.25">
      <c r="A7" s="11">
        <v>46313</v>
      </c>
      <c r="B7" s="24">
        <f>$A7+6</f>
      </c>
      <c r="C7" s="59">
        <f>SUMIFS('작업 Jobs'!$H$3:$H$1002,'작업 Jobs'!$C$3:$C$1002,"&gt;="&amp;$A7,'작업 Jobs'!$C$3:$C$1002,"&lt;="&amp;$B7)</f>
      </c>
      <c r="D7" s="59">
        <f>SUMIFS('지출 Expenses'!$D$3:$D$1002,'지출 Expenses'!$A$3:$A$1002,"&gt;="&amp;$A7,'지출 Expenses'!$A$3:$A$1002,"&lt;="&amp;$B7)</f>
      </c>
      <c r="E7" s="59">
        <f>$C7-$D7</f>
      </c>
      <c r="F7" s="7">
        <f>IF(OR('설정 Settings'!$C$39="NO",$A7&lt;'설정 Settings'!$C$41),"-","A")</f>
      </c>
      <c r="G7" s="59">
        <f>IF($E7&lt;=0,0,'설정 Settings'!$C$44*MIN($E7,$R$6)+MAX(0,$E7-$R$6))</f>
      </c>
      <c r="H7" s="59">
        <f>IF($F7="A",MAX(0,$R$4-$G7),0)</f>
      </c>
      <c r="I7" s="59">
        <f>$H7+$E7</f>
      </c>
      <c r="J7" s="59">
        <f>$H7+$E7-MAX(0,$E7)*$R$7</f>
      </c>
      <c r="K7" s="59">
        <f>$E7-MAX(0,$E7)*$R$7</f>
      </c>
      <c r="L7" s="59">
        <f>IFERROR(($R$4-'설정 Settings'!$C$44*$E7+(1-$R$7)*$E7)/(1-$R$7),"")</f>
      </c>
      <c r="M7" s="7"/>
      <c r="N7" s="11"/>
      <c r="O7" s="7"/>
      <c r="Q7" s="5" t="s">
        <v>715</v>
      </c>
      <c r="R7" s="22">
        <f>'설정 Settings'!$C$32</f>
      </c>
      <c r="S7" s="45" t="s">
        <v>716</v>
      </c>
    </row>
    <row r="8" ht="16" customHeight="1" spans="1:19" x14ac:dyDescent="0.25">
      <c r="A8" s="11">
        <v>46320</v>
      </c>
      <c r="B8" s="24">
        <f>$A8+6</f>
      </c>
      <c r="C8" s="59">
        <f>SUMIFS('작업 Jobs'!$H$3:$H$1002,'작업 Jobs'!$C$3:$C$1002,"&gt;="&amp;$A8,'작업 Jobs'!$C$3:$C$1002,"&lt;="&amp;$B8)</f>
      </c>
      <c r="D8" s="59">
        <f>SUMIFS('지출 Expenses'!$D$3:$D$1002,'지출 Expenses'!$A$3:$A$1002,"&gt;="&amp;$A8,'지출 Expenses'!$A$3:$A$1002,"&lt;="&amp;$B8)</f>
      </c>
      <c r="E8" s="59">
        <f>$C8-$D8</f>
      </c>
      <c r="F8" s="7">
        <f>IF(OR('설정 Settings'!$C$39="NO",$A8&lt;'설정 Settings'!$C$41),"-","A")</f>
      </c>
      <c r="G8" s="59">
        <f>IF($E8&lt;=0,0,'설정 Settings'!$C$44*MIN($E8,$R$6)+MAX(0,$E8-$R$6))</f>
      </c>
      <c r="H8" s="59">
        <f>IF($F8="A",MAX(0,$R$4-$G8),0)</f>
      </c>
      <c r="I8" s="59">
        <f>$H8+$E8</f>
      </c>
      <c r="J8" s="59">
        <f>$H8+$E8-MAX(0,$E8)*$R$7</f>
      </c>
      <c r="K8" s="59">
        <f>$E8-MAX(0,$E8)*$R$7</f>
      </c>
      <c r="L8" s="59">
        <f>IFERROR(($R$4-'설정 Settings'!$C$44*$E8+(1-$R$7)*$E8)/(1-$R$7),"")</f>
      </c>
      <c r="M8" s="7"/>
      <c r="N8" s="11"/>
      <c r="O8" s="7"/>
      <c r="Q8" s="5" t="s">
        <v>717</v>
      </c>
      <c r="R8" s="19">
        <f>'설정 Settings'!$C$46</f>
      </c>
      <c r="S8" s="45" t="s">
        <v>718</v>
      </c>
    </row>
    <row r="9" ht="29" customHeight="1" spans="1:19" x14ac:dyDescent="0.25">
      <c r="A9" s="11">
        <v>46327</v>
      </c>
      <c r="B9" s="24">
        <f>$A9+6</f>
      </c>
      <c r="C9" s="59">
        <f>SUMIFS('작업 Jobs'!$H$3:$H$1002,'작업 Jobs'!$C$3:$C$1002,"&gt;="&amp;$A9,'작업 Jobs'!$C$3:$C$1002,"&lt;="&amp;$B9)</f>
      </c>
      <c r="D9" s="59">
        <f>SUMIFS('지출 Expenses'!$D$3:$D$1002,'지출 Expenses'!$A$3:$A$1002,"&gt;="&amp;$A9,'지출 Expenses'!$A$3:$A$1002,"&lt;="&amp;$B9)</f>
      </c>
      <c r="E9" s="59">
        <f>$C9-$D9</f>
      </c>
      <c r="F9" s="7">
        <f>IF(OR('설정 Settings'!$C$39="NO",$A9&lt;'설정 Settings'!$C$41),"-","A")</f>
      </c>
      <c r="G9" s="59">
        <f>IF($E9&lt;=0,0,'설정 Settings'!$C$44*MIN($E9,$R$6)+MAX(0,$E9-$R$6))</f>
      </c>
      <c r="H9" s="59">
        <f>IF($F9="A",MAX(0,$R$4-$G9),0)</f>
      </c>
      <c r="I9" s="59">
        <f>$H9+$E9</f>
      </c>
      <c r="J9" s="59">
        <f>$H9+$E9-MAX(0,$E9)*$R$7</f>
      </c>
      <c r="K9" s="59">
        <f>$E9-MAX(0,$E9)*$R$7</f>
      </c>
      <c r="L9" s="59">
        <f>IFERROR(($R$4-'설정 Settings'!$C$44*$E9+(1-$R$7)*$E9)/(1-$R$7),"")</f>
      </c>
      <c r="M9" s="7"/>
      <c r="N9" s="11"/>
      <c r="O9" s="7"/>
      <c r="Q9" s="5" t="s">
        <v>719</v>
      </c>
      <c r="R9" s="62">
        <f>IFERROR(($R$4-'설정 Settings'!$C$44*$R$8+(1-$R$7)*$R$8)/(1-$R$7),0)</f>
      </c>
      <c r="S9" s="45" t="s">
        <v>720</v>
      </c>
    </row>
    <row r="10" ht="16" customHeight="1" spans="1:19" x14ac:dyDescent="0.25">
      <c r="A10" s="11">
        <v>46334</v>
      </c>
      <c r="B10" s="24">
        <f>$A10+6</f>
      </c>
      <c r="C10" s="59">
        <f>SUMIFS('작업 Jobs'!$H$3:$H$1002,'작업 Jobs'!$C$3:$C$1002,"&gt;="&amp;$A10,'작업 Jobs'!$C$3:$C$1002,"&lt;="&amp;$B10)</f>
      </c>
      <c r="D10" s="59">
        <f>SUMIFS('지출 Expenses'!$D$3:$D$1002,'지출 Expenses'!$A$3:$A$1002,"&gt;="&amp;$A10,'지출 Expenses'!$A$3:$A$1002,"&lt;="&amp;$B10)</f>
      </c>
      <c r="E10" s="59">
        <f>$C10-$D10</f>
      </c>
      <c r="F10" s="7">
        <f>IF(OR('설정 Settings'!$C$39="NO",$A10&lt;'설정 Settings'!$C$41),"-","A")</f>
      </c>
      <c r="G10" s="59">
        <f>IF($E10&lt;=0,0,'설정 Settings'!$C$44*MIN($E10,$R$6)+MAX(0,$E10-$R$6))</f>
      </c>
      <c r="H10" s="59">
        <f>IF($F10="A",MAX(0,$R$4-$G10),0)</f>
      </c>
      <c r="I10" s="59">
        <f>$H10+$E10</f>
      </c>
      <c r="J10" s="59">
        <f>$H10+$E10-MAX(0,$E10)*$R$7</f>
      </c>
      <c r="K10" s="59">
        <f>$E10-MAX(0,$E10)*$R$7</f>
      </c>
      <c r="L10" s="59">
        <f>IFERROR(($R$4-'설정 Settings'!$C$44*$E10+(1-$R$7)*$E10)/(1-$R$7),"")</f>
      </c>
      <c r="M10" s="7"/>
      <c r="N10" s="11"/>
      <c r="O10" s="7"/>
      <c r="Q10" s="5" t="s">
        <v>721</v>
      </c>
      <c r="R10" s="10">
        <f>IF($R$8&gt;$R$6,"A가 90% 한도 초과 — 전환선 재계산 필요","OK")</f>
      </c>
      <c r="S10" s="45" t="s">
        <v>722</v>
      </c>
    </row>
    <row r="11" ht="16" customHeight="1" spans="1:19" x14ac:dyDescent="0.25">
      <c r="A11" s="11">
        <v>46341</v>
      </c>
      <c r="B11" s="24">
        <f>$A11+6</f>
      </c>
      <c r="C11" s="59">
        <f>SUMIFS('작업 Jobs'!$H$3:$H$1002,'작업 Jobs'!$C$3:$C$1002,"&gt;="&amp;$A11,'작업 Jobs'!$C$3:$C$1002,"&lt;="&amp;$B11)</f>
      </c>
      <c r="D11" s="59">
        <f>SUMIFS('지출 Expenses'!$D$3:$D$1002,'지출 Expenses'!$A$3:$A$1002,"&gt;="&amp;$A11,'지출 Expenses'!$A$3:$A$1002,"&lt;="&amp;$B11)</f>
      </c>
      <c r="E11" s="59">
        <f>$C11-$D11</f>
      </c>
      <c r="F11" s="7">
        <f>IF(OR('설정 Settings'!$C$39="NO",$A11&lt;'설정 Settings'!$C$41),"-","A")</f>
      </c>
      <c r="G11" s="59">
        <f>IF($E11&lt;=0,0,'설정 Settings'!$C$44*MIN($E11,$R$6)+MAX(0,$E11-$R$6))</f>
      </c>
      <c r="H11" s="59">
        <f>IF($F11="A",MAX(0,$R$4-$G11),0)</f>
      </c>
      <c r="I11" s="59">
        <f>$H11+$E11</f>
      </c>
      <c r="J11" s="59">
        <f>$H11+$E11-MAX(0,$E11)*$R$7</f>
      </c>
      <c r="K11" s="59">
        <f>$E11-MAX(0,$E11)*$R$7</f>
      </c>
      <c r="L11" s="59">
        <f>IFERROR(($R$4-'설정 Settings'!$C$44*$E11+(1-$R$7)*$E11)/(1-$R$7),"")</f>
      </c>
      <c r="M11" s="7"/>
      <c r="N11" s="11"/>
      <c r="O11" s="7"/>
      <c r="Q11" s="5" t="s">
        <v>723</v>
      </c>
      <c r="R11" s="59">
        <f>SUMIFS('작업 Jobs'!$M$3:$M$1002,'작업 Jobs'!$C$3:$C$1002,"&gt;="&amp;('설정 Settings'!$C$15-13),'작업 Jobs'!$C$3:$C$1002,"&lt;="&amp;'설정 Settings'!$C$15)</f>
      </c>
      <c r="S11" s="45" t="s">
        <v>724</v>
      </c>
    </row>
    <row r="12" ht="81" customHeight="1" spans="1:19" x14ac:dyDescent="0.25">
      <c r="A12" s="11">
        <v>46348</v>
      </c>
      <c r="B12" s="24">
        <f>$A12+6</f>
      </c>
      <c r="C12" s="59">
        <f>SUMIFS('작업 Jobs'!$H$3:$H$1002,'작업 Jobs'!$C$3:$C$1002,"&gt;="&amp;$A12,'작업 Jobs'!$C$3:$C$1002,"&lt;="&amp;$B12)</f>
      </c>
      <c r="D12" s="59">
        <f>SUMIFS('지출 Expenses'!$D$3:$D$1002,'지출 Expenses'!$A$3:$A$1002,"&gt;="&amp;$A12,'지출 Expenses'!$A$3:$A$1002,"&lt;="&amp;$B12)</f>
      </c>
      <c r="E12" s="59">
        <f>$C12-$D12</f>
      </c>
      <c r="F12" s="7">
        <f>IF(OR('설정 Settings'!$C$39="NO",$A12&lt;'설정 Settings'!$C$41),"-","A")</f>
      </c>
      <c r="G12" s="59">
        <f>IF($E12&lt;=0,0,'설정 Settings'!$C$44*MIN($E12,$R$6)+MAX(0,$E12-$R$6))</f>
      </c>
      <c r="H12" s="59">
        <f>IF($F12="A",MAX(0,$R$4-$G12),0)</f>
      </c>
      <c r="I12" s="59">
        <f>$H12+$E12</f>
      </c>
      <c r="J12" s="59">
        <f>$H12+$E12-MAX(0,$E12)*$R$7</f>
      </c>
      <c r="K12" s="59">
        <f>$E12-MAX(0,$E12)*$R$7</f>
      </c>
      <c r="L12" s="59">
        <f>IFERROR(($R$4-'설정 Settings'!$C$44*$E12+(1-$R$7)*$E12)/(1-$R$7),"")</f>
      </c>
      <c r="M12" s="7"/>
      <c r="N12" s="11"/>
      <c r="O12" s="7"/>
      <c r="Q12" s="5" t="s">
        <v>725</v>
      </c>
      <c r="R12" s="59">
        <f>SUMIFS('견적 Quotes'!$P$3:$P$1002,'견적 Quotes'!$I$3:$I$1002,"WON",'견적 Quotes'!$G$3:$G$1002,"&lt;&gt;SNOW",'견적 Quotes'!$K$3:$K$1002,"&gt;"&amp;'설정 Settings'!$C$15,'견적 Quotes'!$K$3:$K$1002,"&lt;="&amp;('설정 Settings'!$C$15+14))</f>
      </c>
      <c r="S12" s="45" t="s">
        <v>726</v>
      </c>
    </row>
    <row r="13" ht="29" customHeight="1" spans="1:19" x14ac:dyDescent="0.25">
      <c r="A13" s="11">
        <v>46355</v>
      </c>
      <c r="B13" s="24">
        <f>$A13+6</f>
      </c>
      <c r="C13" s="59">
        <f>SUMIFS('작업 Jobs'!$H$3:$H$1002,'작업 Jobs'!$C$3:$C$1002,"&gt;="&amp;$A13,'작업 Jobs'!$C$3:$C$1002,"&lt;="&amp;$B13)</f>
      </c>
      <c r="D13" s="59">
        <f>SUMIFS('지출 Expenses'!$D$3:$D$1002,'지출 Expenses'!$A$3:$A$1002,"&gt;="&amp;$A13,'지출 Expenses'!$A$3:$A$1002,"&lt;="&amp;$B13)</f>
      </c>
      <c r="E13" s="59">
        <f>$C13-$D13</f>
      </c>
      <c r="F13" s="7">
        <f>IF(OR('설정 Settings'!$C$39="NO",$A13&lt;'설정 Settings'!$C$41),"-","A")</f>
      </c>
      <c r="G13" s="59">
        <f>IF($E13&lt;=0,0,'설정 Settings'!$C$44*MIN($E13,$R$6)+MAX(0,$E13-$R$6))</f>
      </c>
      <c r="H13" s="59">
        <f>IF($F13="A",MAX(0,$R$4-$G13),0)</f>
      </c>
      <c r="I13" s="59">
        <f>$H13+$E13</f>
      </c>
      <c r="J13" s="59">
        <f>$H13+$E13-MAX(0,$E13)*$R$7</f>
      </c>
      <c r="K13" s="59">
        <f>$E13-MAX(0,$E13)*$R$7</f>
      </c>
      <c r="L13" s="59">
        <f>IFERROR(($R$4-'설정 Settings'!$C$44*$E13+(1-$R$7)*$E13)/(1-$R$7),"")</f>
      </c>
      <c r="M13" s="7"/>
      <c r="N13" s="11"/>
      <c r="O13" s="7"/>
      <c r="Q13" s="5" t="s">
        <v>727</v>
      </c>
      <c r="R13" s="59">
        <f>IFERROR(($R$11+$R$12)/4,0)</f>
      </c>
      <c r="S13" s="45" t="s">
        <v>728</v>
      </c>
    </row>
    <row r="14" ht="42" customHeight="1" spans="1:19" x14ac:dyDescent="0.25">
      <c r="A14" s="11">
        <v>46362</v>
      </c>
      <c r="B14" s="24">
        <f>$A14+6</f>
      </c>
      <c r="C14" s="59">
        <f>SUMIFS('작업 Jobs'!$H$3:$H$1002,'작업 Jobs'!$C$3:$C$1002,"&gt;="&amp;$A14,'작업 Jobs'!$C$3:$C$1002,"&lt;="&amp;$B14)</f>
      </c>
      <c r="D14" s="59">
        <f>SUMIFS('지출 Expenses'!$D$3:$D$1002,'지출 Expenses'!$A$3:$A$1002,"&gt;="&amp;$A14,'지출 Expenses'!$A$3:$A$1002,"&lt;="&amp;$B14)</f>
      </c>
      <c r="E14" s="59">
        <f>$C14-$D14</f>
      </c>
      <c r="F14" s="7">
        <f>IF(OR('설정 Settings'!$C$39="NO",$A14&lt;'설정 Settings'!$C$41),"-","A")</f>
      </c>
      <c r="G14" s="59">
        <f>IF($E14&lt;=0,0,'설정 Settings'!$C$44*MIN($E14,$R$6)+MAX(0,$E14-$R$6))</f>
      </c>
      <c r="H14" s="59">
        <f>IF($F14="A",MAX(0,$R$4-$G14),0)</f>
      </c>
      <c r="I14" s="59">
        <f>$H14+$E14</f>
      </c>
      <c r="J14" s="59">
        <f>$H14+$E14-MAX(0,$E14)*$R$7</f>
      </c>
      <c r="K14" s="59">
        <f>$E14-MAX(0,$E14)*$R$7</f>
      </c>
      <c r="L14" s="59">
        <f>IFERROR(($R$4-'설정 Settings'!$C$44*$E14+(1-$R$7)*$E14)/(1-$R$7),"")</f>
      </c>
      <c r="M14" s="7"/>
      <c r="N14" s="11"/>
      <c r="O14" s="7"/>
      <c r="Q14" s="21" t="s">
        <v>729</v>
      </c>
      <c r="R14" s="58">
        <f>IF('설정 Settings'!$C$39="NO","EI 없음 — Path B (사업 전념)",IF($R$13&gt;=$R$9,"Path B 전환 검토 (주 $"&amp;ROUND($R$9,0)&amp;" 이상)","Path A 유지"))</f>
      </c>
      <c r="S14" s="45" t="s">
        <v>730</v>
      </c>
    </row>
    <row r="15" ht="16" customHeight="1" spans="1:19" x14ac:dyDescent="0.25">
      <c r="A15" s="11">
        <v>46369</v>
      </c>
      <c r="B15" s="24">
        <f>$A15+6</f>
      </c>
      <c r="C15" s="59">
        <f>SUMIFS('작업 Jobs'!$H$3:$H$1002,'작업 Jobs'!$C$3:$C$1002,"&gt;="&amp;$A15,'작업 Jobs'!$C$3:$C$1002,"&lt;="&amp;$B15)</f>
      </c>
      <c r="D15" s="59">
        <f>SUMIFS('지출 Expenses'!$D$3:$D$1002,'지출 Expenses'!$A$3:$A$1002,"&gt;="&amp;$A15,'지출 Expenses'!$A$3:$A$1002,"&lt;="&amp;$B15)</f>
      </c>
      <c r="E15" s="59">
        <f>$C15-$D15</f>
      </c>
      <c r="F15" s="7">
        <f>IF(OR('설정 Settings'!$C$39="NO",$A15&lt;'설정 Settings'!$C$41),"-","A")</f>
      </c>
      <c r="G15" s="59">
        <f>IF($E15&lt;=0,0,'설정 Settings'!$C$44*MIN($E15,$R$6)+MAX(0,$E15-$R$6))</f>
      </c>
      <c r="H15" s="59">
        <f>IF($F15="A",MAX(0,$R$4-$G15),0)</f>
      </c>
      <c r="I15" s="59">
        <f>$H15+$E15</f>
      </c>
      <c r="J15" s="59">
        <f>$H15+$E15-MAX(0,$E15)*$R$7</f>
      </c>
      <c r="K15" s="59">
        <f>$E15-MAX(0,$E15)*$R$7</f>
      </c>
      <c r="L15" s="59">
        <f>IFERROR(($R$4-'설정 Settings'!$C$44*$E15+(1-$R$7)*$E15)/(1-$R$7),"")</f>
      </c>
      <c r="M15" s="7"/>
      <c r="N15" s="11"/>
      <c r="O15" s="7"/>
      <c r="Q15" s="5" t="s">
        <v>120</v>
      </c>
      <c r="R15" s="24">
        <f>'설정 Settings'!$C$40</f>
      </c>
      <c r="S15" s="45" t="s">
        <v>731</v>
      </c>
    </row>
    <row r="16" ht="16" customHeight="1" spans="1:19" x14ac:dyDescent="0.25">
      <c r="A16" s="11">
        <v>46376</v>
      </c>
      <c r="B16" s="24">
        <f>$A16+6</f>
      </c>
      <c r="C16" s="59">
        <f>SUMIFS('작업 Jobs'!$H$3:$H$1002,'작업 Jobs'!$C$3:$C$1002,"&gt;="&amp;$A16,'작업 Jobs'!$C$3:$C$1002,"&lt;="&amp;$B16)</f>
      </c>
      <c r="D16" s="59">
        <f>SUMIFS('지출 Expenses'!$D$3:$D$1002,'지출 Expenses'!$A$3:$A$1002,"&gt;="&amp;$A16,'지출 Expenses'!$A$3:$A$1002,"&lt;="&amp;$B16)</f>
      </c>
      <c r="E16" s="59">
        <f>$C16-$D16</f>
      </c>
      <c r="F16" s="7">
        <f>IF(OR('설정 Settings'!$C$39="NO",$A16&lt;'설정 Settings'!$C$41),"-","A")</f>
      </c>
      <c r="G16" s="59">
        <f>IF($E16&lt;=0,0,'설정 Settings'!$C$44*MIN($E16,$R$6)+MAX(0,$E16-$R$6))</f>
      </c>
      <c r="H16" s="59">
        <f>IF($F16="A",MAX(0,$R$4-$G16),0)</f>
      </c>
      <c r="I16" s="59">
        <f>$H16+$E16</f>
      </c>
      <c r="J16" s="59">
        <f>$H16+$E16-MAX(0,$E16)*$R$7</f>
      </c>
      <c r="K16" s="59">
        <f>$E16-MAX(0,$E16)*$R$7</f>
      </c>
      <c r="L16" s="59">
        <f>IFERROR(($R$4-'설정 Settings'!$C$44*$E16+(1-$R$7)*$E16)/(1-$R$7),"")</f>
      </c>
      <c r="M16" s="7"/>
      <c r="N16" s="11"/>
      <c r="O16" s="7"/>
      <c r="Q16" s="5" t="s">
        <v>732</v>
      </c>
      <c r="R16" s="10">
        <f>'설정 Settings'!$C$39</f>
      </c>
      <c r="S16" s="45" t="s">
        <v>613</v>
      </c>
    </row>
    <row r="17" spans="1:15" x14ac:dyDescent="0.25">
      <c r="A17" s="11">
        <v>46383</v>
      </c>
      <c r="B17" s="24">
        <f>$A17+6</f>
      </c>
      <c r="C17" s="59">
        <f>SUMIFS('작업 Jobs'!$H$3:$H$1002,'작업 Jobs'!$C$3:$C$1002,"&gt;="&amp;$A17,'작업 Jobs'!$C$3:$C$1002,"&lt;="&amp;$B17)</f>
      </c>
      <c r="D17" s="59">
        <f>SUMIFS('지출 Expenses'!$D$3:$D$1002,'지출 Expenses'!$A$3:$A$1002,"&gt;="&amp;$A17,'지출 Expenses'!$A$3:$A$1002,"&lt;="&amp;$B17)</f>
      </c>
      <c r="E17" s="59">
        <f>$C17-$D17</f>
      </c>
      <c r="F17" s="7">
        <f>IF(OR('설정 Settings'!$C$39="NO",$A17&lt;'설정 Settings'!$C$41),"-","A")</f>
      </c>
      <c r="G17" s="59">
        <f>IF($E17&lt;=0,0,'설정 Settings'!$C$44*MIN($E17,$R$6)+MAX(0,$E17-$R$6))</f>
      </c>
      <c r="H17" s="59">
        <f>IF($F17="A",MAX(0,$R$4-$G17),0)</f>
      </c>
      <c r="I17" s="59">
        <f>$H17+$E17</f>
      </c>
      <c r="J17" s="59">
        <f>$H17+$E17-MAX(0,$E17)*$R$7</f>
      </c>
      <c r="K17" s="59">
        <f>$E17-MAX(0,$E17)*$R$7</f>
      </c>
      <c r="L17" s="59">
        <f>IFERROR(($R$4-'설정 Settings'!$C$44*$E17+(1-$R$7)*$E17)/(1-$R$7),"")</f>
      </c>
      <c r="M17" s="7"/>
      <c r="N17" s="11"/>
      <c r="O17" s="7"/>
    </row>
    <row r="18" spans="1:15" x14ac:dyDescent="0.25">
      <c r="A18" s="11">
        <v>46390</v>
      </c>
      <c r="B18" s="24">
        <f>$A18+6</f>
      </c>
      <c r="C18" s="59">
        <f>SUMIFS('작업 Jobs'!$H$3:$H$1002,'작업 Jobs'!$C$3:$C$1002,"&gt;="&amp;$A18,'작업 Jobs'!$C$3:$C$1002,"&lt;="&amp;$B18)</f>
      </c>
      <c r="D18" s="59">
        <f>SUMIFS('지출 Expenses'!$D$3:$D$1002,'지출 Expenses'!$A$3:$A$1002,"&gt;="&amp;$A18,'지출 Expenses'!$A$3:$A$1002,"&lt;="&amp;$B18)</f>
      </c>
      <c r="E18" s="59">
        <f>$C18-$D18</f>
      </c>
      <c r="F18" s="7">
        <f>IF(OR('설정 Settings'!$C$39="NO",$A18&lt;'설정 Settings'!$C$41),"-","A")</f>
      </c>
      <c r="G18" s="59">
        <f>IF($E18&lt;=0,0,'설정 Settings'!$C$44*MIN($E18,$R$6)+MAX(0,$E18-$R$6))</f>
      </c>
      <c r="H18" s="59">
        <f>IF($F18="A",MAX(0,$R$4-$G18),0)</f>
      </c>
      <c r="I18" s="59">
        <f>$H18+$E18</f>
      </c>
      <c r="J18" s="59">
        <f>$H18+$E18-MAX(0,$E18)*$R$7</f>
      </c>
      <c r="K18" s="59">
        <f>$E18-MAX(0,$E18)*$R$7</f>
      </c>
      <c r="L18" s="59">
        <f>IFERROR(($R$4-'설정 Settings'!$C$44*$E18+(1-$R$7)*$E18)/(1-$R$7),"")</f>
      </c>
      <c r="M18" s="7"/>
      <c r="N18" s="11"/>
      <c r="O18" s="7"/>
    </row>
    <row r="19" spans="1:15" x14ac:dyDescent="0.25">
      <c r="A19" s="11">
        <v>46397</v>
      </c>
      <c r="B19" s="24">
        <f>$A19+6</f>
      </c>
      <c r="C19" s="59">
        <f>SUMIFS('작업 Jobs'!$H$3:$H$1002,'작업 Jobs'!$C$3:$C$1002,"&gt;="&amp;$A19,'작업 Jobs'!$C$3:$C$1002,"&lt;="&amp;$B19)</f>
      </c>
      <c r="D19" s="59">
        <f>SUMIFS('지출 Expenses'!$D$3:$D$1002,'지출 Expenses'!$A$3:$A$1002,"&gt;="&amp;$A19,'지출 Expenses'!$A$3:$A$1002,"&lt;="&amp;$B19)</f>
      </c>
      <c r="E19" s="59">
        <f>$C19-$D19</f>
      </c>
      <c r="F19" s="7">
        <f>IF(OR('설정 Settings'!$C$39="NO",$A19&lt;'설정 Settings'!$C$41),"-","A")</f>
      </c>
      <c r="G19" s="59">
        <f>IF($E19&lt;=0,0,'설정 Settings'!$C$44*MIN($E19,$R$6)+MAX(0,$E19-$R$6))</f>
      </c>
      <c r="H19" s="59">
        <f>IF($F19="A",MAX(0,$R$4-$G19),0)</f>
      </c>
      <c r="I19" s="59">
        <f>$H19+$E19</f>
      </c>
      <c r="J19" s="59">
        <f>$H19+$E19-MAX(0,$E19)*$R$7</f>
      </c>
      <c r="K19" s="59">
        <f>$E19-MAX(0,$E19)*$R$7</f>
      </c>
      <c r="L19" s="59">
        <f>IFERROR(($R$4-'설정 Settings'!$C$44*$E19+(1-$R$7)*$E19)/(1-$R$7),"")</f>
      </c>
      <c r="M19" s="7"/>
      <c r="N19" s="11"/>
      <c r="O19" s="7"/>
    </row>
    <row r="20" spans="1:15" x14ac:dyDescent="0.25">
      <c r="A20" s="11">
        <v>46404</v>
      </c>
      <c r="B20" s="24">
        <f>$A20+6</f>
      </c>
      <c r="C20" s="59">
        <f>SUMIFS('작업 Jobs'!$H$3:$H$1002,'작업 Jobs'!$C$3:$C$1002,"&gt;="&amp;$A20,'작업 Jobs'!$C$3:$C$1002,"&lt;="&amp;$B20)</f>
      </c>
      <c r="D20" s="59">
        <f>SUMIFS('지출 Expenses'!$D$3:$D$1002,'지출 Expenses'!$A$3:$A$1002,"&gt;="&amp;$A20,'지출 Expenses'!$A$3:$A$1002,"&lt;="&amp;$B20)</f>
      </c>
      <c r="E20" s="59">
        <f>$C20-$D20</f>
      </c>
      <c r="F20" s="7">
        <f>IF(OR('설정 Settings'!$C$39="NO",$A20&lt;'설정 Settings'!$C$41),"-","A")</f>
      </c>
      <c r="G20" s="59">
        <f>IF($E20&lt;=0,0,'설정 Settings'!$C$44*MIN($E20,$R$6)+MAX(0,$E20-$R$6))</f>
      </c>
      <c r="H20" s="59">
        <f>IF($F20="A",MAX(0,$R$4-$G20),0)</f>
      </c>
      <c r="I20" s="59">
        <f>$H20+$E20</f>
      </c>
      <c r="J20" s="59">
        <f>$H20+$E20-MAX(0,$E20)*$R$7</f>
      </c>
      <c r="K20" s="59">
        <f>$E20-MAX(0,$E20)*$R$7</f>
      </c>
      <c r="L20" s="59">
        <f>IFERROR(($R$4-'설정 Settings'!$C$44*$E20+(1-$R$7)*$E20)/(1-$R$7),"")</f>
      </c>
      <c r="M20" s="7"/>
      <c r="N20" s="11"/>
      <c r="O20" s="7"/>
    </row>
    <row r="21" spans="1:15" x14ac:dyDescent="0.25">
      <c r="A21" s="11">
        <v>46411</v>
      </c>
      <c r="B21" s="24">
        <f>$A21+6</f>
      </c>
      <c r="C21" s="59">
        <f>SUMIFS('작업 Jobs'!$H$3:$H$1002,'작업 Jobs'!$C$3:$C$1002,"&gt;="&amp;$A21,'작업 Jobs'!$C$3:$C$1002,"&lt;="&amp;$B21)</f>
      </c>
      <c r="D21" s="59">
        <f>SUMIFS('지출 Expenses'!$D$3:$D$1002,'지출 Expenses'!$A$3:$A$1002,"&gt;="&amp;$A21,'지출 Expenses'!$A$3:$A$1002,"&lt;="&amp;$B21)</f>
      </c>
      <c r="E21" s="59">
        <f>$C21-$D21</f>
      </c>
      <c r="F21" s="7">
        <f>IF(OR('설정 Settings'!$C$39="NO",$A21&lt;'설정 Settings'!$C$41),"-","A")</f>
      </c>
      <c r="G21" s="59">
        <f>IF($E21&lt;=0,0,'설정 Settings'!$C$44*MIN($E21,$R$6)+MAX(0,$E21-$R$6))</f>
      </c>
      <c r="H21" s="59">
        <f>IF($F21="A",MAX(0,$R$4-$G21),0)</f>
      </c>
      <c r="I21" s="59">
        <f>$H21+$E21</f>
      </c>
      <c r="J21" s="59">
        <f>$H21+$E21-MAX(0,$E21)*$R$7</f>
      </c>
      <c r="K21" s="59">
        <f>$E21-MAX(0,$E21)*$R$7</f>
      </c>
      <c r="L21" s="59">
        <f>IFERROR(($R$4-'설정 Settings'!$C$44*$E21+(1-$R$7)*$E21)/(1-$R$7),"")</f>
      </c>
      <c r="M21" s="7"/>
      <c r="N21" s="11"/>
      <c r="O21" s="7"/>
    </row>
    <row r="22" spans="1:15" x14ac:dyDescent="0.25">
      <c r="A22" s="11">
        <v>46418</v>
      </c>
      <c r="B22" s="24">
        <f>$A22+6</f>
      </c>
      <c r="C22" s="59">
        <f>SUMIFS('작업 Jobs'!$H$3:$H$1002,'작업 Jobs'!$C$3:$C$1002,"&gt;="&amp;$A22,'작업 Jobs'!$C$3:$C$1002,"&lt;="&amp;$B22)</f>
      </c>
      <c r="D22" s="59">
        <f>SUMIFS('지출 Expenses'!$D$3:$D$1002,'지출 Expenses'!$A$3:$A$1002,"&gt;="&amp;$A22,'지출 Expenses'!$A$3:$A$1002,"&lt;="&amp;$B22)</f>
      </c>
      <c r="E22" s="59">
        <f>$C22-$D22</f>
      </c>
      <c r="F22" s="7">
        <f>IF(OR('설정 Settings'!$C$39="NO",$A22&lt;'설정 Settings'!$C$41),"-","A")</f>
      </c>
      <c r="G22" s="59">
        <f>IF($E22&lt;=0,0,'설정 Settings'!$C$44*MIN($E22,$R$6)+MAX(0,$E22-$R$6))</f>
      </c>
      <c r="H22" s="59">
        <f>IF($F22="A",MAX(0,$R$4-$G22),0)</f>
      </c>
      <c r="I22" s="59">
        <f>$H22+$E22</f>
      </c>
      <c r="J22" s="59">
        <f>$H22+$E22-MAX(0,$E22)*$R$7</f>
      </c>
      <c r="K22" s="59">
        <f>$E22-MAX(0,$E22)*$R$7</f>
      </c>
      <c r="L22" s="59">
        <f>IFERROR(($R$4-'설정 Settings'!$C$44*$E22+(1-$R$7)*$E22)/(1-$R$7),"")</f>
      </c>
      <c r="M22" s="7"/>
      <c r="N22" s="11"/>
      <c r="O22" s="7"/>
    </row>
    <row r="23" spans="1:15" x14ac:dyDescent="0.25">
      <c r="A23" s="11">
        <v>46425</v>
      </c>
      <c r="B23" s="24">
        <f>$A23+6</f>
      </c>
      <c r="C23" s="59">
        <f>SUMIFS('작업 Jobs'!$H$3:$H$1002,'작업 Jobs'!$C$3:$C$1002,"&gt;="&amp;$A23,'작업 Jobs'!$C$3:$C$1002,"&lt;="&amp;$B23)</f>
      </c>
      <c r="D23" s="59">
        <f>SUMIFS('지출 Expenses'!$D$3:$D$1002,'지출 Expenses'!$A$3:$A$1002,"&gt;="&amp;$A23,'지출 Expenses'!$A$3:$A$1002,"&lt;="&amp;$B23)</f>
      </c>
      <c r="E23" s="59">
        <f>$C23-$D23</f>
      </c>
      <c r="F23" s="7">
        <f>IF(OR('설정 Settings'!$C$39="NO",$A23&lt;'설정 Settings'!$C$41),"-","A")</f>
      </c>
      <c r="G23" s="59">
        <f>IF($E23&lt;=0,0,'설정 Settings'!$C$44*MIN($E23,$R$6)+MAX(0,$E23-$R$6))</f>
      </c>
      <c r="H23" s="59">
        <f>IF($F23="A",MAX(0,$R$4-$G23),0)</f>
      </c>
      <c r="I23" s="59">
        <f>$H23+$E23</f>
      </c>
      <c r="J23" s="59">
        <f>$H23+$E23-MAX(0,$E23)*$R$7</f>
      </c>
      <c r="K23" s="59">
        <f>$E23-MAX(0,$E23)*$R$7</f>
      </c>
      <c r="L23" s="59">
        <f>IFERROR(($R$4-'설정 Settings'!$C$44*$E23+(1-$R$7)*$E23)/(1-$R$7),"")</f>
      </c>
      <c r="M23" s="7"/>
      <c r="N23" s="11"/>
      <c r="O23" s="7"/>
    </row>
    <row r="24" spans="1:15" x14ac:dyDescent="0.25">
      <c r="A24" s="11">
        <v>46432</v>
      </c>
      <c r="B24" s="24">
        <f>$A24+6</f>
      </c>
      <c r="C24" s="59">
        <f>SUMIFS('작업 Jobs'!$H$3:$H$1002,'작업 Jobs'!$C$3:$C$1002,"&gt;="&amp;$A24,'작업 Jobs'!$C$3:$C$1002,"&lt;="&amp;$B24)</f>
      </c>
      <c r="D24" s="59">
        <f>SUMIFS('지출 Expenses'!$D$3:$D$1002,'지출 Expenses'!$A$3:$A$1002,"&gt;="&amp;$A24,'지출 Expenses'!$A$3:$A$1002,"&lt;="&amp;$B24)</f>
      </c>
      <c r="E24" s="59">
        <f>$C24-$D24</f>
      </c>
      <c r="F24" s="7">
        <f>IF(OR('설정 Settings'!$C$39="NO",$A24&lt;'설정 Settings'!$C$41),"-","A")</f>
      </c>
      <c r="G24" s="59">
        <f>IF($E24&lt;=0,0,'설정 Settings'!$C$44*MIN($E24,$R$6)+MAX(0,$E24-$R$6))</f>
      </c>
      <c r="H24" s="59">
        <f>IF($F24="A",MAX(0,$R$4-$G24),0)</f>
      </c>
      <c r="I24" s="59">
        <f>$H24+$E24</f>
      </c>
      <c r="J24" s="59">
        <f>$H24+$E24-MAX(0,$E24)*$R$7</f>
      </c>
      <c r="K24" s="59">
        <f>$E24-MAX(0,$E24)*$R$7</f>
      </c>
      <c r="L24" s="59">
        <f>IFERROR(($R$4-'설정 Settings'!$C$44*$E24+(1-$R$7)*$E24)/(1-$R$7),"")</f>
      </c>
      <c r="M24" s="7"/>
      <c r="N24" s="11"/>
      <c r="O24" s="7"/>
    </row>
    <row r="25" spans="1:15" x14ac:dyDescent="0.25">
      <c r="A25" s="11">
        <v>46439</v>
      </c>
      <c r="B25" s="24">
        <f>$A25+6</f>
      </c>
      <c r="C25" s="59">
        <f>SUMIFS('작업 Jobs'!$H$3:$H$1002,'작업 Jobs'!$C$3:$C$1002,"&gt;="&amp;$A25,'작업 Jobs'!$C$3:$C$1002,"&lt;="&amp;$B25)</f>
      </c>
      <c r="D25" s="59">
        <f>SUMIFS('지출 Expenses'!$D$3:$D$1002,'지출 Expenses'!$A$3:$A$1002,"&gt;="&amp;$A25,'지출 Expenses'!$A$3:$A$1002,"&lt;="&amp;$B25)</f>
      </c>
      <c r="E25" s="59">
        <f>$C25-$D25</f>
      </c>
      <c r="F25" s="7">
        <f>IF(OR('설정 Settings'!$C$39="NO",$A25&lt;'설정 Settings'!$C$41),"-","A")</f>
      </c>
      <c r="G25" s="59">
        <f>IF($E25&lt;=0,0,'설정 Settings'!$C$44*MIN($E25,$R$6)+MAX(0,$E25-$R$6))</f>
      </c>
      <c r="H25" s="59">
        <f>IF($F25="A",MAX(0,$R$4-$G25),0)</f>
      </c>
      <c r="I25" s="59">
        <f>$H25+$E25</f>
      </c>
      <c r="J25" s="59">
        <f>$H25+$E25-MAX(0,$E25)*$R$7</f>
      </c>
      <c r="K25" s="59">
        <f>$E25-MAX(0,$E25)*$R$7</f>
      </c>
      <c r="L25" s="59">
        <f>IFERROR(($R$4-'설정 Settings'!$C$44*$E25+(1-$R$7)*$E25)/(1-$R$7),"")</f>
      </c>
      <c r="M25" s="7"/>
      <c r="N25" s="11"/>
      <c r="O25" s="7"/>
    </row>
    <row r="26" spans="1:15" x14ac:dyDescent="0.25">
      <c r="A26" s="11">
        <v>46446</v>
      </c>
      <c r="B26" s="24">
        <f>$A26+6</f>
      </c>
      <c r="C26" s="59">
        <f>SUMIFS('작업 Jobs'!$H$3:$H$1002,'작업 Jobs'!$C$3:$C$1002,"&gt;="&amp;$A26,'작업 Jobs'!$C$3:$C$1002,"&lt;="&amp;$B26)</f>
      </c>
      <c r="D26" s="59">
        <f>SUMIFS('지출 Expenses'!$D$3:$D$1002,'지출 Expenses'!$A$3:$A$1002,"&gt;="&amp;$A26,'지출 Expenses'!$A$3:$A$1002,"&lt;="&amp;$B26)</f>
      </c>
      <c r="E26" s="59">
        <f>$C26-$D26</f>
      </c>
      <c r="F26" s="7">
        <f>IF(OR('설정 Settings'!$C$39="NO",$A26&lt;'설정 Settings'!$C$41),"-","A")</f>
      </c>
      <c r="G26" s="59">
        <f>IF($E26&lt;=0,0,'설정 Settings'!$C$44*MIN($E26,$R$6)+MAX(0,$E26-$R$6))</f>
      </c>
      <c r="H26" s="59">
        <f>IF($F26="A",MAX(0,$R$4-$G26),0)</f>
      </c>
      <c r="I26" s="59">
        <f>$H26+$E26</f>
      </c>
      <c r="J26" s="59">
        <f>$H26+$E26-MAX(0,$E26)*$R$7</f>
      </c>
      <c r="K26" s="59">
        <f>$E26-MAX(0,$E26)*$R$7</f>
      </c>
      <c r="L26" s="59">
        <f>IFERROR(($R$4-'설정 Settings'!$C$44*$E26+(1-$R$7)*$E26)/(1-$R$7),"")</f>
      </c>
      <c r="M26" s="7"/>
      <c r="N26" s="11"/>
      <c r="O26" s="7"/>
    </row>
    <row r="27" spans="1:15" x14ac:dyDescent="0.25">
      <c r="A27" s="11">
        <v>46453</v>
      </c>
      <c r="B27" s="24">
        <f>$A27+6</f>
      </c>
      <c r="C27" s="59">
        <f>SUMIFS('작업 Jobs'!$H$3:$H$1002,'작업 Jobs'!$C$3:$C$1002,"&gt;="&amp;$A27,'작업 Jobs'!$C$3:$C$1002,"&lt;="&amp;$B27)</f>
      </c>
      <c r="D27" s="59">
        <f>SUMIFS('지출 Expenses'!$D$3:$D$1002,'지출 Expenses'!$A$3:$A$1002,"&gt;="&amp;$A27,'지출 Expenses'!$A$3:$A$1002,"&lt;="&amp;$B27)</f>
      </c>
      <c r="E27" s="59">
        <f>$C27-$D27</f>
      </c>
      <c r="F27" s="7">
        <f>IF(OR('설정 Settings'!$C$39="NO",$A27&lt;'설정 Settings'!$C$41),"-","A")</f>
      </c>
      <c r="G27" s="59">
        <f>IF($E27&lt;=0,0,'설정 Settings'!$C$44*MIN($E27,$R$6)+MAX(0,$E27-$R$6))</f>
      </c>
      <c r="H27" s="59">
        <f>IF($F27="A",MAX(0,$R$4-$G27),0)</f>
      </c>
      <c r="I27" s="59">
        <f>$H27+$E27</f>
      </c>
      <c r="J27" s="59">
        <f>$H27+$E27-MAX(0,$E27)*$R$7</f>
      </c>
      <c r="K27" s="59">
        <f>$E27-MAX(0,$E27)*$R$7</f>
      </c>
      <c r="L27" s="59">
        <f>IFERROR(($R$4-'설정 Settings'!$C$44*$E27+(1-$R$7)*$E27)/(1-$R$7),"")</f>
      </c>
      <c r="M27" s="7"/>
      <c r="N27" s="11"/>
      <c r="O27" s="7"/>
    </row>
    <row r="28" spans="1:15" x14ac:dyDescent="0.25">
      <c r="A28" s="11">
        <v>46460</v>
      </c>
      <c r="B28" s="24">
        <f>$A28+6</f>
      </c>
      <c r="C28" s="59">
        <f>SUMIFS('작업 Jobs'!$H$3:$H$1002,'작업 Jobs'!$C$3:$C$1002,"&gt;="&amp;$A28,'작업 Jobs'!$C$3:$C$1002,"&lt;="&amp;$B28)</f>
      </c>
      <c r="D28" s="59">
        <f>SUMIFS('지출 Expenses'!$D$3:$D$1002,'지출 Expenses'!$A$3:$A$1002,"&gt;="&amp;$A28,'지출 Expenses'!$A$3:$A$1002,"&lt;="&amp;$B28)</f>
      </c>
      <c r="E28" s="59">
        <f>$C28-$D28</f>
      </c>
      <c r="F28" s="7">
        <f>IF(OR('설정 Settings'!$C$39="NO",$A28&lt;'설정 Settings'!$C$41),"-","A")</f>
      </c>
      <c r="G28" s="59">
        <f>IF($E28&lt;=0,0,'설정 Settings'!$C$44*MIN($E28,$R$6)+MAX(0,$E28-$R$6))</f>
      </c>
      <c r="H28" s="59">
        <f>IF($F28="A",MAX(0,$R$4-$G28),0)</f>
      </c>
      <c r="I28" s="59">
        <f>$H28+$E28</f>
      </c>
      <c r="J28" s="59">
        <f>$H28+$E28-MAX(0,$E28)*$R$7</f>
      </c>
      <c r="K28" s="59">
        <f>$E28-MAX(0,$E28)*$R$7</f>
      </c>
      <c r="L28" s="59">
        <f>IFERROR(($R$4-'설정 Settings'!$C$44*$E28+(1-$R$7)*$E28)/(1-$R$7),"")</f>
      </c>
      <c r="M28" s="7"/>
      <c r="N28" s="11"/>
      <c r="O28" s="7"/>
    </row>
    <row r="29" spans="1:15" x14ac:dyDescent="0.25">
      <c r="A29" s="11">
        <v>46467</v>
      </c>
      <c r="B29" s="24">
        <f>$A29+6</f>
      </c>
      <c r="C29" s="59">
        <f>SUMIFS('작업 Jobs'!$H$3:$H$1002,'작업 Jobs'!$C$3:$C$1002,"&gt;="&amp;$A29,'작업 Jobs'!$C$3:$C$1002,"&lt;="&amp;$B29)</f>
      </c>
      <c r="D29" s="59">
        <f>SUMIFS('지출 Expenses'!$D$3:$D$1002,'지출 Expenses'!$A$3:$A$1002,"&gt;="&amp;$A29,'지출 Expenses'!$A$3:$A$1002,"&lt;="&amp;$B29)</f>
      </c>
      <c r="E29" s="59">
        <f>$C29-$D29</f>
      </c>
      <c r="F29" s="7">
        <f>IF(OR('설정 Settings'!$C$39="NO",$A29&lt;'설정 Settings'!$C$41),"-","A")</f>
      </c>
      <c r="G29" s="59">
        <f>IF($E29&lt;=0,0,'설정 Settings'!$C$44*MIN($E29,$R$6)+MAX(0,$E29-$R$6))</f>
      </c>
      <c r="H29" s="59">
        <f>IF($F29="A",MAX(0,$R$4-$G29),0)</f>
      </c>
      <c r="I29" s="59">
        <f>$H29+$E29</f>
      </c>
      <c r="J29" s="59">
        <f>$H29+$E29-MAX(0,$E29)*$R$7</f>
      </c>
      <c r="K29" s="59">
        <f>$E29-MAX(0,$E29)*$R$7</f>
      </c>
      <c r="L29" s="59">
        <f>IFERROR(($R$4-'설정 Settings'!$C$44*$E29+(1-$R$7)*$E29)/(1-$R$7),"")</f>
      </c>
      <c r="M29" s="7"/>
      <c r="N29" s="11"/>
      <c r="O29" s="7"/>
    </row>
    <row r="30" spans="1:15" x14ac:dyDescent="0.25">
      <c r="A30" s="11">
        <v>46474</v>
      </c>
      <c r="B30" s="24">
        <f>$A30+6</f>
      </c>
      <c r="C30" s="59">
        <f>SUMIFS('작업 Jobs'!$H$3:$H$1002,'작업 Jobs'!$C$3:$C$1002,"&gt;="&amp;$A30,'작업 Jobs'!$C$3:$C$1002,"&lt;="&amp;$B30)</f>
      </c>
      <c r="D30" s="59">
        <f>SUMIFS('지출 Expenses'!$D$3:$D$1002,'지출 Expenses'!$A$3:$A$1002,"&gt;="&amp;$A30,'지출 Expenses'!$A$3:$A$1002,"&lt;="&amp;$B30)</f>
      </c>
      <c r="E30" s="59">
        <f>$C30-$D30</f>
      </c>
      <c r="F30" s="7">
        <f>IF(OR('설정 Settings'!$C$39="NO",$A30&lt;'설정 Settings'!$C$41),"-","A")</f>
      </c>
      <c r="G30" s="59">
        <f>IF($E30&lt;=0,0,'설정 Settings'!$C$44*MIN($E30,$R$6)+MAX(0,$E30-$R$6))</f>
      </c>
      <c r="H30" s="59">
        <f>IF($F30="A",MAX(0,$R$4-$G30),0)</f>
      </c>
      <c r="I30" s="59">
        <f>$H30+$E30</f>
      </c>
      <c r="J30" s="59">
        <f>$H30+$E30-MAX(0,$E30)*$R$7</f>
      </c>
      <c r="K30" s="59">
        <f>$E30-MAX(0,$E30)*$R$7</f>
      </c>
      <c r="L30" s="59">
        <f>IFERROR(($R$4-'설정 Settings'!$C$44*$E30+(1-$R$7)*$E30)/(1-$R$7),"")</f>
      </c>
      <c r="M30" s="7"/>
      <c r="N30" s="11"/>
      <c r="O30" s="7"/>
    </row>
    <row r="31" spans="1:15" x14ac:dyDescent="0.25">
      <c r="A31" s="11">
        <v>46481</v>
      </c>
      <c r="B31" s="24">
        <f>$A31+6</f>
      </c>
      <c r="C31" s="59">
        <f>SUMIFS('작업 Jobs'!$H$3:$H$1002,'작업 Jobs'!$C$3:$C$1002,"&gt;="&amp;$A31,'작업 Jobs'!$C$3:$C$1002,"&lt;="&amp;$B31)</f>
      </c>
      <c r="D31" s="59">
        <f>SUMIFS('지출 Expenses'!$D$3:$D$1002,'지출 Expenses'!$A$3:$A$1002,"&gt;="&amp;$A31,'지출 Expenses'!$A$3:$A$1002,"&lt;="&amp;$B31)</f>
      </c>
      <c r="E31" s="59">
        <f>$C31-$D31</f>
      </c>
      <c r="F31" s="7">
        <f>IF(OR('설정 Settings'!$C$39="NO",$A31&lt;'설정 Settings'!$C$41),"-","A")</f>
      </c>
      <c r="G31" s="59">
        <f>IF($E31&lt;=0,0,'설정 Settings'!$C$44*MIN($E31,$R$6)+MAX(0,$E31-$R$6))</f>
      </c>
      <c r="H31" s="59">
        <f>IF($F31="A",MAX(0,$R$4-$G31),0)</f>
      </c>
      <c r="I31" s="59">
        <f>$H31+$E31</f>
      </c>
      <c r="J31" s="59">
        <f>$H31+$E31-MAX(0,$E31)*$R$7</f>
      </c>
      <c r="K31" s="59">
        <f>$E31-MAX(0,$E31)*$R$7</f>
      </c>
      <c r="L31" s="59">
        <f>IFERROR(($R$4-'설정 Settings'!$C$44*$E31+(1-$R$7)*$E31)/(1-$R$7),"")</f>
      </c>
      <c r="M31" s="7"/>
      <c r="N31" s="11"/>
      <c r="O31" s="7"/>
    </row>
    <row r="32" spans="1:15" x14ac:dyDescent="0.25">
      <c r="A32" s="11">
        <v>46488</v>
      </c>
      <c r="B32" s="24">
        <f>$A32+6</f>
      </c>
      <c r="C32" s="59">
        <f>SUMIFS('작업 Jobs'!$H$3:$H$1002,'작업 Jobs'!$C$3:$C$1002,"&gt;="&amp;$A32,'작업 Jobs'!$C$3:$C$1002,"&lt;="&amp;$B32)</f>
      </c>
      <c r="D32" s="59">
        <f>SUMIFS('지출 Expenses'!$D$3:$D$1002,'지출 Expenses'!$A$3:$A$1002,"&gt;="&amp;$A32,'지출 Expenses'!$A$3:$A$1002,"&lt;="&amp;$B32)</f>
      </c>
      <c r="E32" s="59">
        <f>$C32-$D32</f>
      </c>
      <c r="F32" s="7">
        <f>IF(OR('설정 Settings'!$C$39="NO",$A32&lt;'설정 Settings'!$C$41),"-","A")</f>
      </c>
      <c r="G32" s="59">
        <f>IF($E32&lt;=0,0,'설정 Settings'!$C$44*MIN($E32,$R$6)+MAX(0,$E32-$R$6))</f>
      </c>
      <c r="H32" s="59">
        <f>IF($F32="A",MAX(0,$R$4-$G32),0)</f>
      </c>
      <c r="I32" s="59">
        <f>$H32+$E32</f>
      </c>
      <c r="J32" s="59">
        <f>$H32+$E32-MAX(0,$E32)*$R$7</f>
      </c>
      <c r="K32" s="59">
        <f>$E32-MAX(0,$E32)*$R$7</f>
      </c>
      <c r="L32" s="59">
        <f>IFERROR(($R$4-'설정 Settings'!$C$44*$E32+(1-$R$7)*$E32)/(1-$R$7),"")</f>
      </c>
      <c r="M32" s="7"/>
      <c r="N32" s="11"/>
      <c r="O32" s="7"/>
    </row>
    <row r="33" spans="1:15" x14ac:dyDescent="0.25">
      <c r="A33" s="11">
        <v>46495</v>
      </c>
      <c r="B33" s="24">
        <f>$A33+6</f>
      </c>
      <c r="C33" s="59">
        <f>SUMIFS('작업 Jobs'!$H$3:$H$1002,'작업 Jobs'!$C$3:$C$1002,"&gt;="&amp;$A33,'작업 Jobs'!$C$3:$C$1002,"&lt;="&amp;$B33)</f>
      </c>
      <c r="D33" s="59">
        <f>SUMIFS('지출 Expenses'!$D$3:$D$1002,'지출 Expenses'!$A$3:$A$1002,"&gt;="&amp;$A33,'지출 Expenses'!$A$3:$A$1002,"&lt;="&amp;$B33)</f>
      </c>
      <c r="E33" s="59">
        <f>$C33-$D33</f>
      </c>
      <c r="F33" s="7">
        <f>IF(OR('설정 Settings'!$C$39="NO",$A33&lt;'설정 Settings'!$C$41),"-","A")</f>
      </c>
      <c r="G33" s="59">
        <f>IF($E33&lt;=0,0,'설정 Settings'!$C$44*MIN($E33,$R$6)+MAX(0,$E33-$R$6))</f>
      </c>
      <c r="H33" s="59">
        <f>IF($F33="A",MAX(0,$R$4-$G33),0)</f>
      </c>
      <c r="I33" s="59">
        <f>$H33+$E33</f>
      </c>
      <c r="J33" s="59">
        <f>$H33+$E33-MAX(0,$E33)*$R$7</f>
      </c>
      <c r="K33" s="59">
        <f>$E33-MAX(0,$E33)*$R$7</f>
      </c>
      <c r="L33" s="59">
        <f>IFERROR(($R$4-'설정 Settings'!$C$44*$E33+(1-$R$7)*$E33)/(1-$R$7),"")</f>
      </c>
      <c r="M33" s="7"/>
      <c r="N33" s="11"/>
      <c r="O33" s="7"/>
    </row>
    <row r="34" spans="1:15" x14ac:dyDescent="0.25">
      <c r="A34" s="11">
        <v>46502</v>
      </c>
      <c r="B34" s="24">
        <f>$A34+6</f>
      </c>
      <c r="C34" s="59">
        <f>SUMIFS('작업 Jobs'!$H$3:$H$1002,'작업 Jobs'!$C$3:$C$1002,"&gt;="&amp;$A34,'작업 Jobs'!$C$3:$C$1002,"&lt;="&amp;$B34)</f>
      </c>
      <c r="D34" s="59">
        <f>SUMIFS('지출 Expenses'!$D$3:$D$1002,'지출 Expenses'!$A$3:$A$1002,"&gt;="&amp;$A34,'지출 Expenses'!$A$3:$A$1002,"&lt;="&amp;$B34)</f>
      </c>
      <c r="E34" s="59">
        <f>$C34-$D34</f>
      </c>
      <c r="F34" s="7">
        <f>IF(OR('설정 Settings'!$C$39="NO",$A34&lt;'설정 Settings'!$C$41),"-","A")</f>
      </c>
      <c r="G34" s="59">
        <f>IF($E34&lt;=0,0,'설정 Settings'!$C$44*MIN($E34,$R$6)+MAX(0,$E34-$R$6))</f>
      </c>
      <c r="H34" s="59">
        <f>IF($F34="A",MAX(0,$R$4-$G34),0)</f>
      </c>
      <c r="I34" s="59">
        <f>$H34+$E34</f>
      </c>
      <c r="J34" s="59">
        <f>$H34+$E34-MAX(0,$E34)*$R$7</f>
      </c>
      <c r="K34" s="59">
        <f>$E34-MAX(0,$E34)*$R$7</f>
      </c>
      <c r="L34" s="59">
        <f>IFERROR(($R$4-'설정 Settings'!$C$44*$E34+(1-$R$7)*$E34)/(1-$R$7),"")</f>
      </c>
      <c r="M34" s="7"/>
      <c r="N34" s="11"/>
      <c r="O34" s="7"/>
    </row>
  </sheetData>
  <mergeCells count="2">
    <mergeCell ref="A1:O1"/>
    <mergeCell ref="A2:O2"/>
  </mergeCells>
  <dataValidations count="2">
    <dataValidation type="list" allowBlank="1" showErrorMessage="1" errorStyle="stop" errorTitle="목록에서 고르세요 / Pick from the list" error="A,B,-" sqref="F4:F34">
      <formula1>"A,B,-"</formula1>
    </dataValidation>
    <dataValidation type="list" allowBlank="1" showErrorMessage="1" errorStyle="stop" errorTitle="목록에서 고르세요 / Pick from the list" error="Y,N" sqref="M4:M34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M5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13" customWidth="1"/>
    <col min="4" max="6" width="14" customWidth="1"/>
    <col min="7" max="7" width="30" customWidth="1"/>
    <col min="8" max="8" width="38" customWidth="1"/>
    <col min="9" max="9" width="13" customWidth="1"/>
    <col min="10" max="12" width="12" customWidth="1"/>
    <col min="13" max="13" width="14" customWidth="1"/>
  </cols>
  <sheetData>
    <row r="1" ht="24" customHeight="1" spans="1:13" x14ac:dyDescent="0.25">
      <c r="A1" s="1" t="s">
        <v>733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42" customHeight="1" spans="1:13" x14ac:dyDescent="0.25">
      <c r="A2" s="2" t="s">
        <v>734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32" customHeight="1" spans="1:13" x14ac:dyDescent="0.25">
      <c r="A4" s="3" t="s">
        <v>735</v>
      </c>
      <c r="B4" s="3" t="s">
        <v>736</v>
      </c>
      <c r="C4" s="3" t="s">
        <v>737</v>
      </c>
      <c r="D4" s="20" t="s">
        <v>738</v>
      </c>
      <c r="E4" s="20" t="s">
        <v>739</v>
      </c>
      <c r="F4" s="20" t="s">
        <v>740</v>
      </c>
      <c r="G4" s="20" t="s">
        <v>741</v>
      </c>
      <c r="H4" s="20" t="s">
        <v>742</v>
      </c>
      <c r="I4" s="20" t="s">
        <v>743</v>
      </c>
      <c r="J4" s="20" t="s">
        <v>744</v>
      </c>
      <c r="K4" s="20" t="s">
        <v>745</v>
      </c>
      <c r="L4" s="20" t="s">
        <v>543</v>
      </c>
      <c r="M4" s="20" t="s">
        <v>746</v>
      </c>
    </row>
    <row r="5" spans="1:13" x14ac:dyDescent="0.25">
      <c r="A5" s="21" t="s">
        <v>747</v>
      </c>
      <c r="B5" s="24">
        <v>46204</v>
      </c>
      <c r="C5" s="24">
        <v>46295</v>
      </c>
      <c r="D5" s="19">
        <f>SUMIFS('작업 Jobs'!$H$3:$H$1002,'작업 Jobs'!$C$3:$C$1002,"&gt;="&amp;$B5,'작업 Jobs'!$C$3:$C$1002,"&lt;="&amp;$C5)</f>
      </c>
      <c r="E5" s="19">
        <f>$D5-IF('설정 Settings'!$C$31="NO",SUMIFS('작업 Jobs'!$H$3:$H$1002,'작업 Jobs'!$F$3:$F$1002,"PLAT",'작업 Jobs'!$C$3:$C$1002,"&gt;="&amp;$B5,'작업 Jobs'!$C$3:$C$1002,"&lt;="&amp;$C5),0)</f>
      </c>
      <c r="F5" s="63">
        <f>SUM($E$5:$E5)</f>
      </c>
      <c r="G5" s="10">
        <f>IF($E5&gt;'설정 Settings'!$C$28,"기준 이상 — 단일 분기 테스트: 등록 확인",IF($E5&gt;='설정 Settings'!$C$30,"경고: 단일 분기 경고선 이상",""))</f>
      </c>
      <c r="H5" s="10">
        <f>IF($F5&gt;'설정 Settings'!$C$28,"기준 초과 — 등록 준비 (분기+다음 달까지 소규모 지위, F7)",IF($F5&gt;='설정 Settings'!$C$29,"경고: 4분기 합계 경고선 이상",""))</f>
      </c>
      <c r="I5" s="19">
        <f>SUMIFS('입금 Payments'!$C$3:$C$1002,'입금 Payments'!$A$3:$A$1002,"&gt;="&amp;$B5,'입금 Payments'!$A$3:$A$1002,"&lt;="&amp;$C5)</f>
      </c>
      <c r="J5" s="19">
        <f>$D5-$I5</f>
      </c>
      <c r="K5" s="19">
        <f>SUMIFS('지출 Expenses'!$D$3:$D$1002,'지출 Expenses'!$A$3:$A$1002,"&gt;="&amp;$B5,'지출 Expenses'!$A$3:$A$1002,"&lt;="&amp;$C5)</f>
      </c>
      <c r="L5" s="19">
        <f>$D5-$K5</f>
      </c>
      <c r="M5" s="19">
        <f>MAX(0,$L5)*'설정 Settings'!$C$32</f>
      </c>
    </row>
    <row r="6" spans="1:13" x14ac:dyDescent="0.25">
      <c r="A6" s="21" t="s">
        <v>748</v>
      </c>
      <c r="B6" s="24">
        <v>46296</v>
      </c>
      <c r="C6" s="24">
        <v>46387</v>
      </c>
      <c r="D6" s="19">
        <f>SUMIFS('작업 Jobs'!$H$3:$H$1002,'작업 Jobs'!$C$3:$C$1002,"&gt;="&amp;$B6,'작업 Jobs'!$C$3:$C$1002,"&lt;="&amp;$C6)</f>
      </c>
      <c r="E6" s="19">
        <f>$D6-IF('설정 Settings'!$C$31="NO",SUMIFS('작업 Jobs'!$H$3:$H$1002,'작업 Jobs'!$F$3:$F$1002,"PLAT",'작업 Jobs'!$C$3:$C$1002,"&gt;="&amp;$B6,'작업 Jobs'!$C$3:$C$1002,"&lt;="&amp;$C6),0)</f>
      </c>
      <c r="F6" s="63">
        <f>SUM($E$5:$E6)</f>
      </c>
      <c r="G6" s="10">
        <f>IF($E6&gt;'설정 Settings'!$C$28,"기준 이상 — 단일 분기 테스트: 등록 확인",IF($E6&gt;='설정 Settings'!$C$30,"경고: 단일 분기 경고선 이상",""))</f>
      </c>
      <c r="H6" s="10">
        <f>IF($F6&gt;'설정 Settings'!$C$28,"기준 초과 — 등록 준비 (분기+다음 달까지 소규모 지위, F7)",IF($F6&gt;='설정 Settings'!$C$29,"경고: 4분기 합계 경고선 이상",""))</f>
      </c>
      <c r="I6" s="19">
        <f>SUMIFS('입금 Payments'!$C$3:$C$1002,'입금 Payments'!$A$3:$A$1002,"&gt;="&amp;$B6,'입금 Payments'!$A$3:$A$1002,"&lt;="&amp;$C6)</f>
      </c>
      <c r="J6" s="19">
        <f>$D6-$I6</f>
      </c>
      <c r="K6" s="19">
        <f>SUMIFS('지출 Expenses'!$D$3:$D$1002,'지출 Expenses'!$A$3:$A$1002,"&gt;="&amp;$B6,'지출 Expenses'!$A$3:$A$1002,"&lt;="&amp;$C6)</f>
      </c>
      <c r="L6" s="19">
        <f>$D6-$K6</f>
      </c>
      <c r="M6" s="19">
        <f>MAX(0,$L6)*'설정 Settings'!$C$32</f>
      </c>
    </row>
    <row r="7" spans="1:13" x14ac:dyDescent="0.25">
      <c r="A7" s="21" t="s">
        <v>749</v>
      </c>
      <c r="B7" s="24">
        <v>46388</v>
      </c>
      <c r="C7" s="24">
        <v>46477</v>
      </c>
      <c r="D7" s="19">
        <f>SUMIFS('작업 Jobs'!$H$3:$H$1002,'작업 Jobs'!$C$3:$C$1002,"&gt;="&amp;$B7,'작업 Jobs'!$C$3:$C$1002,"&lt;="&amp;$C7)</f>
      </c>
      <c r="E7" s="19">
        <f>$D7-IF('설정 Settings'!$C$31="NO",SUMIFS('작업 Jobs'!$H$3:$H$1002,'작업 Jobs'!$F$3:$F$1002,"PLAT",'작업 Jobs'!$C$3:$C$1002,"&gt;="&amp;$B7,'작업 Jobs'!$C$3:$C$1002,"&lt;="&amp;$C7),0)</f>
      </c>
      <c r="F7" s="63">
        <f>SUM($E$5:$E7)</f>
      </c>
      <c r="G7" s="10">
        <f>IF($E7&gt;'설정 Settings'!$C$28,"기준 이상 — 단일 분기 테스트: 등록 확인",IF($E7&gt;='설정 Settings'!$C$30,"경고: 단일 분기 경고선 이상",""))</f>
      </c>
      <c r="H7" s="10">
        <f>IF($F7&gt;'설정 Settings'!$C$28,"기준 초과 — 등록 준비 (분기+다음 달까지 소규모 지위, F7)",IF($F7&gt;='설정 Settings'!$C$29,"경고: 4분기 합계 경고선 이상",""))</f>
      </c>
      <c r="I7" s="19">
        <f>SUMIFS('입금 Payments'!$C$3:$C$1002,'입금 Payments'!$A$3:$A$1002,"&gt;="&amp;$B7,'입금 Payments'!$A$3:$A$1002,"&lt;="&amp;$C7)</f>
      </c>
      <c r="J7" s="19">
        <f>$D7-$I7</f>
      </c>
      <c r="K7" s="19">
        <f>SUMIFS('지출 Expenses'!$D$3:$D$1002,'지출 Expenses'!$A$3:$A$1002,"&gt;="&amp;$B7,'지출 Expenses'!$A$3:$A$1002,"&lt;="&amp;$C7)</f>
      </c>
      <c r="L7" s="19">
        <f>$D7-$K7</f>
      </c>
      <c r="M7" s="19">
        <f>MAX(0,$L7)*'설정 Settings'!$C$32</f>
      </c>
    </row>
    <row r="8" spans="1:13" x14ac:dyDescent="0.25">
      <c r="A8" s="21" t="s">
        <v>750</v>
      </c>
      <c r="B8" s="24">
        <v>46478</v>
      </c>
      <c r="C8" s="24">
        <v>46568</v>
      </c>
      <c r="D8" s="19">
        <f>SUMIFS('작업 Jobs'!$H$3:$H$1002,'작업 Jobs'!$C$3:$C$1002,"&gt;="&amp;$B8,'작업 Jobs'!$C$3:$C$1002,"&lt;="&amp;$C8)</f>
      </c>
      <c r="E8" s="19">
        <f>$D8-IF('설정 Settings'!$C$31="NO",SUMIFS('작업 Jobs'!$H$3:$H$1002,'작업 Jobs'!$F$3:$F$1002,"PLAT",'작업 Jobs'!$C$3:$C$1002,"&gt;="&amp;$B8,'작업 Jobs'!$C$3:$C$1002,"&lt;="&amp;$C8),0)</f>
      </c>
      <c r="F8" s="63">
        <f>SUM($E$5:$E8)</f>
      </c>
      <c r="G8" s="10">
        <f>IF($E8&gt;'설정 Settings'!$C$28,"기준 이상 — 단일 분기 테스트: 등록 확인",IF($E8&gt;='설정 Settings'!$C$30,"경고: 단일 분기 경고선 이상",""))</f>
      </c>
      <c r="H8" s="10">
        <f>IF($F8&gt;'설정 Settings'!$C$28,"기준 초과 — 등록 준비 (분기+다음 달까지 소규모 지위, F7)",IF($F8&gt;='설정 Settings'!$C$29,"경고: 4분기 합계 경고선 이상",""))</f>
      </c>
      <c r="I8" s="19">
        <f>SUMIFS('입금 Payments'!$C$3:$C$1002,'입금 Payments'!$A$3:$A$1002,"&gt;="&amp;$B8,'입금 Payments'!$A$3:$A$1002,"&lt;="&amp;$C8)</f>
      </c>
      <c r="J8" s="19">
        <f>$D8-$I8</f>
      </c>
      <c r="K8" s="19">
        <f>SUMIFS('지출 Expenses'!$D$3:$D$1002,'지출 Expenses'!$A$3:$A$1002,"&gt;="&amp;$B8,'지출 Expenses'!$A$3:$A$1002,"&lt;="&amp;$C8)</f>
      </c>
      <c r="L8" s="19">
        <f>$D8-$K8</f>
      </c>
      <c r="M8" s="19">
        <f>MAX(0,$L8)*'설정 Settings'!$C$32</f>
      </c>
    </row>
    <row r="9" spans="1:13" x14ac:dyDescent="0.25">
      <c r="A9" s="21" t="s">
        <v>751</v>
      </c>
      <c r="B9" s="24">
        <v>46569</v>
      </c>
      <c r="C9" s="24">
        <v>46660</v>
      </c>
      <c r="D9" s="19">
        <f>SUMIFS('작업 Jobs'!$H$3:$H$1002,'작업 Jobs'!$C$3:$C$1002,"&gt;="&amp;$B9,'작업 Jobs'!$C$3:$C$1002,"&lt;="&amp;$C9)</f>
      </c>
      <c r="E9" s="19">
        <f>$D9-IF('설정 Settings'!$C$31="NO",SUMIFS('작업 Jobs'!$H$3:$H$1002,'작업 Jobs'!$F$3:$F$1002,"PLAT",'작업 Jobs'!$C$3:$C$1002,"&gt;="&amp;$B9,'작업 Jobs'!$C$3:$C$1002,"&lt;="&amp;$C9),0)</f>
      </c>
      <c r="F9" s="63">
        <f>SUM($E$6:$E9)</f>
      </c>
      <c r="G9" s="10">
        <f>IF($E9&gt;'설정 Settings'!$C$28,"기준 이상 — 단일 분기 테스트: 등록 확인",IF($E9&gt;='설정 Settings'!$C$30,"경고: 단일 분기 경고선 이상",""))</f>
      </c>
      <c r="H9" s="10">
        <f>IF($F9&gt;'설정 Settings'!$C$28,"기준 초과 — 등록 준비 (분기+다음 달까지 소규모 지위, F7)",IF($F9&gt;='설정 Settings'!$C$29,"경고: 4분기 합계 경고선 이상",""))</f>
      </c>
      <c r="I9" s="19">
        <f>SUMIFS('입금 Payments'!$C$3:$C$1002,'입금 Payments'!$A$3:$A$1002,"&gt;="&amp;$B9,'입금 Payments'!$A$3:$A$1002,"&lt;="&amp;$C9)</f>
      </c>
      <c r="J9" s="19">
        <f>$D9-$I9</f>
      </c>
      <c r="K9" s="19">
        <f>SUMIFS('지출 Expenses'!$D$3:$D$1002,'지출 Expenses'!$A$3:$A$1002,"&gt;="&amp;$B9,'지출 Expenses'!$A$3:$A$1002,"&lt;="&amp;$C9)</f>
      </c>
      <c r="L9" s="19">
        <f>$D9-$K9</f>
      </c>
      <c r="M9" s="19">
        <f>MAX(0,$L9)*'설정 Settings'!$C$32</f>
      </c>
    </row>
    <row r="10" spans="1:13" x14ac:dyDescent="0.25">
      <c r="A10" s="21" t="s">
        <v>752</v>
      </c>
      <c r="B10" s="24">
        <v>46661</v>
      </c>
      <c r="C10" s="24">
        <v>46752</v>
      </c>
      <c r="D10" s="19">
        <f>SUMIFS('작업 Jobs'!$H$3:$H$1002,'작업 Jobs'!$C$3:$C$1002,"&gt;="&amp;$B10,'작업 Jobs'!$C$3:$C$1002,"&lt;="&amp;$C10)</f>
      </c>
      <c r="E10" s="19">
        <f>$D10-IF('설정 Settings'!$C$31="NO",SUMIFS('작업 Jobs'!$H$3:$H$1002,'작업 Jobs'!$F$3:$F$1002,"PLAT",'작업 Jobs'!$C$3:$C$1002,"&gt;="&amp;$B10,'작업 Jobs'!$C$3:$C$1002,"&lt;="&amp;$C10),0)</f>
      </c>
      <c r="F10" s="63">
        <f>SUM($E$7:$E10)</f>
      </c>
      <c r="G10" s="10">
        <f>IF($E10&gt;'설정 Settings'!$C$28,"기준 이상 — 단일 분기 테스트: 등록 확인",IF($E10&gt;='설정 Settings'!$C$30,"경고: 단일 분기 경고선 이상",""))</f>
      </c>
      <c r="H10" s="10">
        <f>IF($F10&gt;'설정 Settings'!$C$28,"기준 초과 — 등록 준비 (분기+다음 달까지 소규모 지위, F7)",IF($F10&gt;='설정 Settings'!$C$29,"경고: 4분기 합계 경고선 이상",""))</f>
      </c>
      <c r="I10" s="19">
        <f>SUMIFS('입금 Payments'!$C$3:$C$1002,'입금 Payments'!$A$3:$A$1002,"&gt;="&amp;$B10,'입금 Payments'!$A$3:$A$1002,"&lt;="&amp;$C10)</f>
      </c>
      <c r="J10" s="19">
        <f>$D10-$I10</f>
      </c>
      <c r="K10" s="19">
        <f>SUMIFS('지출 Expenses'!$D$3:$D$1002,'지출 Expenses'!$A$3:$A$1002,"&gt;="&amp;$B10,'지출 Expenses'!$A$3:$A$1002,"&lt;="&amp;$C10)</f>
      </c>
      <c r="L10" s="19">
        <f>$D10-$K10</f>
      </c>
      <c r="M10" s="19">
        <f>MAX(0,$L10)*'설정 Settings'!$C$32</f>
      </c>
    </row>
    <row r="11" spans="1:13" x14ac:dyDescent="0.25">
      <c r="A11" s="21" t="s">
        <v>753</v>
      </c>
      <c r="B11" s="24">
        <v>46753</v>
      </c>
      <c r="C11" s="24">
        <v>46843</v>
      </c>
      <c r="D11" s="19">
        <f>SUMIFS('작업 Jobs'!$H$3:$H$1002,'작업 Jobs'!$C$3:$C$1002,"&gt;="&amp;$B11,'작업 Jobs'!$C$3:$C$1002,"&lt;="&amp;$C11)</f>
      </c>
      <c r="E11" s="19">
        <f>$D11-IF('설정 Settings'!$C$31="NO",SUMIFS('작업 Jobs'!$H$3:$H$1002,'작업 Jobs'!$F$3:$F$1002,"PLAT",'작업 Jobs'!$C$3:$C$1002,"&gt;="&amp;$B11,'작업 Jobs'!$C$3:$C$1002,"&lt;="&amp;$C11),0)</f>
      </c>
      <c r="F11" s="63">
        <f>SUM($E$8:$E11)</f>
      </c>
      <c r="G11" s="10">
        <f>IF($E11&gt;'설정 Settings'!$C$28,"기준 이상 — 단일 분기 테스트: 등록 확인",IF($E11&gt;='설정 Settings'!$C$30,"경고: 단일 분기 경고선 이상",""))</f>
      </c>
      <c r="H11" s="10">
        <f>IF($F11&gt;'설정 Settings'!$C$28,"기준 초과 — 등록 준비 (분기+다음 달까지 소규모 지위, F7)",IF($F11&gt;='설정 Settings'!$C$29,"경고: 4분기 합계 경고선 이상",""))</f>
      </c>
      <c r="I11" s="19">
        <f>SUMIFS('입금 Payments'!$C$3:$C$1002,'입금 Payments'!$A$3:$A$1002,"&gt;="&amp;$B11,'입금 Payments'!$A$3:$A$1002,"&lt;="&amp;$C11)</f>
      </c>
      <c r="J11" s="19">
        <f>$D11-$I11</f>
      </c>
      <c r="K11" s="19">
        <f>SUMIFS('지출 Expenses'!$D$3:$D$1002,'지출 Expenses'!$A$3:$A$1002,"&gt;="&amp;$B11,'지출 Expenses'!$A$3:$A$1002,"&lt;="&amp;$C11)</f>
      </c>
      <c r="L11" s="19">
        <f>$D11-$K11</f>
      </c>
      <c r="M11" s="19">
        <f>MAX(0,$L11)*'설정 Settings'!$C$32</f>
      </c>
    </row>
    <row r="12" spans="1:13" x14ac:dyDescent="0.25">
      <c r="A12" s="21" t="s">
        <v>754</v>
      </c>
      <c r="B12" s="24">
        <v>46844</v>
      </c>
      <c r="C12" s="24">
        <v>46934</v>
      </c>
      <c r="D12" s="19">
        <f>SUMIFS('작업 Jobs'!$H$3:$H$1002,'작업 Jobs'!$C$3:$C$1002,"&gt;="&amp;$B12,'작업 Jobs'!$C$3:$C$1002,"&lt;="&amp;$C12)</f>
      </c>
      <c r="E12" s="19">
        <f>$D12-IF('설정 Settings'!$C$31="NO",SUMIFS('작업 Jobs'!$H$3:$H$1002,'작업 Jobs'!$F$3:$F$1002,"PLAT",'작업 Jobs'!$C$3:$C$1002,"&gt;="&amp;$B12,'작업 Jobs'!$C$3:$C$1002,"&lt;="&amp;$C12),0)</f>
      </c>
      <c r="F12" s="63">
        <f>SUM($E$9:$E12)</f>
      </c>
      <c r="G12" s="10">
        <f>IF($E12&gt;'설정 Settings'!$C$28,"기준 이상 — 단일 분기 테스트: 등록 확인",IF($E12&gt;='설정 Settings'!$C$30,"경고: 단일 분기 경고선 이상",""))</f>
      </c>
      <c r="H12" s="10">
        <f>IF($F12&gt;'설정 Settings'!$C$28,"기준 초과 — 등록 준비 (분기+다음 달까지 소규모 지위, F7)",IF($F12&gt;='설정 Settings'!$C$29,"경고: 4분기 합계 경고선 이상",""))</f>
      </c>
      <c r="I12" s="19">
        <f>SUMIFS('입금 Payments'!$C$3:$C$1002,'입금 Payments'!$A$3:$A$1002,"&gt;="&amp;$B12,'입금 Payments'!$A$3:$A$1002,"&lt;="&amp;$C12)</f>
      </c>
      <c r="J12" s="19">
        <f>$D12-$I12</f>
      </c>
      <c r="K12" s="19">
        <f>SUMIFS('지출 Expenses'!$D$3:$D$1002,'지출 Expenses'!$A$3:$A$1002,"&gt;="&amp;$B12,'지출 Expenses'!$A$3:$A$1002,"&lt;="&amp;$C12)</f>
      </c>
      <c r="L12" s="19">
        <f>$D12-$K12</f>
      </c>
      <c r="M12" s="19">
        <f>MAX(0,$L12)*'설정 Settings'!$C$32</f>
      </c>
    </row>
    <row r="13" ht="30" customHeight="1" spans="1:13" x14ac:dyDescent="0.25">
      <c r="A13" s="2" t="s">
        <v>755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5" ht="20" customHeight="1" spans="1:8" x14ac:dyDescent="0.25">
      <c r="A15" s="4" t="s">
        <v>756</v>
      </c>
      <c r="B15" s="4"/>
      <c r="C15" s="4"/>
      <c r="D15" s="4"/>
      <c r="E15" s="4"/>
      <c r="F15" s="4"/>
      <c r="G15" s="4"/>
      <c r="H15" s="4"/>
    </row>
    <row r="16" spans="1:8" x14ac:dyDescent="0.25">
      <c r="A16" s="3" t="s">
        <v>757</v>
      </c>
      <c r="B16" s="20" t="s">
        <v>758</v>
      </c>
      <c r="C16" s="20" t="s">
        <v>759</v>
      </c>
      <c r="D16" s="20" t="s">
        <v>760</v>
      </c>
      <c r="E16" s="20" t="s">
        <v>761</v>
      </c>
      <c r="F16" s="20" t="s">
        <v>762</v>
      </c>
      <c r="G16" s="20" t="s">
        <v>763</v>
      </c>
      <c r="H16" s="20" t="s">
        <v>414</v>
      </c>
    </row>
    <row r="17" spans="1:8" x14ac:dyDescent="0.25">
      <c r="A17" s="21">
        <v>2026</v>
      </c>
      <c r="B17" s="19">
        <f>SUMIFS('작업 Jobs'!$H$3:$H$1002,'작업 Jobs'!$C$3:$C$1002,"&gt;="&amp;DATE($A17,1,1),'작업 Jobs'!$C$3:$C$1002,"&lt;="&amp;DATE($A17,12,31))</f>
      </c>
      <c r="C17" s="19">
        <f>SUMIFS('지출 Expenses'!$D$3:$D$1002,'지출 Expenses'!$A$3:$A$1002,"&gt;="&amp;DATE($A17,1,1),'지출 Expenses'!$A$3:$A$1002,"&lt;="&amp;DATE($A17,12,31))</f>
      </c>
      <c r="D17" s="19">
        <f>$B17-$C17</f>
      </c>
      <c r="E17" s="19">
        <f>MAX(0,$D17)*'설정 Settings'!$C$32</f>
      </c>
      <c r="F17" s="19">
        <f>MAX(0,$D17-'설정 Settings'!$C$33)*'설정 Settings'!$C$32</f>
      </c>
      <c r="G17" s="47">
        <f>SUMIFS('주행 Mileage'!$F$3:$F$1002,'주행 Mileage'!$A$3:$A$1002,"&gt;="&amp;DATE($A17,1,1),'주행 Mileage'!$A$3:$A$1002,"&lt;="&amp;DATE($A17,12,31))</f>
      </c>
      <c r="H17" s="25" t="s">
        <v>764</v>
      </c>
    </row>
    <row r="18" spans="1:8" x14ac:dyDescent="0.25">
      <c r="A18" s="21">
        <v>2027</v>
      </c>
      <c r="B18" s="19">
        <f>SUMIFS('작업 Jobs'!$H$3:$H$1002,'작업 Jobs'!$C$3:$C$1002,"&gt;="&amp;DATE($A18,1,1),'작업 Jobs'!$C$3:$C$1002,"&lt;="&amp;DATE($A18,12,31))</f>
      </c>
      <c r="C18" s="19">
        <f>SUMIFS('지출 Expenses'!$D$3:$D$1002,'지출 Expenses'!$A$3:$A$1002,"&gt;="&amp;DATE($A18,1,1),'지출 Expenses'!$A$3:$A$1002,"&lt;="&amp;DATE($A18,12,31))</f>
      </c>
      <c r="D18" s="19">
        <f>$B18-$C18</f>
      </c>
      <c r="E18" s="19">
        <f>MAX(0,$D18)*'설정 Settings'!$C$32</f>
      </c>
      <c r="F18" s="19">
        <f>MAX(0,$D18-'설정 Settings'!$C$33)*'설정 Settings'!$C$32</f>
      </c>
      <c r="G18" s="47">
        <f>SUMIFS('주행 Mileage'!$F$3:$F$1002,'주행 Mileage'!$A$3:$A$1002,"&gt;="&amp;DATE($A18,1,1),'주행 Mileage'!$A$3:$A$1002,"&lt;="&amp;DATE($A18,12,31))</f>
      </c>
      <c r="H18" s="25" t="s">
        <v>12</v>
      </c>
    </row>
    <row r="20" ht="20" customHeight="1" spans="1:8" x14ac:dyDescent="0.25">
      <c r="A20" s="4" t="s">
        <v>765</v>
      </c>
      <c r="B20" s="4"/>
      <c r="C20" s="4"/>
      <c r="D20" s="4"/>
      <c r="E20" s="4"/>
      <c r="F20" s="4"/>
      <c r="G20" s="4"/>
      <c r="H20" s="4"/>
    </row>
    <row r="21" ht="26" customHeight="1" spans="1:8" x14ac:dyDescent="0.25">
      <c r="A21" s="8" t="s">
        <v>766</v>
      </c>
      <c r="B21" s="8"/>
      <c r="C21" s="8"/>
      <c r="D21" s="8"/>
      <c r="E21" s="8"/>
      <c r="F21" s="8"/>
      <c r="G21" s="8"/>
      <c r="H21" s="9" t="s">
        <v>767</v>
      </c>
    </row>
    <row r="22" ht="26" customHeight="1" spans="1:8" x14ac:dyDescent="0.25">
      <c r="A22" s="8" t="s">
        <v>768</v>
      </c>
      <c r="B22" s="8"/>
      <c r="C22" s="8"/>
      <c r="D22" s="8"/>
      <c r="E22" s="8"/>
      <c r="F22" s="8"/>
      <c r="G22" s="8"/>
      <c r="H22" s="9" t="s">
        <v>767</v>
      </c>
    </row>
    <row r="23" ht="26" customHeight="1" spans="1:8" x14ac:dyDescent="0.25">
      <c r="A23" s="8" t="s">
        <v>769</v>
      </c>
      <c r="B23" s="8"/>
      <c r="C23" s="8"/>
      <c r="D23" s="8"/>
      <c r="E23" s="8"/>
      <c r="F23" s="8"/>
      <c r="G23" s="8"/>
      <c r="H23" s="9" t="s">
        <v>100</v>
      </c>
    </row>
    <row r="24" ht="26" customHeight="1" spans="1:8" x14ac:dyDescent="0.25">
      <c r="A24" s="8" t="s">
        <v>770</v>
      </c>
      <c r="B24" s="8"/>
      <c r="C24" s="8"/>
      <c r="D24" s="8"/>
      <c r="E24" s="8"/>
      <c r="F24" s="8"/>
      <c r="G24" s="8"/>
      <c r="H24" s="9" t="s">
        <v>72</v>
      </c>
    </row>
    <row r="25" ht="26" customHeight="1" spans="1:8" x14ac:dyDescent="0.25">
      <c r="A25" s="8" t="s">
        <v>771</v>
      </c>
      <c r="B25" s="8"/>
      <c r="C25" s="8"/>
      <c r="D25" s="8"/>
      <c r="E25" s="8"/>
      <c r="F25" s="8"/>
      <c r="G25" s="8"/>
      <c r="H25" s="64" t="s">
        <v>772</v>
      </c>
    </row>
    <row r="26" ht="26" customHeight="1" spans="1:7" x14ac:dyDescent="0.25">
      <c r="A26" s="8" t="s">
        <v>773</v>
      </c>
      <c r="B26" s="8"/>
      <c r="C26" s="8"/>
      <c r="D26" s="8"/>
      <c r="E26" s="8"/>
      <c r="F26" s="8"/>
      <c r="G26" s="8"/>
    </row>
    <row r="29" ht="20" customHeight="1" spans="1:8" x14ac:dyDescent="0.25">
      <c r="A29" s="4" t="s">
        <v>774</v>
      </c>
      <c r="B29" s="4"/>
      <c r="C29" s="4"/>
      <c r="D29" s="4"/>
      <c r="E29" s="4"/>
      <c r="F29" s="4"/>
      <c r="G29" s="4"/>
      <c r="H29" s="4"/>
    </row>
    <row r="30" spans="1:4" x14ac:dyDescent="0.25">
      <c r="A30" s="3" t="s">
        <v>775</v>
      </c>
      <c r="B30" s="3" t="s">
        <v>348</v>
      </c>
      <c r="C30" s="3" t="s">
        <v>776</v>
      </c>
      <c r="D30" s="20" t="s">
        <v>777</v>
      </c>
    </row>
    <row r="31" spans="1:4" x14ac:dyDescent="0.25">
      <c r="A31" s="5" t="s">
        <v>778</v>
      </c>
      <c r="B31" s="5" t="s">
        <v>779</v>
      </c>
      <c r="C31" s="25" t="s">
        <v>780</v>
      </c>
      <c r="D31" s="19">
        <f>SUMIFS('지출 Expenses'!$D$3:$D$1002,'지출 Expenses'!$E$3:$E$1002,$A31)</f>
      </c>
    </row>
    <row r="32" spans="1:4" x14ac:dyDescent="0.25">
      <c r="A32" s="5" t="s">
        <v>781</v>
      </c>
      <c r="B32" s="5" t="s">
        <v>782</v>
      </c>
      <c r="C32" s="25" t="s">
        <v>783</v>
      </c>
      <c r="D32" s="19">
        <f>SUMIFS('지출 Expenses'!$D$3:$D$1002,'지출 Expenses'!$E$3:$E$1002,$A32)</f>
      </c>
    </row>
    <row r="33" spans="1:4" x14ac:dyDescent="0.25">
      <c r="A33" s="5" t="s">
        <v>784</v>
      </c>
      <c r="B33" s="5" t="s">
        <v>785</v>
      </c>
      <c r="C33" s="25" t="s">
        <v>12</v>
      </c>
      <c r="D33" s="19">
        <f>SUMIFS('지출 Expenses'!$D$3:$D$1002,'지출 Expenses'!$E$3:$E$1002,$A33)</f>
      </c>
    </row>
    <row r="34" spans="1:4" x14ac:dyDescent="0.25">
      <c r="A34" s="5" t="s">
        <v>786</v>
      </c>
      <c r="B34" s="5" t="s">
        <v>787</v>
      </c>
      <c r="C34" s="25" t="s">
        <v>788</v>
      </c>
      <c r="D34" s="19">
        <f>SUMIFS('지출 Expenses'!$D$3:$D$1002,'지출 Expenses'!$E$3:$E$1002,$A34)</f>
      </c>
    </row>
    <row r="35" spans="1:4" x14ac:dyDescent="0.25">
      <c r="A35" s="5" t="s">
        <v>789</v>
      </c>
      <c r="B35" s="5" t="s">
        <v>790</v>
      </c>
      <c r="C35" s="25" t="s">
        <v>791</v>
      </c>
      <c r="D35" s="19">
        <f>SUMIFS('지출 Expenses'!$D$3:$D$1002,'지출 Expenses'!$E$3:$E$1002,$A35)</f>
      </c>
    </row>
    <row r="36" spans="1:4" x14ac:dyDescent="0.25">
      <c r="A36" s="5" t="s">
        <v>792</v>
      </c>
      <c r="B36" s="5" t="s">
        <v>793</v>
      </c>
      <c r="C36" s="25" t="s">
        <v>794</v>
      </c>
      <c r="D36" s="19">
        <f>SUMIFS('지출 Expenses'!$D$3:$D$1002,'지출 Expenses'!$E$3:$E$1002,$A36)</f>
      </c>
    </row>
    <row r="37" spans="1:4" x14ac:dyDescent="0.25">
      <c r="A37" s="5" t="s">
        <v>795</v>
      </c>
      <c r="B37" s="5" t="s">
        <v>796</v>
      </c>
      <c r="C37" s="25" t="s">
        <v>12</v>
      </c>
      <c r="D37" s="19">
        <f>SUMIFS('지출 Expenses'!$D$3:$D$1002,'지출 Expenses'!$E$3:$E$1002,$A37)</f>
      </c>
    </row>
    <row r="38" spans="1:4" x14ac:dyDescent="0.25">
      <c r="A38" s="5" t="s">
        <v>797</v>
      </c>
      <c r="B38" s="5" t="s">
        <v>798</v>
      </c>
      <c r="C38" s="25" t="s">
        <v>799</v>
      </c>
      <c r="D38" s="19">
        <f>SUMIFS('지출 Expenses'!$D$3:$D$1002,'지출 Expenses'!$E$3:$E$1002,$A38)</f>
      </c>
    </row>
    <row r="39" spans="1:4" x14ac:dyDescent="0.25">
      <c r="A39" s="5" t="s">
        <v>800</v>
      </c>
      <c r="B39" s="5" t="s">
        <v>801</v>
      </c>
      <c r="C39" s="25" t="s">
        <v>12</v>
      </c>
      <c r="D39" s="19">
        <f>SUMIFS('지출 Expenses'!$D$3:$D$1002,'지출 Expenses'!$E$3:$E$1002,$A39)</f>
      </c>
    </row>
    <row r="40" spans="1:4" x14ac:dyDescent="0.25">
      <c r="A40" s="5" t="s">
        <v>802</v>
      </c>
      <c r="B40" s="5" t="s">
        <v>803</v>
      </c>
      <c r="C40" s="25" t="s">
        <v>12</v>
      </c>
      <c r="D40" s="19">
        <f>SUMIFS('지출 Expenses'!$D$3:$D$1002,'지출 Expenses'!$E$3:$E$1002,$A40)</f>
      </c>
    </row>
    <row r="41" spans="1:4" x14ac:dyDescent="0.25">
      <c r="A41" s="5" t="s">
        <v>804</v>
      </c>
      <c r="B41" s="5" t="s">
        <v>805</v>
      </c>
      <c r="C41" s="25" t="s">
        <v>12</v>
      </c>
      <c r="D41" s="19">
        <f>SUMIFS('지출 Expenses'!$D$3:$D$1002,'지출 Expenses'!$E$3:$E$1002,$A41)</f>
      </c>
    </row>
    <row r="42" spans="1:4" x14ac:dyDescent="0.25">
      <c r="A42" s="5" t="s">
        <v>806</v>
      </c>
      <c r="B42" s="5" t="s">
        <v>807</v>
      </c>
      <c r="C42" s="25" t="s">
        <v>12</v>
      </c>
      <c r="D42" s="19">
        <f>SUMIFS('지출 Expenses'!$D$3:$D$1002,'지출 Expenses'!$E$3:$E$1002,$A42)</f>
      </c>
    </row>
    <row r="43" spans="1:4" x14ac:dyDescent="0.25">
      <c r="A43" s="5" t="s">
        <v>808</v>
      </c>
      <c r="B43" s="5" t="s">
        <v>809</v>
      </c>
      <c r="C43" s="25" t="s">
        <v>810</v>
      </c>
      <c r="D43" s="19">
        <f>SUMIFS('지출 Expenses'!$D$3:$D$1002,'지출 Expenses'!$E$3:$E$1002,$A43)</f>
      </c>
    </row>
    <row r="44" spans="1:4" x14ac:dyDescent="0.25">
      <c r="A44" s="5" t="s">
        <v>811</v>
      </c>
      <c r="B44" s="5" t="s">
        <v>812</v>
      </c>
      <c r="C44" s="25" t="s">
        <v>12</v>
      </c>
      <c r="D44" s="19">
        <f>SUMIFS('지출 Expenses'!$D$3:$D$1002,'지출 Expenses'!$E$3:$E$1002,$A44)</f>
      </c>
    </row>
    <row r="45" spans="1:4" x14ac:dyDescent="0.25">
      <c r="A45" s="5" t="s">
        <v>813</v>
      </c>
      <c r="B45" s="5" t="s">
        <v>814</v>
      </c>
      <c r="C45" s="25" t="s">
        <v>12</v>
      </c>
      <c r="D45" s="19">
        <f>SUMIFS('지출 Expenses'!$D$3:$D$1002,'지출 Expenses'!$E$3:$E$1002,$A45)</f>
      </c>
    </row>
    <row r="46" spans="1:4" x14ac:dyDescent="0.25">
      <c r="A46" s="5" t="s">
        <v>815</v>
      </c>
      <c r="B46" s="5" t="s">
        <v>816</v>
      </c>
      <c r="C46" s="25" t="s">
        <v>817</v>
      </c>
      <c r="D46" s="19">
        <f>SUMIFS('지출 Expenses'!$D$3:$D$1002,'지출 Expenses'!$E$3:$E$1002,$A46)</f>
      </c>
    </row>
    <row r="47" spans="1:4" x14ac:dyDescent="0.25">
      <c r="A47" s="5" t="s">
        <v>818</v>
      </c>
      <c r="B47" s="5" t="s">
        <v>819</v>
      </c>
      <c r="C47" s="25" t="s">
        <v>820</v>
      </c>
      <c r="D47" s="19">
        <f>SUMIFS('지출 Expenses'!$D$3:$D$1002,'지출 Expenses'!$E$3:$E$1002,$A47)</f>
      </c>
    </row>
    <row r="48" spans="1:4" x14ac:dyDescent="0.25">
      <c r="A48" s="5" t="s">
        <v>821</v>
      </c>
      <c r="B48" s="5" t="s">
        <v>822</v>
      </c>
      <c r="C48" s="25" t="s">
        <v>12</v>
      </c>
      <c r="D48" s="19">
        <f>SUMIFS('지출 Expenses'!$D$3:$D$1002,'지출 Expenses'!$E$3:$E$1002,$A48)</f>
      </c>
    </row>
    <row r="49" spans="1:4" x14ac:dyDescent="0.25">
      <c r="A49" s="5" t="s">
        <v>823</v>
      </c>
      <c r="B49" s="5" t="s">
        <v>824</v>
      </c>
      <c r="C49" s="25" t="s">
        <v>825</v>
      </c>
      <c r="D49" s="19">
        <f>SUMIFS('지출 Expenses'!$D$3:$D$1002,'지출 Expenses'!$E$3:$E$1002,$A49)</f>
      </c>
    </row>
    <row r="50" spans="1:4" x14ac:dyDescent="0.25">
      <c r="A50" s="5" t="s">
        <v>826</v>
      </c>
      <c r="B50" s="5" t="s">
        <v>827</v>
      </c>
      <c r="C50" s="25" t="s">
        <v>828</v>
      </c>
      <c r="D50" s="19">
        <f>SUMIFS('지출 Expenses'!$D$3:$D$1002,'지출 Expenses'!$E$3:$E$1002,$A50)</f>
      </c>
    </row>
    <row r="51" spans="1:4" x14ac:dyDescent="0.25">
      <c r="A51" s="5" t="s">
        <v>829</v>
      </c>
      <c r="B51" s="5" t="s">
        <v>830</v>
      </c>
      <c r="C51" s="25" t="s">
        <v>12</v>
      </c>
      <c r="D51" s="19">
        <f>SUMIFS('지출 Expenses'!$D$3:$D$1002,'지출 Expenses'!$E$3:$E$1002,$A51)</f>
      </c>
    </row>
    <row r="52" spans="1:4" x14ac:dyDescent="0.25">
      <c r="A52" s="5" t="s">
        <v>831</v>
      </c>
      <c r="B52" s="5" t="s">
        <v>832</v>
      </c>
      <c r="C52" s="25" t="s">
        <v>12</v>
      </c>
      <c r="D52" s="19">
        <f>SUMIFS('지출 Expenses'!$D$3:$D$1002,'지출 Expenses'!$E$3:$E$1002,$A52)</f>
      </c>
    </row>
    <row r="53" spans="1:4" x14ac:dyDescent="0.25">
      <c r="A53" s="5" t="s">
        <v>833</v>
      </c>
      <c r="B53" s="5" t="s">
        <v>834</v>
      </c>
      <c r="C53" s="25" t="s">
        <v>835</v>
      </c>
      <c r="D53" s="19">
        <f>SUMIFS('지출 Expenses'!$D$3:$D$1002,'지출 Expenses'!$E$3:$E$1002,$A53)</f>
      </c>
    </row>
  </sheetData>
  <mergeCells count="12">
    <mergeCell ref="A1:M1"/>
    <mergeCell ref="A2:M2"/>
    <mergeCell ref="A13:M13"/>
    <mergeCell ref="A15:H15"/>
    <mergeCell ref="A20:H20"/>
    <mergeCell ref="A21:G21"/>
    <mergeCell ref="A22:G22"/>
    <mergeCell ref="A23:G23"/>
    <mergeCell ref="A24:G24"/>
    <mergeCell ref="A25:G25"/>
    <mergeCell ref="A26:G26"/>
    <mergeCell ref="A29:H29"/>
  </mergeCells>
  <conditionalFormatting sqref="G5:G12">
    <cfRule type="expression" dxfId="6" priority="1">
      <formula>NOT(ISERROR(SEARCH("기준",G5)))</formula>
    </cfRule>
    <cfRule type="expression" dxfId="7" priority="2">
      <formula>NOT(ISERROR(SEARCH("경고",G5)))</formula>
    </cfRule>
  </conditionalFormatting>
  <conditionalFormatting sqref="H5:H12">
    <cfRule type="expression" dxfId="8" priority="3">
      <formula>NOT(ISERROR(SEARCH("기준",H5)))</formula>
    </cfRule>
    <cfRule type="expression" dxfId="9" priority="4">
      <formula>NOT(ISERROR(SEARCH("경고",H5)))</formula>
    </cfRule>
  </conditionalFormatting>
  <hyperlinks>
    <hyperlink ref="H21" r:id="rId1"/>
    <hyperlink ref="H22" r:id="rId2"/>
    <hyperlink ref="H23" r:id="rId3"/>
    <hyperlink ref="H24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</sheetPr>
  <dimension ref="A1:E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16" customWidth="1"/>
    <col min="5" max="5" width="60" customWidth="1"/>
  </cols>
  <sheetData>
    <row r="1" ht="24" customHeight="1" spans="1:5" x14ac:dyDescent="0.25">
      <c r="A1" s="1" t="s">
        <v>836</v>
      </c>
      <c r="B1" s="1"/>
      <c r="C1" s="1"/>
      <c r="D1" s="1"/>
      <c r="E1" s="1"/>
    </row>
    <row r="2" ht="42" customHeight="1" spans="1:5" x14ac:dyDescent="0.25">
      <c r="A2" s="2" t="s">
        <v>837</v>
      </c>
      <c r="B2" s="2"/>
      <c r="C2" s="2"/>
      <c r="D2" s="2"/>
      <c r="E2" s="2"/>
    </row>
    <row r="4" ht="20" customHeight="1" spans="1:5" x14ac:dyDescent="0.25">
      <c r="A4" s="4" t="s">
        <v>838</v>
      </c>
      <c r="B4" s="4"/>
      <c r="C4" s="4"/>
      <c r="D4" s="4"/>
      <c r="E4" s="4"/>
    </row>
    <row r="5" spans="1:5" x14ac:dyDescent="0.25">
      <c r="A5" s="3" t="s">
        <v>2</v>
      </c>
      <c r="B5" s="20" t="s">
        <v>839</v>
      </c>
      <c r="C5" s="20" t="s">
        <v>840</v>
      </c>
      <c r="D5" s="20" t="s">
        <v>841</v>
      </c>
      <c r="E5" s="3" t="s">
        <v>352</v>
      </c>
    </row>
    <row r="6" spans="1:5" x14ac:dyDescent="0.25">
      <c r="A6" s="5" t="s">
        <v>842</v>
      </c>
      <c r="B6" s="19">
        <f>'설정 Settings'!$C$73</f>
      </c>
      <c r="C6" s="19">
        <f>'설정 Settings'!$C$73</f>
      </c>
      <c r="D6" s="19">
        <f>'설정 Settings'!$C$73</f>
      </c>
      <c r="E6" s="45" t="s">
        <v>843</v>
      </c>
    </row>
    <row r="7" spans="1:5" x14ac:dyDescent="0.25">
      <c r="A7" s="5" t="s">
        <v>844</v>
      </c>
      <c r="B7" s="19">
        <f>'설정 Settings'!$C$74</f>
      </c>
      <c r="C7" s="19">
        <f>'설정 Settings'!$C$74</f>
      </c>
      <c r="D7" s="19">
        <f>IF('설정 Settings'!$C$75&lt;&gt;"",'설정 Settings'!$C$75,'설정 Settings'!$C$74)</f>
      </c>
      <c r="E7" s="45" t="s">
        <v>845</v>
      </c>
    </row>
    <row r="8" spans="1:5" x14ac:dyDescent="0.25">
      <c r="A8" s="5" t="s">
        <v>846</v>
      </c>
      <c r="B8" s="19">
        <f>$B$6+$B$7</f>
      </c>
      <c r="C8" s="19">
        <f>$C$6+$C$7</f>
      </c>
      <c r="D8" s="19">
        <f>$D$6+$D$7</f>
      </c>
      <c r="E8" s="45" t="s">
        <v>12</v>
      </c>
    </row>
    <row r="9" spans="1:5" x14ac:dyDescent="0.25">
      <c r="A9" s="5" t="s">
        <v>847</v>
      </c>
      <c r="B9" s="19">
        <f>'설정 Settings'!$C$76</f>
      </c>
      <c r="C9" s="19">
        <f>'설정 Settings'!$C$77</f>
      </c>
      <c r="D9" s="19">
        <f>IFERROR(AVERAGEIFS('견적 Quotes'!$H$3:$H$1002,'견적 Quotes'!$G$3:$G$1002,"GUT",'견적 Quotes'!$I$3:$I$1002,"WON"),'설정 Settings'!$C$76)</f>
      </c>
      <c r="E9" s="45" t="s">
        <v>848</v>
      </c>
    </row>
    <row r="10" spans="1:5" x14ac:dyDescent="0.25">
      <c r="A10" s="5" t="s">
        <v>849</v>
      </c>
      <c r="B10" s="19">
        <f>'설정 Settings'!$C$68</f>
      </c>
      <c r="C10" s="19">
        <f>'설정 Settings'!$C$68</f>
      </c>
      <c r="D10" s="19">
        <f>'설정 Settings'!$C$68</f>
      </c>
      <c r="E10" s="45" t="s">
        <v>369</v>
      </c>
    </row>
    <row r="11" spans="1:5" x14ac:dyDescent="0.25">
      <c r="A11" s="5" t="s">
        <v>850</v>
      </c>
      <c r="B11" s="19">
        <f>$B$9-$B$10</f>
      </c>
      <c r="C11" s="19">
        <f>$C$9-$C$10</f>
      </c>
      <c r="D11" s="19">
        <f>$D$9-$D$10</f>
      </c>
      <c r="E11" s="45" t="s">
        <v>851</v>
      </c>
    </row>
    <row r="12" spans="1:5" x14ac:dyDescent="0.25">
      <c r="A12" s="21" t="s">
        <v>852</v>
      </c>
      <c r="B12" s="65">
        <f>ROUNDUP(IFERROR($B$8/$B$11,0),0)</f>
      </c>
      <c r="C12" s="65">
        <f>ROUNDUP(IFERROR($C$8/$C$11,0),0)</f>
      </c>
      <c r="D12" s="65">
        <f>ROUNDUP(IFERROR($D$8/$D$11,0),0)</f>
      </c>
      <c r="E12" s="45" t="s">
        <v>853</v>
      </c>
    </row>
    <row r="14" spans="1:5" x14ac:dyDescent="0.25">
      <c r="A14" s="5" t="s">
        <v>854</v>
      </c>
      <c r="B14" s="12">
        <f>COUNTIFS('견적 Quotes'!$G$3:$G$1002,"GUT",'견적 Quotes'!$I$3:$I$1002,"WON")</f>
      </c>
      <c r="C14" s="25" t="s">
        <v>855</v>
      </c>
      <c r="D14" s="25"/>
      <c r="E14" s="25"/>
    </row>
    <row r="15" spans="1:5" x14ac:dyDescent="0.25">
      <c r="A15" s="5" t="s">
        <v>856</v>
      </c>
      <c r="B15" s="12">
        <f>COUNTIFS('견적 Quotes'!$G$3:$G$1002,"GUT",'견적 Quotes'!$I$3:$I$1002,"WON",'견적 Quotes'!$K$3:$K$1002,"&lt;&gt;")</f>
      </c>
      <c r="C15" s="25" t="s">
        <v>857</v>
      </c>
      <c r="D15" s="25"/>
      <c r="E15" s="25"/>
    </row>
    <row r="16" spans="1:5" x14ac:dyDescent="0.25">
      <c r="A16" s="5" t="s">
        <v>858</v>
      </c>
      <c r="B16" s="12">
        <f>COUNTIFS('작업 Jobs'!$F$3:$F$1002,"GUT")</f>
      </c>
      <c r="C16" s="25" t="s">
        <v>859</v>
      </c>
      <c r="D16" s="25"/>
      <c r="E16" s="25"/>
    </row>
    <row r="17" spans="1:5" x14ac:dyDescent="0.25">
      <c r="A17" s="21" t="s">
        <v>860</v>
      </c>
      <c r="B17" s="65">
        <f>MAX(0,$D$12-$B$14)</f>
      </c>
      <c r="C17" s="25" t="s">
        <v>861</v>
      </c>
      <c r="D17" s="25"/>
      <c r="E17" s="25"/>
    </row>
    <row r="18" spans="1:5" x14ac:dyDescent="0.25">
      <c r="A18" s="21" t="s">
        <v>862</v>
      </c>
      <c r="B18" s="58">
        <f>IF($B$15&gt;='설정 Settings'!$C$95,"구매 가능 — 날짜 잡힌 예약 "&amp;$B$15&amp;"건","사다리 구매 금지 — 예약 "&amp;$B$15&amp;"/"&amp;'설정 Settings'!$C$95)</f>
      </c>
      <c r="C18" s="25" t="s">
        <v>863</v>
      </c>
      <c r="D18" s="25"/>
      <c r="E18" s="25"/>
    </row>
    <row r="19" spans="1:5" x14ac:dyDescent="0.25">
      <c r="A19" s="5" t="s">
        <v>864</v>
      </c>
      <c r="B19" s="10">
        <f>'설정 Settings'!$C$94</f>
      </c>
      <c r="C19" s="25" t="s">
        <v>613</v>
      </c>
      <c r="D19" s="25"/>
      <c r="E19" s="25"/>
    </row>
    <row r="21" ht="20" customHeight="1" spans="1:5" x14ac:dyDescent="0.25">
      <c r="A21" s="4" t="s">
        <v>865</v>
      </c>
      <c r="B21" s="4"/>
      <c r="C21" s="4"/>
      <c r="D21" s="4"/>
      <c r="E21" s="4"/>
    </row>
    <row r="22" spans="1:5" x14ac:dyDescent="0.25">
      <c r="A22" s="3" t="s">
        <v>2</v>
      </c>
      <c r="B22" s="20" t="s">
        <v>839</v>
      </c>
      <c r="C22" s="20" t="s">
        <v>840</v>
      </c>
      <c r="D22" s="20" t="s">
        <v>841</v>
      </c>
      <c r="E22" s="3" t="s">
        <v>352</v>
      </c>
    </row>
    <row r="23" spans="1:5" x14ac:dyDescent="0.25">
      <c r="A23" s="5" t="s">
        <v>866</v>
      </c>
      <c r="B23" s="19">
        <f>'설정 Settings'!$C$78</f>
      </c>
      <c r="C23" s="19">
        <f>'설정 Settings'!$C$79</f>
      </c>
      <c r="D23" s="19">
        <f>IF('설정 Settings'!$C$80&lt;&gt;"",'설정 Settings'!$C$80,'설정 Settings'!$C$78)</f>
      </c>
      <c r="E23" s="45" t="s">
        <v>867</v>
      </c>
    </row>
    <row r="24" spans="1:5" x14ac:dyDescent="0.25">
      <c r="A24" s="5" t="s">
        <v>868</v>
      </c>
      <c r="B24" s="19">
        <f>'설정 Settings'!$C$81</f>
      </c>
      <c r="C24" s="19">
        <f>'설정 Settings'!$C$82</f>
      </c>
      <c r="D24" s="19">
        <f>IF('설정 Settings'!$C$83&lt;&gt;"",'설정 Settings'!$C$83,'설정 Settings'!$C$81)</f>
      </c>
      <c r="E24" s="45" t="s">
        <v>869</v>
      </c>
    </row>
    <row r="25" spans="1:5" x14ac:dyDescent="0.25">
      <c r="A25" s="5" t="s">
        <v>870</v>
      </c>
      <c r="B25" s="19">
        <f>'설정 Settings'!$C$84</f>
      </c>
      <c r="C25" s="19">
        <f>'설정 Settings'!$C$85</f>
      </c>
      <c r="D25" s="19">
        <f>IFERROR(AVERAGEIFS('견적 Quotes'!$H$3:$H$1002,'견적 Quotes'!$G$3:$G$1002,"SNOW",'견적 Quotes'!$I$3:$I$1002,"WON"),'설정 Settings'!$C$84)</f>
      </c>
      <c r="E25" s="45" t="s">
        <v>871</v>
      </c>
    </row>
    <row r="26" spans="1:5" x14ac:dyDescent="0.25">
      <c r="A26" s="5" t="s">
        <v>872</v>
      </c>
      <c r="B26" s="22">
        <f>'설정 Settings'!$C$67</f>
      </c>
      <c r="C26" s="22">
        <f>'설정 Settings'!$C$67</f>
      </c>
      <c r="D26" s="22">
        <f>'설정 Settings'!$C$67</f>
      </c>
      <c r="E26" s="45" t="s">
        <v>373</v>
      </c>
    </row>
    <row r="27" spans="1:5" x14ac:dyDescent="0.25">
      <c r="A27" s="5" t="s">
        <v>873</v>
      </c>
      <c r="B27" s="19">
        <f>$B$25*(1-$B$26)</f>
      </c>
      <c r="C27" s="19">
        <f>$C$25*(1-$C$26)</f>
      </c>
      <c r="D27" s="19">
        <f>$D$25*(1-$D$26)</f>
      </c>
      <c r="E27" s="45" t="s">
        <v>874</v>
      </c>
    </row>
    <row r="28" spans="1:5" x14ac:dyDescent="0.25">
      <c r="A28" s="21" t="s">
        <v>875</v>
      </c>
      <c r="B28" s="65">
        <f>ROUNDUP(IFERROR(($B$23+$B$24)/$B$27,0),0)</f>
      </c>
      <c r="C28" s="65">
        <f>ROUNDUP(IFERROR(($C$23+$C$24)/$C$27,0),0)</f>
      </c>
      <c r="D28" s="65">
        <f>ROUNDUP(IFERROR(($D$23+$D$24)/$D$27,0),0)</f>
      </c>
      <c r="E28" s="45" t="s">
        <v>876</v>
      </c>
    </row>
    <row r="29" spans="1:5" x14ac:dyDescent="0.25">
      <c r="A29" s="21" t="s">
        <v>877</v>
      </c>
      <c r="B29" s="65">
        <f>ROUNDUP(IFERROR($B$23/$B$27,0),0)</f>
      </c>
      <c r="C29" s="65">
        <f>ROUNDUP(IFERROR($C$23/$C$27,0),0)</f>
      </c>
      <c r="D29" s="65">
        <f>ROUNDUP(IFERROR($D$23/$D$27,0),0)</f>
      </c>
      <c r="E29" s="45" t="s">
        <v>878</v>
      </c>
    </row>
    <row r="31" spans="1:5" x14ac:dyDescent="0.25">
      <c r="A31" s="5" t="s">
        <v>879</v>
      </c>
      <c r="B31" s="10">
        <f>'설정 Settings'!$C$88</f>
      </c>
      <c r="C31" s="25" t="s">
        <v>613</v>
      </c>
      <c r="D31" s="25"/>
      <c r="E31" s="25"/>
    </row>
    <row r="32" spans="1:5" x14ac:dyDescent="0.25">
      <c r="A32" s="21" t="s">
        <v>880</v>
      </c>
      <c r="B32" s="65">
        <f>IF($B$31="SHOVEL",$D$29,$D$28)</f>
      </c>
      <c r="C32" s="25" t="s">
        <v>881</v>
      </c>
      <c r="D32" s="25"/>
      <c r="E32" s="25"/>
    </row>
    <row r="33" spans="1:5" x14ac:dyDescent="0.25">
      <c r="A33" s="5" t="s">
        <v>882</v>
      </c>
      <c r="B33" s="12">
        <f>COUNTIFS('견적 Quotes'!$G$3:$G$1002,"SNOW",'견적 Quotes'!$I$3:$I$1002,"WON")</f>
      </c>
      <c r="C33" s="25" t="s">
        <v>883</v>
      </c>
      <c r="D33" s="25"/>
      <c r="E33" s="25"/>
    </row>
    <row r="34" spans="1:5" x14ac:dyDescent="0.25">
      <c r="A34" s="5" t="s">
        <v>884</v>
      </c>
      <c r="B34" s="12">
        <f>COUNTIFS('견적 Quotes'!$G$3:$G$1002,"SNOW",'견적 Quotes'!$I$3:$I$1002,"WON",'견적 Quotes'!$J$3:$J$1002,"&lt;="&amp;'설정 Settings'!$C$106)</f>
      </c>
      <c r="C34" s="25" t="s">
        <v>885</v>
      </c>
      <c r="D34" s="25"/>
      <c r="E34" s="25"/>
    </row>
    <row r="35" spans="1:5" x14ac:dyDescent="0.25">
      <c r="A35" s="5" t="s">
        <v>886</v>
      </c>
      <c r="B35" s="12">
        <f>MAX(0,$B$32-$B$34)</f>
      </c>
      <c r="C35" s="25" t="s">
        <v>12</v>
      </c>
      <c r="D35" s="25"/>
      <c r="E35" s="25"/>
    </row>
    <row r="36" spans="1:5" x14ac:dyDescent="0.25">
      <c r="A36" s="21" t="s">
        <v>887</v>
      </c>
      <c r="B36" s="58">
        <f>IF($B$33=0,"아직 계약 없음",IF($B$34&gt;=$B$32,"손익분기 달성 — 계약 유효",IF('설정 Settings'!$C$15&lt;='설정 Settings'!$C$106,"진행 중 — "&amp;$B$35&amp;"건 더 필요 (11/20까지)","무효 VOID — 모든 계약 무효, 보험·제설기 사지 않기")))</f>
      </c>
      <c r="C36" s="25" t="s">
        <v>888</v>
      </c>
      <c r="D36" s="25"/>
      <c r="E36" s="25"/>
    </row>
    <row r="37" spans="1:5" x14ac:dyDescent="0.25">
      <c r="A37" s="5" t="s">
        <v>889</v>
      </c>
      <c r="B37" s="10">
        <f>IF(AND($B$31="SHOVEL",$B$33&gt;'설정 Settings'!$C$89),"한도 초과 — 삽 제설은 "&amp;'설정 Settings'!$C$89&amp;"곳까지 (가정)","OK")</f>
      </c>
      <c r="C37" s="25" t="s">
        <v>890</v>
      </c>
      <c r="D37" s="25"/>
      <c r="E37" s="25"/>
    </row>
    <row r="38" spans="1:5" x14ac:dyDescent="0.25">
      <c r="A38" s="5" t="s">
        <v>891</v>
      </c>
      <c r="B38" s="19">
        <f>SUMIFS('견적 Quotes'!$H$3:$H$1002,'견적 Quotes'!$G$3:$G$1002,"SNOW",'견적 Quotes'!$I$3:$I$1002,"WON")</f>
      </c>
      <c r="C38" s="25" t="s">
        <v>892</v>
      </c>
      <c r="D38" s="25"/>
      <c r="E38" s="25"/>
    </row>
    <row r="39" spans="1:5" x14ac:dyDescent="0.25">
      <c r="A39" s="5" t="s">
        <v>893</v>
      </c>
      <c r="B39" s="19">
        <f>IFERROR($B$38/'설정 Settings'!$C$87,0)</f>
      </c>
      <c r="C39" s="25" t="s">
        <v>894</v>
      </c>
      <c r="D39" s="25"/>
      <c r="E39" s="25"/>
    </row>
  </sheetData>
  <mergeCells count="19">
    <mergeCell ref="A1:E1"/>
    <mergeCell ref="A2:E2"/>
    <mergeCell ref="A4:E4"/>
    <mergeCell ref="C14:E14"/>
    <mergeCell ref="C15:E15"/>
    <mergeCell ref="C16:E16"/>
    <mergeCell ref="C17:E17"/>
    <mergeCell ref="C18:E18"/>
    <mergeCell ref="C19:E19"/>
    <mergeCell ref="A21:E21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</mergeCells>
  <conditionalFormatting sqref="B36">
    <cfRule type="expression" dxfId="10" priority="1">
      <formula>NOT(ISERROR(SEARCH("VOID",B36)))</formula>
    </cfRule>
    <cfRule type="expression" dxfId="11" priority="2">
      <formula>NOT(ISERROR(SEARCH("달성",B36)))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H41"/>
  <sheetViews>
    <sheetView workbookViewId="0" showGridLines="0">
      <selection activeCell="B6" sqref="B6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14" customWidth="1"/>
    <col min="4" max="4" width="10" customWidth="1"/>
    <col min="5" max="5" width="20" customWidth="1"/>
    <col min="6" max="6" width="16" customWidth="1"/>
    <col min="7" max="7" width="2" customWidth="1"/>
    <col min="8" max="8" width="16" hidden="1" customWidth="1"/>
  </cols>
  <sheetData>
    <row r="1" ht="26" customHeight="1" spans="1:6" x14ac:dyDescent="0.25">
      <c r="A1" s="66">
        <f>'설정 Settings'!$C$5</f>
      </c>
      <c r="B1" s="66"/>
      <c r="C1" s="66"/>
      <c r="D1" s="66"/>
      <c r="E1" s="67">
        <f>IF(AND($H$7&gt;0,$F$19&gt;0,$F$20&lt;=0),"영수증 RECEIPT","인보이스 INVOICE")</f>
      </c>
      <c r="F1" s="67"/>
    </row>
    <row r="2" spans="1:6" x14ac:dyDescent="0.25">
      <c r="A2" s="68">
        <f>'설정 Settings'!$C$6</f>
      </c>
      <c r="B2" s="68"/>
      <c r="C2" s="68"/>
      <c r="D2" s="68"/>
      <c r="E2" s="68"/>
      <c r="F2" s="68"/>
    </row>
    <row r="3" spans="1:6" x14ac:dyDescent="0.25">
      <c r="A3" s="69">
        <f>"주소 Address: "&amp;'설정 Settings'!$C$7</f>
      </c>
      <c r="B3" s="69"/>
      <c r="C3" s="69"/>
      <c r="D3" s="69"/>
      <c r="E3" s="69"/>
      <c r="F3" s="69"/>
    </row>
    <row r="4" spans="1:6" x14ac:dyDescent="0.25">
      <c r="A4" s="69">
        <f>"전화 Phone: "&amp;'설정 Settings'!$C$8&amp;"   ·   이메일 Email: "&amp;'설정 Settings'!$C$9&amp;"   ·   웹 Web: "&amp;'설정 Settings'!$C$10</f>
      </c>
      <c r="B4" s="69"/>
      <c r="C4" s="69"/>
      <c r="D4" s="69"/>
      <c r="E4" s="69"/>
      <c r="F4" s="69"/>
    </row>
    <row r="6" spans="1:8" x14ac:dyDescent="0.25">
      <c r="A6" s="70" t="s">
        <v>895</v>
      </c>
      <c r="B6" s="7"/>
      <c r="C6" s="71">
        <f>IF($B$6="","← 작업 ID를 입력하세요",IF($H$7=0,"작업 ID를 찾을 수 없음",""))</f>
      </c>
      <c r="D6" s="71"/>
      <c r="E6" s="72" t="s">
        <v>896</v>
      </c>
      <c r="F6" s="70">
        <f>IF($B$6="","","INV-"&amp;$B$6)</f>
      </c>
      <c r="H6" s="73" t="s">
        <v>897</v>
      </c>
    </row>
    <row r="7" spans="1:8" x14ac:dyDescent="0.25">
      <c r="A7" s="70" t="s">
        <v>898</v>
      </c>
      <c r="B7" s="11">
        <f>TODAY()</f>
      </c>
      <c r="E7" s="72" t="s">
        <v>899</v>
      </c>
      <c r="F7" s="74">
        <f>IF($H$7=0,"",INDEX('작업 Jobs'!$C$3:$C$1002,$H$7))</f>
      </c>
      <c r="H7" s="69">
        <f>IFERROR(MATCH($B$6,'작업 Jobs'!$A$3:$A$1002,0),0)</f>
      </c>
    </row>
    <row r="8" spans="1:8" x14ac:dyDescent="0.25">
      <c r="A8" s="70" t="s">
        <v>900</v>
      </c>
      <c r="B8" s="69">
        <f>IF($H$7=0,"",INDEX('작업 Jobs'!$D$3:$D$1002,$H$7))</f>
      </c>
      <c r="C8" s="69"/>
      <c r="D8" s="69"/>
      <c r="H8" s="69">
        <f>IF($H$7=0,"",INDEX('작업 Jobs'!$F$3:$F$1002,$H$7))</f>
      </c>
    </row>
    <row r="9" spans="1:8" x14ac:dyDescent="0.25">
      <c r="A9" s="70" t="s">
        <v>901</v>
      </c>
      <c r="B9" s="69">
        <f>IF($H$7=0,"",INDEX('작업 Jobs'!$E$3:$E$1002,$H$7))</f>
      </c>
      <c r="C9" s="69"/>
      <c r="D9" s="69"/>
      <c r="H9" s="69">
        <f>IF($H$7=0,"",INDEX('작업 Jobs'!$J$3:$J$1002,$H$7))</f>
      </c>
    </row>
    <row r="10" spans="8:8" x14ac:dyDescent="0.25">
      <c r="H10" s="69">
        <f>IF($H$7=0,"",INDEX('작업 Jobs'!$B$3:$B$1002,$H$7))</f>
      </c>
    </row>
    <row r="11" spans="1:8" x14ac:dyDescent="0.25">
      <c r="A11" s="3" t="s">
        <v>902</v>
      </c>
      <c r="B11" s="3"/>
      <c r="C11" s="3"/>
      <c r="D11" s="3" t="s">
        <v>903</v>
      </c>
      <c r="E11" s="3" t="s">
        <v>904</v>
      </c>
      <c r="F11" s="3" t="s">
        <v>905</v>
      </c>
      <c r="H11" s="69">
        <f>IF($H$8&lt;&gt;"SNOW","",IFERROR(INDEX('견적 Quotes'!$H$3:$H$1002,MATCH($H$10,'견적 Quotes'!$A$3:$A$1002,0)),INDEX('작업 Jobs'!$H$3:$H$1002,$H$7)*'설정 Settings'!$C$87))</f>
      </c>
    </row>
    <row r="12" spans="1:8" x14ac:dyDescent="0.25">
      <c r="A12" s="75">
        <f>IF($H$7=0,"",IFERROR(VLOOKUP($H$8,'설정 Settings'!$A$122:$F$130,2,0)&amp;" / "&amp;VLOOKUP($H$8,'설정 Settings'!$A$122:$F$130,3,0),$H$8))</f>
      </c>
      <c r="B12" s="75"/>
      <c r="C12" s="75"/>
      <c r="D12" s="76">
        <f>IF($H$7=0,"",1)</f>
      </c>
      <c r="E12" s="77">
        <f>IF($H$7=0,"",INDEX('작업 Jobs'!$H$3:$H$1002,$H$7))</f>
      </c>
      <c r="F12" s="77">
        <f>IF(OR($D$12="",$E$12=""),"",$D$12*$E$12)</f>
      </c>
      <c r="H12" s="69">
        <f>IF(ISNUMBER($B$7),IF(MONTH($B$7)&gt;=7,YEAR($B$7),YEAR($B$7)-1),YEAR('설정 Settings'!$C$15))</f>
      </c>
    </row>
    <row r="13" spans="1:8" x14ac:dyDescent="0.25">
      <c r="A13" s="7"/>
      <c r="B13" s="7"/>
      <c r="C13" s="7"/>
      <c r="D13" s="7"/>
      <c r="E13" s="15"/>
      <c r="F13" s="77">
        <f>IF(OR($D$13="",$E$13=""),"",$D$13*$E$13)</f>
      </c>
      <c r="H13" s="69">
        <f>$H$8="SNOW"</f>
      </c>
    </row>
    <row r="14" spans="1:6" x14ac:dyDescent="0.25">
      <c r="A14" s="7"/>
      <c r="B14" s="7"/>
      <c r="C14" s="7"/>
      <c r="D14" s="7"/>
      <c r="E14" s="15"/>
      <c r="F14" s="77">
        <f>IF(OR($D$14="",$E$14=""),"",$D$14*$E$14)</f>
      </c>
    </row>
    <row r="15" spans="1:6" x14ac:dyDescent="0.25">
      <c r="A15" s="7"/>
      <c r="B15" s="7"/>
      <c r="C15" s="7"/>
      <c r="D15" s="7"/>
      <c r="E15" s="15"/>
      <c r="F15" s="77">
        <f>IF(OR($D$15="",$E$15=""),"",$D$15*$E$15)</f>
      </c>
    </row>
    <row r="16" spans="5:6" x14ac:dyDescent="0.25">
      <c r="E16" s="72" t="s">
        <v>906</v>
      </c>
      <c r="F16" s="78">
        <f>SUM($F$12:$F$15)</f>
      </c>
    </row>
    <row r="17" spans="1:6" x14ac:dyDescent="0.25">
      <c r="A17" s="79">
        <f>IF('설정 Settings'!$C$24="YES","GST/HST 등록번호 Registration #: "&amp;'설정 Settings'!$C$25,"")</f>
      </c>
      <c r="B17" s="79"/>
      <c r="C17" s="79"/>
      <c r="D17" s="79"/>
      <c r="E17" s="80">
        <f>IF('설정 Settings'!$C$24="YES",'설정 Settings'!$C$27,"")</f>
      </c>
      <c r="F17" s="81">
        <f>IF('설정 Settings'!$C$24="YES",ROUND($F$16*'설정 Settings'!$C$26,2),"")</f>
      </c>
    </row>
    <row r="18" spans="5:6" x14ac:dyDescent="0.25">
      <c r="E18" s="72" t="s">
        <v>907</v>
      </c>
      <c r="F18" s="78">
        <f>$F$16+IF('설정 Settings'!$C$24="YES",$F$17,0)</f>
      </c>
    </row>
    <row r="19" spans="5:6" x14ac:dyDescent="0.25">
      <c r="E19" s="80" t="s">
        <v>908</v>
      </c>
      <c r="F19" s="81">
        <f>IF($B$6="",0,SUMIFS('입금 Payments'!$C$3:$C$1002,'입금 Payments'!$B$3:$B$1002,$B$6))</f>
      </c>
    </row>
    <row r="20" spans="5:6" x14ac:dyDescent="0.25">
      <c r="E20" s="72" t="s">
        <v>909</v>
      </c>
      <c r="F20" s="78">
        <f>$F$18-$F$19</f>
      </c>
    </row>
    <row r="22" spans="1:1" x14ac:dyDescent="0.25">
      <c r="A22" s="82" t="s">
        <v>910</v>
      </c>
    </row>
    <row r="23" ht="28" customHeight="1" spans="1:6" x14ac:dyDescent="0.25">
      <c r="A23" s="83">
        <f>"Interac e-Transfer: "&amp;'설정 Settings'!$C$11&amp;" — 메시지에 "&amp;$F$6&amp;" 번호를 적어 주세요. / Please put "&amp;$F$6&amp;" in the message."</f>
      </c>
      <c r="B23" s="83"/>
      <c r="C23" s="83"/>
      <c r="D23" s="83"/>
      <c r="E23" s="83"/>
      <c r="F23" s="83"/>
    </row>
    <row r="24" ht="18" customHeight="1" spans="1:6" x14ac:dyDescent="0.25">
      <c r="A24" s="83">
        <f>"현금도 받습니다. / Cash is also accepted."&amp;IF('설정 Settings'!$C$12="YES"," 카드 결제 가능. / Card accepted.","")</f>
      </c>
      <c r="B24" s="83"/>
      <c r="C24" s="83"/>
      <c r="D24" s="83"/>
      <c r="E24" s="83"/>
      <c r="F24" s="83"/>
    </row>
    <row r="25" ht="28" customHeight="1" spans="1:6" x14ac:dyDescent="0.25">
      <c r="A25" s="83">
        <f>IF($F$18&gt;'설정 Settings'!$C$36,"금액이 $2,000를 넘으면 은행 한도 때문에 e-Transfer를 두 번 이상 나눠 보내셔야 할 수 있습니다. / Amounts over $2,000 may need to be sent as two or more e-Transfers because of bank limits.","")</f>
      </c>
      <c r="B25" s="83"/>
      <c r="C25" s="83"/>
      <c r="D25" s="83"/>
      <c r="E25" s="83"/>
      <c r="F25" s="83"/>
    </row>
    <row r="26" ht="28" customHeight="1" spans="1:6" x14ac:dyDescent="0.25">
      <c r="A26" s="83">
        <f>IF('설정 Settings'!$C$24="YES","","GST/HST 미등록 소규모 사업자로, 판매세를 부과하지 않았습니다. / Not registered for GST/HST (small supplier): no sales tax charged.")</f>
      </c>
      <c r="B26" s="83"/>
      <c r="C26" s="83"/>
      <c r="D26" s="83"/>
      <c r="E26" s="83"/>
      <c r="F26" s="83"/>
    </row>
    <row r="28" ht="18" customHeight="1" spans="1:6" x14ac:dyDescent="0.25">
      <c r="A28" s="84">
        <f>IF($H$13,"제설 시즌 계약 — 4회 분할 / Snow season contract — 4 instalments","")</f>
      </c>
      <c r="B28" s="84"/>
      <c r="C28" s="84"/>
      <c r="D28" s="84"/>
      <c r="E28" s="84"/>
      <c r="F28" s="84"/>
    </row>
    <row r="29" spans="1:6" x14ac:dyDescent="0.25">
      <c r="A29" s="69">
        <f>IF($H$13,"시즌 총액 / Season total","")</f>
      </c>
      <c r="F29" s="85">
        <f>IF($H$13,$H$11,"")</f>
      </c>
    </row>
    <row r="30" spans="1:6" x14ac:dyDescent="0.25">
      <c r="A30" s="69">
        <f>IF($H$13,"1회차 / 1st","")</f>
      </c>
      <c r="B30" s="74">
        <f>IF($H$13,DATE($H$12,12,1),"")</f>
      </c>
      <c r="F30" s="81">
        <f>IF($H$13,ROUND(IFERROR($H$11/'설정 Settings'!$C$87,0),2),"")</f>
      </c>
    </row>
    <row r="31" spans="1:6" x14ac:dyDescent="0.25">
      <c r="A31" s="69">
        <f>IF($H$13,"2회차 / 2nd","")</f>
      </c>
      <c r="B31" s="74">
        <f>IF($H$13,DATE($H$12+1,1,1),"")</f>
      </c>
      <c r="F31" s="81">
        <f>IF($H$13,ROUND(IFERROR($H$11/'설정 Settings'!$C$87,0),2),"")</f>
      </c>
    </row>
    <row r="32" spans="1:6" x14ac:dyDescent="0.25">
      <c r="A32" s="69">
        <f>IF($H$13,"3회차 / 3rd","")</f>
      </c>
      <c r="B32" s="74">
        <f>IF($H$13,DATE($H$12+1,2,1),"")</f>
      </c>
      <c r="F32" s="81">
        <f>IF($H$13,ROUND(IFERROR($H$11/'설정 Settings'!$C$87,0),2),"")</f>
      </c>
    </row>
    <row r="33" spans="1:6" x14ac:dyDescent="0.25">
      <c r="A33" s="69">
        <f>IF($H$13,"4회차 / 4th","")</f>
      </c>
      <c r="B33" s="74">
        <f>IF($H$13,DATE($H$12+1,3,1),"")</f>
      </c>
      <c r="F33" s="81">
        <f>IF($H$13,ROUND(IFERROR($H$11/'설정 Settings'!$C$87,0),2),"")</f>
      </c>
    </row>
    <row r="34" ht="18" customHeight="1" spans="1:6" x14ac:dyDescent="0.25">
      <c r="A34" s="83">
        <f>IF($H$13,"12월 1일 전에는 어떤 금액도 받지 않습니다. / No payment is taken before Dec 1.","")</f>
      </c>
      <c r="B34" s="83"/>
      <c r="C34" s="83"/>
      <c r="D34" s="83"/>
      <c r="E34" s="83"/>
      <c r="F34" s="83"/>
    </row>
    <row r="35" ht="28" customHeight="1" spans="1:6" x14ac:dyDescent="0.25">
      <c r="A35" s="83">
        <f>IF($H$13,"11월 20일까지 최소 계약 수가 채워지지 않으면 이 계약은 무효이며, 아무것도 청구하지 않습니다. / If the minimum number of contracts is not signed by Nov 20, this contract is void and nothing is charged.","")</f>
      </c>
      <c r="B35" s="83"/>
      <c r="C35" s="83"/>
      <c r="D35" s="83"/>
      <c r="E35" s="83"/>
      <c r="F35" s="83"/>
    </row>
    <row r="36" ht="28" customHeight="1" spans="1:6" x14ac:dyDescent="0.25">
      <c r="A36" s="83">
        <f>IF($H$13,"시즌: 12월 1일–3월 31일. 11월 눈은 방문당 $"&amp;'설정 Settings'!$C$86&amp;". / Season: Dec 1 – Mar 31. November storms: $"&amp;'설정 Settings'!$C$86&amp;" per visit.","")</f>
      </c>
      <c r="B36" s="83"/>
      <c r="C36" s="83"/>
      <c r="D36" s="83"/>
      <c r="E36" s="83"/>
      <c r="F36" s="83"/>
    </row>
    <row r="38" ht="40" customHeight="1" spans="1:6" x14ac:dyDescent="0.25">
      <c r="A38" s="83">
        <f>IF($H$9="Y",("온타리오 방문 계약: 집에서 서명하셨다면, 서명한 계약서 사본을 받은 날부터 10일 안에 취소할 수 있고, 환불은 15일 안에 받습니다. / Ontario: if you signed this agreement at your home, you can cancel within 10 days of receiving your signed copy, and any "&amp;"refund is made within 15 days. (ontario.ca — 법률 자문 아님 / not legal advice)"),"")</f>
      </c>
      <c r="B38" s="83"/>
      <c r="C38" s="83"/>
      <c r="D38" s="83"/>
      <c r="E38" s="83"/>
      <c r="F38" s="83"/>
    </row>
    <row r="40" ht="18" customHeight="1" spans="1:6" x14ac:dyDescent="0.25">
      <c r="A40" s="84">
        <f>"감사합니다! / Thank you!"</f>
      </c>
      <c r="B40" s="84"/>
      <c r="C40" s="84"/>
      <c r="D40" s="84"/>
      <c r="E40" s="84"/>
      <c r="F40" s="84"/>
    </row>
    <row r="41" ht="18" customHeight="1" spans="1:6" x14ac:dyDescent="0.25">
      <c r="A41" s="86">
        <f>'설정 Settings'!$C$5&amp;" · "&amp;'설정 Settings'!$C$6&amp;" · "&amp;'설정 Settings'!$C$7&amp;" · "&amp;'설정 Settings'!$C$8&amp;" · "&amp;'설정 Settings'!$C$9</f>
      </c>
      <c r="B41" s="86"/>
      <c r="C41" s="86"/>
      <c r="D41" s="86"/>
      <c r="E41" s="86"/>
      <c r="F41" s="86"/>
    </row>
  </sheetData>
  <mergeCells count="25">
    <mergeCell ref="A1:D1"/>
    <mergeCell ref="E1:F1"/>
    <mergeCell ref="A2:F2"/>
    <mergeCell ref="A3:F3"/>
    <mergeCell ref="A4:F4"/>
    <mergeCell ref="C6:D6"/>
    <mergeCell ref="B8:D8"/>
    <mergeCell ref="B9:D9"/>
    <mergeCell ref="A11:C11"/>
    <mergeCell ref="A12:C12"/>
    <mergeCell ref="A13:C13"/>
    <mergeCell ref="A14:C14"/>
    <mergeCell ref="A15:C15"/>
    <mergeCell ref="A17:D17"/>
    <mergeCell ref="A23:F23"/>
    <mergeCell ref="A24:F24"/>
    <mergeCell ref="A25:F25"/>
    <mergeCell ref="A26:F26"/>
    <mergeCell ref="A28:F28"/>
    <mergeCell ref="A34:F34"/>
    <mergeCell ref="A35:F35"/>
    <mergeCell ref="A36:F36"/>
    <mergeCell ref="A38:F38"/>
    <mergeCell ref="A40:F40"/>
    <mergeCell ref="A41:F41"/>
  </mergeCells>
  <pageMargins left="0.5" right="0.5" top="0.5" bottom="0.5" header="0.3" footer="0.3"/>
  <pageSetup paperSize="1" orientation="portrait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K1002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2" style="26" customWidth="1"/>
    <col min="2" max="2" width="28" style="5" customWidth="1"/>
    <col min="3" max="3" width="18" style="5" customWidth="1"/>
    <col min="4" max="4" width="14" style="35" customWidth="1"/>
    <col min="5" max="5" width="34" style="5" customWidth="1"/>
    <col min="6" max="6" width="12" style="5" customWidth="1"/>
    <col min="7" max="8" width="11" style="5" customWidth="1"/>
    <col min="9" max="9" width="30" style="5" customWidth="1"/>
    <col min="10" max="10" width="12" style="26" customWidth="1"/>
    <col min="11" max="11" width="9" style="5" customWidth="1"/>
  </cols>
  <sheetData>
    <row r="1" ht="32" customHeight="1" spans="1:11" x14ac:dyDescent="0.25">
      <c r="A1" s="28" t="s">
        <v>482</v>
      </c>
      <c r="B1" s="3" t="s">
        <v>911</v>
      </c>
      <c r="C1" s="3" t="s">
        <v>912</v>
      </c>
      <c r="D1" s="36" t="s">
        <v>913</v>
      </c>
      <c r="E1" s="3" t="s">
        <v>914</v>
      </c>
      <c r="F1" s="3" t="s">
        <v>915</v>
      </c>
      <c r="G1" s="3" t="s">
        <v>916</v>
      </c>
      <c r="H1" s="3" t="s">
        <v>917</v>
      </c>
      <c r="I1" s="3" t="s">
        <v>487</v>
      </c>
      <c r="J1" s="37" t="s">
        <v>696</v>
      </c>
      <c r="K1" s="20" t="s">
        <v>918</v>
      </c>
    </row>
    <row r="2" spans="1:11" x14ac:dyDescent="0.25">
      <c r="A2" s="30">
        <v>46294</v>
      </c>
      <c r="B2" s="31" t="s">
        <v>919</v>
      </c>
      <c r="C2" s="31" t="s">
        <v>920</v>
      </c>
      <c r="D2" s="39">
        <v>60</v>
      </c>
      <c r="E2" s="31" t="s">
        <v>778</v>
      </c>
      <c r="F2" s="31" t="s">
        <v>921</v>
      </c>
      <c r="G2" s="31" t="s">
        <v>535</v>
      </c>
      <c r="H2" s="31"/>
      <c r="I2" s="31" t="s">
        <v>495</v>
      </c>
      <c r="J2" s="30" t="s">
        <v>537</v>
      </c>
      <c r="K2" s="31" t="s">
        <v>537</v>
      </c>
    </row>
    <row r="3" spans="10:11" x14ac:dyDescent="0.25">
      <c r="J3" s="40">
        <f>IF($A3="","",$A3-WEEKDAY($A3,1)+1)</f>
      </c>
      <c r="K3" s="42">
        <f>IF($A3="","",YEAR($A3)&amp;"Q"&amp;ROUNDUP(IFERROR(MONTH($A3)/3,0),0))</f>
      </c>
    </row>
    <row r="4" spans="10:11" x14ac:dyDescent="0.25">
      <c r="J4" s="40">
        <f>IF($A4="","",$A4-WEEKDAY($A4,1)+1)</f>
      </c>
      <c r="K4" s="42">
        <f>IF($A4="","",YEAR($A4)&amp;"Q"&amp;ROUNDUP(IFERROR(MONTH($A4)/3,0),0))</f>
      </c>
    </row>
    <row r="5" spans="10:11" x14ac:dyDescent="0.25">
      <c r="J5" s="40">
        <f>IF($A5="","",$A5-WEEKDAY($A5,1)+1)</f>
      </c>
      <c r="K5" s="42">
        <f>IF($A5="","",YEAR($A5)&amp;"Q"&amp;ROUNDUP(IFERROR(MONTH($A5)/3,0),0))</f>
      </c>
    </row>
    <row r="6" spans="10:11" x14ac:dyDescent="0.25">
      <c r="J6" s="40">
        <f>IF($A6="","",$A6-WEEKDAY($A6,1)+1)</f>
      </c>
      <c r="K6" s="42">
        <f>IF($A6="","",YEAR($A6)&amp;"Q"&amp;ROUNDUP(IFERROR(MONTH($A6)/3,0),0))</f>
      </c>
    </row>
    <row r="7" spans="10:11" x14ac:dyDescent="0.25">
      <c r="J7" s="40">
        <f>IF($A7="","",$A7-WEEKDAY($A7,1)+1)</f>
      </c>
      <c r="K7" s="42">
        <f>IF($A7="","",YEAR($A7)&amp;"Q"&amp;ROUNDUP(IFERROR(MONTH($A7)/3,0),0))</f>
      </c>
    </row>
    <row r="8" spans="10:11" x14ac:dyDescent="0.25">
      <c r="J8" s="40">
        <f>IF($A8="","",$A8-WEEKDAY($A8,1)+1)</f>
      </c>
      <c r="K8" s="42">
        <f>IF($A8="","",YEAR($A8)&amp;"Q"&amp;ROUNDUP(IFERROR(MONTH($A8)/3,0),0))</f>
      </c>
    </row>
    <row r="9" spans="10:11" x14ac:dyDescent="0.25">
      <c r="J9" s="40">
        <f>IF($A9="","",$A9-WEEKDAY($A9,1)+1)</f>
      </c>
      <c r="K9" s="42">
        <f>IF($A9="","",YEAR($A9)&amp;"Q"&amp;ROUNDUP(IFERROR(MONTH($A9)/3,0),0))</f>
      </c>
    </row>
    <row r="10" spans="10:11" x14ac:dyDescent="0.25">
      <c r="J10" s="40">
        <f>IF($A10="","",$A10-WEEKDAY($A10,1)+1)</f>
      </c>
      <c r="K10" s="42">
        <f>IF($A10="","",YEAR($A10)&amp;"Q"&amp;ROUNDUP(IFERROR(MONTH($A10)/3,0),0))</f>
      </c>
    </row>
    <row r="11" spans="10:11" x14ac:dyDescent="0.25">
      <c r="J11" s="40">
        <f>IF($A11="","",$A11-WEEKDAY($A11,1)+1)</f>
      </c>
      <c r="K11" s="42">
        <f>IF($A11="","",YEAR($A11)&amp;"Q"&amp;ROUNDUP(IFERROR(MONTH($A11)/3,0),0))</f>
      </c>
    </row>
    <row r="12" spans="10:11" x14ac:dyDescent="0.25">
      <c r="J12" s="40">
        <f>IF($A12="","",$A12-WEEKDAY($A12,1)+1)</f>
      </c>
      <c r="K12" s="42">
        <f>IF($A12="","",YEAR($A12)&amp;"Q"&amp;ROUNDUP(IFERROR(MONTH($A12)/3,0),0))</f>
      </c>
    </row>
    <row r="13" spans="10:11" x14ac:dyDescent="0.25">
      <c r="J13" s="40">
        <f>IF($A13="","",$A13-WEEKDAY($A13,1)+1)</f>
      </c>
      <c r="K13" s="42">
        <f>IF($A13="","",YEAR($A13)&amp;"Q"&amp;ROUNDUP(IFERROR(MONTH($A13)/3,0),0))</f>
      </c>
    </row>
    <row r="14" spans="10:11" x14ac:dyDescent="0.25">
      <c r="J14" s="40">
        <f>IF($A14="","",$A14-WEEKDAY($A14,1)+1)</f>
      </c>
      <c r="K14" s="42">
        <f>IF($A14="","",YEAR($A14)&amp;"Q"&amp;ROUNDUP(IFERROR(MONTH($A14)/3,0),0))</f>
      </c>
    </row>
    <row r="15" spans="10:11" x14ac:dyDescent="0.25">
      <c r="J15" s="40">
        <f>IF($A15="","",$A15-WEEKDAY($A15,1)+1)</f>
      </c>
      <c r="K15" s="42">
        <f>IF($A15="","",YEAR($A15)&amp;"Q"&amp;ROUNDUP(IFERROR(MONTH($A15)/3,0),0))</f>
      </c>
    </row>
    <row r="16" spans="10:11" x14ac:dyDescent="0.25">
      <c r="J16" s="40">
        <f>IF($A16="","",$A16-WEEKDAY($A16,1)+1)</f>
      </c>
      <c r="K16" s="42">
        <f>IF($A16="","",YEAR($A16)&amp;"Q"&amp;ROUNDUP(IFERROR(MONTH($A16)/3,0),0))</f>
      </c>
    </row>
    <row r="17" spans="10:11" x14ac:dyDescent="0.25">
      <c r="J17" s="40">
        <f>IF($A17="","",$A17-WEEKDAY($A17,1)+1)</f>
      </c>
      <c r="K17" s="42">
        <f>IF($A17="","",YEAR($A17)&amp;"Q"&amp;ROUNDUP(IFERROR(MONTH($A17)/3,0),0))</f>
      </c>
    </row>
    <row r="18" spans="10:11" x14ac:dyDescent="0.25">
      <c r="J18" s="40">
        <f>IF($A18="","",$A18-WEEKDAY($A18,1)+1)</f>
      </c>
      <c r="K18" s="42">
        <f>IF($A18="","",YEAR($A18)&amp;"Q"&amp;ROUNDUP(IFERROR(MONTH($A18)/3,0),0))</f>
      </c>
    </row>
    <row r="19" spans="10:11" x14ac:dyDescent="0.25">
      <c r="J19" s="40">
        <f>IF($A19="","",$A19-WEEKDAY($A19,1)+1)</f>
      </c>
      <c r="K19" s="42">
        <f>IF($A19="","",YEAR($A19)&amp;"Q"&amp;ROUNDUP(IFERROR(MONTH($A19)/3,0),0))</f>
      </c>
    </row>
    <row r="20" spans="10:11" x14ac:dyDescent="0.25">
      <c r="J20" s="40">
        <f>IF($A20="","",$A20-WEEKDAY($A20,1)+1)</f>
      </c>
      <c r="K20" s="42">
        <f>IF($A20="","",YEAR($A20)&amp;"Q"&amp;ROUNDUP(IFERROR(MONTH($A20)/3,0),0))</f>
      </c>
    </row>
    <row r="21" spans="10:11" x14ac:dyDescent="0.25">
      <c r="J21" s="40">
        <f>IF($A21="","",$A21-WEEKDAY($A21,1)+1)</f>
      </c>
      <c r="K21" s="42">
        <f>IF($A21="","",YEAR($A21)&amp;"Q"&amp;ROUNDUP(IFERROR(MONTH($A21)/3,0),0))</f>
      </c>
    </row>
    <row r="22" spans="10:11" x14ac:dyDescent="0.25">
      <c r="J22" s="40">
        <f>IF($A22="","",$A22-WEEKDAY($A22,1)+1)</f>
      </c>
      <c r="K22" s="42">
        <f>IF($A22="","",YEAR($A22)&amp;"Q"&amp;ROUNDUP(IFERROR(MONTH($A22)/3,0),0))</f>
      </c>
    </row>
    <row r="23" spans="10:11" x14ac:dyDescent="0.25">
      <c r="J23" s="40">
        <f>IF($A23="","",$A23-WEEKDAY($A23,1)+1)</f>
      </c>
      <c r="K23" s="42">
        <f>IF($A23="","",YEAR($A23)&amp;"Q"&amp;ROUNDUP(IFERROR(MONTH($A23)/3,0),0))</f>
      </c>
    </row>
    <row r="24" spans="10:11" x14ac:dyDescent="0.25">
      <c r="J24" s="40">
        <f>IF($A24="","",$A24-WEEKDAY($A24,1)+1)</f>
      </c>
      <c r="K24" s="42">
        <f>IF($A24="","",YEAR($A24)&amp;"Q"&amp;ROUNDUP(IFERROR(MONTH($A24)/3,0),0))</f>
      </c>
    </row>
    <row r="25" spans="10:11" x14ac:dyDescent="0.25">
      <c r="J25" s="40">
        <f>IF($A25="","",$A25-WEEKDAY($A25,1)+1)</f>
      </c>
      <c r="K25" s="42">
        <f>IF($A25="","",YEAR($A25)&amp;"Q"&amp;ROUNDUP(IFERROR(MONTH($A25)/3,0),0))</f>
      </c>
    </row>
    <row r="26" spans="10:11" x14ac:dyDescent="0.25">
      <c r="J26" s="40">
        <f>IF($A26="","",$A26-WEEKDAY($A26,1)+1)</f>
      </c>
      <c r="K26" s="42">
        <f>IF($A26="","",YEAR($A26)&amp;"Q"&amp;ROUNDUP(IFERROR(MONTH($A26)/3,0),0))</f>
      </c>
    </row>
    <row r="27" spans="10:11" x14ac:dyDescent="0.25">
      <c r="J27" s="40">
        <f>IF($A27="","",$A27-WEEKDAY($A27,1)+1)</f>
      </c>
      <c r="K27" s="42">
        <f>IF($A27="","",YEAR($A27)&amp;"Q"&amp;ROUNDUP(IFERROR(MONTH($A27)/3,0),0))</f>
      </c>
    </row>
    <row r="28" spans="10:11" x14ac:dyDescent="0.25">
      <c r="J28" s="40">
        <f>IF($A28="","",$A28-WEEKDAY($A28,1)+1)</f>
      </c>
      <c r="K28" s="42">
        <f>IF($A28="","",YEAR($A28)&amp;"Q"&amp;ROUNDUP(IFERROR(MONTH($A28)/3,0),0))</f>
      </c>
    </row>
    <row r="29" spans="10:11" x14ac:dyDescent="0.25">
      <c r="J29" s="40">
        <f>IF($A29="","",$A29-WEEKDAY($A29,1)+1)</f>
      </c>
      <c r="K29" s="42">
        <f>IF($A29="","",YEAR($A29)&amp;"Q"&amp;ROUNDUP(IFERROR(MONTH($A29)/3,0),0))</f>
      </c>
    </row>
    <row r="30" spans="10:11" x14ac:dyDescent="0.25">
      <c r="J30" s="40">
        <f>IF($A30="","",$A30-WEEKDAY($A30,1)+1)</f>
      </c>
      <c r="K30" s="42">
        <f>IF($A30="","",YEAR($A30)&amp;"Q"&amp;ROUNDUP(IFERROR(MONTH($A30)/3,0),0))</f>
      </c>
    </row>
    <row r="31" spans="10:11" x14ac:dyDescent="0.25">
      <c r="J31" s="40">
        <f>IF($A31="","",$A31-WEEKDAY($A31,1)+1)</f>
      </c>
      <c r="K31" s="42">
        <f>IF($A31="","",YEAR($A31)&amp;"Q"&amp;ROUNDUP(IFERROR(MONTH($A31)/3,0),0))</f>
      </c>
    </row>
    <row r="32" spans="10:11" x14ac:dyDescent="0.25">
      <c r="J32" s="40">
        <f>IF($A32="","",$A32-WEEKDAY($A32,1)+1)</f>
      </c>
      <c r="K32" s="42">
        <f>IF($A32="","",YEAR($A32)&amp;"Q"&amp;ROUNDUP(IFERROR(MONTH($A32)/3,0),0))</f>
      </c>
    </row>
    <row r="33" spans="10:11" x14ac:dyDescent="0.25">
      <c r="J33" s="40">
        <f>IF($A33="","",$A33-WEEKDAY($A33,1)+1)</f>
      </c>
      <c r="K33" s="42">
        <f>IF($A33="","",YEAR($A33)&amp;"Q"&amp;ROUNDUP(IFERROR(MONTH($A33)/3,0),0))</f>
      </c>
    </row>
    <row r="34" spans="10:11" x14ac:dyDescent="0.25">
      <c r="J34" s="40">
        <f>IF($A34="","",$A34-WEEKDAY($A34,1)+1)</f>
      </c>
      <c r="K34" s="42">
        <f>IF($A34="","",YEAR($A34)&amp;"Q"&amp;ROUNDUP(IFERROR(MONTH($A34)/3,0),0))</f>
      </c>
    </row>
    <row r="35" spans="10:11" x14ac:dyDescent="0.25">
      <c r="J35" s="40">
        <f>IF($A35="","",$A35-WEEKDAY($A35,1)+1)</f>
      </c>
      <c r="K35" s="42">
        <f>IF($A35="","",YEAR($A35)&amp;"Q"&amp;ROUNDUP(IFERROR(MONTH($A35)/3,0),0))</f>
      </c>
    </row>
    <row r="36" spans="10:11" x14ac:dyDescent="0.25">
      <c r="J36" s="40">
        <f>IF($A36="","",$A36-WEEKDAY($A36,1)+1)</f>
      </c>
      <c r="K36" s="42">
        <f>IF($A36="","",YEAR($A36)&amp;"Q"&amp;ROUNDUP(IFERROR(MONTH($A36)/3,0),0))</f>
      </c>
    </row>
    <row r="37" spans="10:11" x14ac:dyDescent="0.25">
      <c r="J37" s="40">
        <f>IF($A37="","",$A37-WEEKDAY($A37,1)+1)</f>
      </c>
      <c r="K37" s="42">
        <f>IF($A37="","",YEAR($A37)&amp;"Q"&amp;ROUNDUP(IFERROR(MONTH($A37)/3,0),0))</f>
      </c>
    </row>
    <row r="38" spans="10:11" x14ac:dyDescent="0.25">
      <c r="J38" s="40">
        <f>IF($A38="","",$A38-WEEKDAY($A38,1)+1)</f>
      </c>
      <c r="K38" s="42">
        <f>IF($A38="","",YEAR($A38)&amp;"Q"&amp;ROUNDUP(IFERROR(MONTH($A38)/3,0),0))</f>
      </c>
    </row>
    <row r="39" spans="10:11" x14ac:dyDescent="0.25">
      <c r="J39" s="40">
        <f>IF($A39="","",$A39-WEEKDAY($A39,1)+1)</f>
      </c>
      <c r="K39" s="42">
        <f>IF($A39="","",YEAR($A39)&amp;"Q"&amp;ROUNDUP(IFERROR(MONTH($A39)/3,0),0))</f>
      </c>
    </row>
    <row r="40" spans="10:11" x14ac:dyDescent="0.25">
      <c r="J40" s="40">
        <f>IF($A40="","",$A40-WEEKDAY($A40,1)+1)</f>
      </c>
      <c r="K40" s="42">
        <f>IF($A40="","",YEAR($A40)&amp;"Q"&amp;ROUNDUP(IFERROR(MONTH($A40)/3,0),0))</f>
      </c>
    </row>
    <row r="41" spans="10:11" x14ac:dyDescent="0.25">
      <c r="J41" s="40">
        <f>IF($A41="","",$A41-WEEKDAY($A41,1)+1)</f>
      </c>
      <c r="K41" s="42">
        <f>IF($A41="","",YEAR($A41)&amp;"Q"&amp;ROUNDUP(IFERROR(MONTH($A41)/3,0),0))</f>
      </c>
    </row>
    <row r="42" spans="10:11" x14ac:dyDescent="0.25">
      <c r="J42" s="40">
        <f>IF($A42="","",$A42-WEEKDAY($A42,1)+1)</f>
      </c>
      <c r="K42" s="42">
        <f>IF($A42="","",YEAR($A42)&amp;"Q"&amp;ROUNDUP(IFERROR(MONTH($A42)/3,0),0))</f>
      </c>
    </row>
    <row r="43" spans="10:11" x14ac:dyDescent="0.25">
      <c r="J43" s="40">
        <f>IF($A43="","",$A43-WEEKDAY($A43,1)+1)</f>
      </c>
      <c r="K43" s="42">
        <f>IF($A43="","",YEAR($A43)&amp;"Q"&amp;ROUNDUP(IFERROR(MONTH($A43)/3,0),0))</f>
      </c>
    </row>
    <row r="44" spans="10:11" x14ac:dyDescent="0.25">
      <c r="J44" s="40">
        <f>IF($A44="","",$A44-WEEKDAY($A44,1)+1)</f>
      </c>
      <c r="K44" s="42">
        <f>IF($A44="","",YEAR($A44)&amp;"Q"&amp;ROUNDUP(IFERROR(MONTH($A44)/3,0),0))</f>
      </c>
    </row>
    <row r="45" spans="10:11" x14ac:dyDescent="0.25">
      <c r="J45" s="40">
        <f>IF($A45="","",$A45-WEEKDAY($A45,1)+1)</f>
      </c>
      <c r="K45" s="42">
        <f>IF($A45="","",YEAR($A45)&amp;"Q"&amp;ROUNDUP(IFERROR(MONTH($A45)/3,0),0))</f>
      </c>
    </row>
    <row r="46" spans="10:11" x14ac:dyDescent="0.25">
      <c r="J46" s="40">
        <f>IF($A46="","",$A46-WEEKDAY($A46,1)+1)</f>
      </c>
      <c r="K46" s="42">
        <f>IF($A46="","",YEAR($A46)&amp;"Q"&amp;ROUNDUP(IFERROR(MONTH($A46)/3,0),0))</f>
      </c>
    </row>
    <row r="47" spans="10:11" x14ac:dyDescent="0.25">
      <c r="J47" s="40">
        <f>IF($A47="","",$A47-WEEKDAY($A47,1)+1)</f>
      </c>
      <c r="K47" s="42">
        <f>IF($A47="","",YEAR($A47)&amp;"Q"&amp;ROUNDUP(IFERROR(MONTH($A47)/3,0),0))</f>
      </c>
    </row>
    <row r="48" spans="10:11" x14ac:dyDescent="0.25">
      <c r="J48" s="40">
        <f>IF($A48="","",$A48-WEEKDAY($A48,1)+1)</f>
      </c>
      <c r="K48" s="42">
        <f>IF($A48="","",YEAR($A48)&amp;"Q"&amp;ROUNDUP(IFERROR(MONTH($A48)/3,0),0))</f>
      </c>
    </row>
    <row r="49" spans="10:11" x14ac:dyDescent="0.25">
      <c r="J49" s="40">
        <f>IF($A49="","",$A49-WEEKDAY($A49,1)+1)</f>
      </c>
      <c r="K49" s="42">
        <f>IF($A49="","",YEAR($A49)&amp;"Q"&amp;ROUNDUP(IFERROR(MONTH($A49)/3,0),0))</f>
      </c>
    </row>
    <row r="50" spans="10:11" x14ac:dyDescent="0.25">
      <c r="J50" s="40">
        <f>IF($A50="","",$A50-WEEKDAY($A50,1)+1)</f>
      </c>
      <c r="K50" s="42">
        <f>IF($A50="","",YEAR($A50)&amp;"Q"&amp;ROUNDUP(IFERROR(MONTH($A50)/3,0),0))</f>
      </c>
    </row>
    <row r="51" spans="10:11" x14ac:dyDescent="0.25">
      <c r="J51" s="40">
        <f>IF($A51="","",$A51-WEEKDAY($A51,1)+1)</f>
      </c>
      <c r="K51" s="42">
        <f>IF($A51="","",YEAR($A51)&amp;"Q"&amp;ROUNDUP(IFERROR(MONTH($A51)/3,0),0))</f>
      </c>
    </row>
    <row r="52" spans="10:11" x14ac:dyDescent="0.25">
      <c r="J52" s="40">
        <f>IF($A52="","",$A52-WEEKDAY($A52,1)+1)</f>
      </c>
      <c r="K52" s="42">
        <f>IF($A52="","",YEAR($A52)&amp;"Q"&amp;ROUNDUP(IFERROR(MONTH($A52)/3,0),0))</f>
      </c>
    </row>
    <row r="53" spans="10:11" x14ac:dyDescent="0.25">
      <c r="J53" s="40">
        <f>IF($A53="","",$A53-WEEKDAY($A53,1)+1)</f>
      </c>
      <c r="K53" s="42">
        <f>IF($A53="","",YEAR($A53)&amp;"Q"&amp;ROUNDUP(IFERROR(MONTH($A53)/3,0),0))</f>
      </c>
    </row>
    <row r="54" spans="10:11" x14ac:dyDescent="0.25">
      <c r="J54" s="40">
        <f>IF($A54="","",$A54-WEEKDAY($A54,1)+1)</f>
      </c>
      <c r="K54" s="42">
        <f>IF($A54="","",YEAR($A54)&amp;"Q"&amp;ROUNDUP(IFERROR(MONTH($A54)/3,0),0))</f>
      </c>
    </row>
    <row r="55" spans="10:11" x14ac:dyDescent="0.25">
      <c r="J55" s="40">
        <f>IF($A55="","",$A55-WEEKDAY($A55,1)+1)</f>
      </c>
      <c r="K55" s="42">
        <f>IF($A55="","",YEAR($A55)&amp;"Q"&amp;ROUNDUP(IFERROR(MONTH($A55)/3,0),0))</f>
      </c>
    </row>
    <row r="56" spans="10:11" x14ac:dyDescent="0.25">
      <c r="J56" s="40">
        <f>IF($A56="","",$A56-WEEKDAY($A56,1)+1)</f>
      </c>
      <c r="K56" s="42">
        <f>IF($A56="","",YEAR($A56)&amp;"Q"&amp;ROUNDUP(IFERROR(MONTH($A56)/3,0),0))</f>
      </c>
    </row>
    <row r="57" spans="10:11" x14ac:dyDescent="0.25">
      <c r="J57" s="40">
        <f>IF($A57="","",$A57-WEEKDAY($A57,1)+1)</f>
      </c>
      <c r="K57" s="42">
        <f>IF($A57="","",YEAR($A57)&amp;"Q"&amp;ROUNDUP(IFERROR(MONTH($A57)/3,0),0))</f>
      </c>
    </row>
    <row r="58" spans="10:11" x14ac:dyDescent="0.25">
      <c r="J58" s="40">
        <f>IF($A58="","",$A58-WEEKDAY($A58,1)+1)</f>
      </c>
      <c r="K58" s="42">
        <f>IF($A58="","",YEAR($A58)&amp;"Q"&amp;ROUNDUP(IFERROR(MONTH($A58)/3,0),0))</f>
      </c>
    </row>
    <row r="59" spans="10:11" x14ac:dyDescent="0.25">
      <c r="J59" s="40">
        <f>IF($A59="","",$A59-WEEKDAY($A59,1)+1)</f>
      </c>
      <c r="K59" s="42">
        <f>IF($A59="","",YEAR($A59)&amp;"Q"&amp;ROUNDUP(IFERROR(MONTH($A59)/3,0),0))</f>
      </c>
    </row>
    <row r="60" spans="10:11" x14ac:dyDescent="0.25">
      <c r="J60" s="40">
        <f>IF($A60="","",$A60-WEEKDAY($A60,1)+1)</f>
      </c>
      <c r="K60" s="42">
        <f>IF($A60="","",YEAR($A60)&amp;"Q"&amp;ROUNDUP(IFERROR(MONTH($A60)/3,0),0))</f>
      </c>
    </row>
    <row r="61" spans="10:11" x14ac:dyDescent="0.25">
      <c r="J61" s="40">
        <f>IF($A61="","",$A61-WEEKDAY($A61,1)+1)</f>
      </c>
      <c r="K61" s="42">
        <f>IF($A61="","",YEAR($A61)&amp;"Q"&amp;ROUNDUP(IFERROR(MONTH($A61)/3,0),0))</f>
      </c>
    </row>
    <row r="62" spans="10:11" x14ac:dyDescent="0.25">
      <c r="J62" s="40">
        <f>IF($A62="","",$A62-WEEKDAY($A62,1)+1)</f>
      </c>
      <c r="K62" s="42">
        <f>IF($A62="","",YEAR($A62)&amp;"Q"&amp;ROUNDUP(IFERROR(MONTH($A62)/3,0),0))</f>
      </c>
    </row>
    <row r="63" spans="10:11" x14ac:dyDescent="0.25">
      <c r="J63" s="40">
        <f>IF($A63="","",$A63-WEEKDAY($A63,1)+1)</f>
      </c>
      <c r="K63" s="42">
        <f>IF($A63="","",YEAR($A63)&amp;"Q"&amp;ROUNDUP(IFERROR(MONTH($A63)/3,0),0))</f>
      </c>
    </row>
    <row r="64" spans="10:11" x14ac:dyDescent="0.25">
      <c r="J64" s="40">
        <f>IF($A64="","",$A64-WEEKDAY($A64,1)+1)</f>
      </c>
      <c r="K64" s="42">
        <f>IF($A64="","",YEAR($A64)&amp;"Q"&amp;ROUNDUP(IFERROR(MONTH($A64)/3,0),0))</f>
      </c>
    </row>
    <row r="65" spans="10:11" x14ac:dyDescent="0.25">
      <c r="J65" s="40">
        <f>IF($A65="","",$A65-WEEKDAY($A65,1)+1)</f>
      </c>
      <c r="K65" s="42">
        <f>IF($A65="","",YEAR($A65)&amp;"Q"&amp;ROUNDUP(IFERROR(MONTH($A65)/3,0),0))</f>
      </c>
    </row>
    <row r="66" spans="10:11" x14ac:dyDescent="0.25">
      <c r="J66" s="40">
        <f>IF($A66="","",$A66-WEEKDAY($A66,1)+1)</f>
      </c>
      <c r="K66" s="42">
        <f>IF($A66="","",YEAR($A66)&amp;"Q"&amp;ROUNDUP(IFERROR(MONTH($A66)/3,0),0))</f>
      </c>
    </row>
    <row r="67" spans="10:11" x14ac:dyDescent="0.25">
      <c r="J67" s="40">
        <f>IF($A67="","",$A67-WEEKDAY($A67,1)+1)</f>
      </c>
      <c r="K67" s="42">
        <f>IF($A67="","",YEAR($A67)&amp;"Q"&amp;ROUNDUP(IFERROR(MONTH($A67)/3,0),0))</f>
      </c>
    </row>
    <row r="68" spans="10:11" x14ac:dyDescent="0.25">
      <c r="J68" s="40">
        <f>IF($A68="","",$A68-WEEKDAY($A68,1)+1)</f>
      </c>
      <c r="K68" s="42">
        <f>IF($A68="","",YEAR($A68)&amp;"Q"&amp;ROUNDUP(IFERROR(MONTH($A68)/3,0),0))</f>
      </c>
    </row>
    <row r="69" spans="10:11" x14ac:dyDescent="0.25">
      <c r="J69" s="40">
        <f>IF($A69="","",$A69-WEEKDAY($A69,1)+1)</f>
      </c>
      <c r="K69" s="42">
        <f>IF($A69="","",YEAR($A69)&amp;"Q"&amp;ROUNDUP(IFERROR(MONTH($A69)/3,0),0))</f>
      </c>
    </row>
    <row r="70" spans="10:11" x14ac:dyDescent="0.25">
      <c r="J70" s="40">
        <f>IF($A70="","",$A70-WEEKDAY($A70,1)+1)</f>
      </c>
      <c r="K70" s="42">
        <f>IF($A70="","",YEAR($A70)&amp;"Q"&amp;ROUNDUP(IFERROR(MONTH($A70)/3,0),0))</f>
      </c>
    </row>
    <row r="71" spans="10:11" x14ac:dyDescent="0.25">
      <c r="J71" s="40">
        <f>IF($A71="","",$A71-WEEKDAY($A71,1)+1)</f>
      </c>
      <c r="K71" s="42">
        <f>IF($A71="","",YEAR($A71)&amp;"Q"&amp;ROUNDUP(IFERROR(MONTH($A71)/3,0),0))</f>
      </c>
    </row>
    <row r="72" spans="10:11" x14ac:dyDescent="0.25">
      <c r="J72" s="40">
        <f>IF($A72="","",$A72-WEEKDAY($A72,1)+1)</f>
      </c>
      <c r="K72" s="42">
        <f>IF($A72="","",YEAR($A72)&amp;"Q"&amp;ROUNDUP(IFERROR(MONTH($A72)/3,0),0))</f>
      </c>
    </row>
    <row r="73" spans="10:11" x14ac:dyDescent="0.25">
      <c r="J73" s="40">
        <f>IF($A73="","",$A73-WEEKDAY($A73,1)+1)</f>
      </c>
      <c r="K73" s="42">
        <f>IF($A73="","",YEAR($A73)&amp;"Q"&amp;ROUNDUP(IFERROR(MONTH($A73)/3,0),0))</f>
      </c>
    </row>
    <row r="74" spans="10:11" x14ac:dyDescent="0.25">
      <c r="J74" s="40">
        <f>IF($A74="","",$A74-WEEKDAY($A74,1)+1)</f>
      </c>
      <c r="K74" s="42">
        <f>IF($A74="","",YEAR($A74)&amp;"Q"&amp;ROUNDUP(IFERROR(MONTH($A74)/3,0),0))</f>
      </c>
    </row>
    <row r="75" spans="10:11" x14ac:dyDescent="0.25">
      <c r="J75" s="40">
        <f>IF($A75="","",$A75-WEEKDAY($A75,1)+1)</f>
      </c>
      <c r="K75" s="42">
        <f>IF($A75="","",YEAR($A75)&amp;"Q"&amp;ROUNDUP(IFERROR(MONTH($A75)/3,0),0))</f>
      </c>
    </row>
    <row r="76" spans="10:11" x14ac:dyDescent="0.25">
      <c r="J76" s="40">
        <f>IF($A76="","",$A76-WEEKDAY($A76,1)+1)</f>
      </c>
      <c r="K76" s="42">
        <f>IF($A76="","",YEAR($A76)&amp;"Q"&amp;ROUNDUP(IFERROR(MONTH($A76)/3,0),0))</f>
      </c>
    </row>
    <row r="77" spans="10:11" x14ac:dyDescent="0.25">
      <c r="J77" s="40">
        <f>IF($A77="","",$A77-WEEKDAY($A77,1)+1)</f>
      </c>
      <c r="K77" s="42">
        <f>IF($A77="","",YEAR($A77)&amp;"Q"&amp;ROUNDUP(IFERROR(MONTH($A77)/3,0),0))</f>
      </c>
    </row>
    <row r="78" spans="10:11" x14ac:dyDescent="0.25">
      <c r="J78" s="40">
        <f>IF($A78="","",$A78-WEEKDAY($A78,1)+1)</f>
      </c>
      <c r="K78" s="42">
        <f>IF($A78="","",YEAR($A78)&amp;"Q"&amp;ROUNDUP(IFERROR(MONTH($A78)/3,0),0))</f>
      </c>
    </row>
    <row r="79" spans="10:11" x14ac:dyDescent="0.25">
      <c r="J79" s="40">
        <f>IF($A79="","",$A79-WEEKDAY($A79,1)+1)</f>
      </c>
      <c r="K79" s="42">
        <f>IF($A79="","",YEAR($A79)&amp;"Q"&amp;ROUNDUP(IFERROR(MONTH($A79)/3,0),0))</f>
      </c>
    </row>
    <row r="80" spans="10:11" x14ac:dyDescent="0.25">
      <c r="J80" s="40">
        <f>IF($A80="","",$A80-WEEKDAY($A80,1)+1)</f>
      </c>
      <c r="K80" s="42">
        <f>IF($A80="","",YEAR($A80)&amp;"Q"&amp;ROUNDUP(IFERROR(MONTH($A80)/3,0),0))</f>
      </c>
    </row>
    <row r="81" spans="10:11" x14ac:dyDescent="0.25">
      <c r="J81" s="40">
        <f>IF($A81="","",$A81-WEEKDAY($A81,1)+1)</f>
      </c>
      <c r="K81" s="42">
        <f>IF($A81="","",YEAR($A81)&amp;"Q"&amp;ROUNDUP(IFERROR(MONTH($A81)/3,0),0))</f>
      </c>
    </row>
    <row r="82" spans="10:11" x14ac:dyDescent="0.25">
      <c r="J82" s="40">
        <f>IF($A82="","",$A82-WEEKDAY($A82,1)+1)</f>
      </c>
      <c r="K82" s="42">
        <f>IF($A82="","",YEAR($A82)&amp;"Q"&amp;ROUNDUP(IFERROR(MONTH($A82)/3,0),0))</f>
      </c>
    </row>
    <row r="83" spans="10:11" x14ac:dyDescent="0.25">
      <c r="J83" s="40">
        <f>IF($A83="","",$A83-WEEKDAY($A83,1)+1)</f>
      </c>
      <c r="K83" s="42">
        <f>IF($A83="","",YEAR($A83)&amp;"Q"&amp;ROUNDUP(IFERROR(MONTH($A83)/3,0),0))</f>
      </c>
    </row>
    <row r="84" spans="10:11" x14ac:dyDescent="0.25">
      <c r="J84" s="40">
        <f>IF($A84="","",$A84-WEEKDAY($A84,1)+1)</f>
      </c>
      <c r="K84" s="42">
        <f>IF($A84="","",YEAR($A84)&amp;"Q"&amp;ROUNDUP(IFERROR(MONTH($A84)/3,0),0))</f>
      </c>
    </row>
    <row r="85" spans="10:11" x14ac:dyDescent="0.25">
      <c r="J85" s="40">
        <f>IF($A85="","",$A85-WEEKDAY($A85,1)+1)</f>
      </c>
      <c r="K85" s="42">
        <f>IF($A85="","",YEAR($A85)&amp;"Q"&amp;ROUNDUP(IFERROR(MONTH($A85)/3,0),0))</f>
      </c>
    </row>
    <row r="86" spans="10:11" x14ac:dyDescent="0.25">
      <c r="J86" s="40">
        <f>IF($A86="","",$A86-WEEKDAY($A86,1)+1)</f>
      </c>
      <c r="K86" s="42">
        <f>IF($A86="","",YEAR($A86)&amp;"Q"&amp;ROUNDUP(IFERROR(MONTH($A86)/3,0),0))</f>
      </c>
    </row>
    <row r="87" spans="10:11" x14ac:dyDescent="0.25">
      <c r="J87" s="40">
        <f>IF($A87="","",$A87-WEEKDAY($A87,1)+1)</f>
      </c>
      <c r="K87" s="42">
        <f>IF($A87="","",YEAR($A87)&amp;"Q"&amp;ROUNDUP(IFERROR(MONTH($A87)/3,0),0))</f>
      </c>
    </row>
    <row r="88" spans="10:11" x14ac:dyDescent="0.25">
      <c r="J88" s="40">
        <f>IF($A88="","",$A88-WEEKDAY($A88,1)+1)</f>
      </c>
      <c r="K88" s="42">
        <f>IF($A88="","",YEAR($A88)&amp;"Q"&amp;ROUNDUP(IFERROR(MONTH($A88)/3,0),0))</f>
      </c>
    </row>
    <row r="89" spans="10:11" x14ac:dyDescent="0.25">
      <c r="J89" s="40">
        <f>IF($A89="","",$A89-WEEKDAY($A89,1)+1)</f>
      </c>
      <c r="K89" s="42">
        <f>IF($A89="","",YEAR($A89)&amp;"Q"&amp;ROUNDUP(IFERROR(MONTH($A89)/3,0),0))</f>
      </c>
    </row>
    <row r="90" spans="10:11" x14ac:dyDescent="0.25">
      <c r="J90" s="40">
        <f>IF($A90="","",$A90-WEEKDAY($A90,1)+1)</f>
      </c>
      <c r="K90" s="42">
        <f>IF($A90="","",YEAR($A90)&amp;"Q"&amp;ROUNDUP(IFERROR(MONTH($A90)/3,0),0))</f>
      </c>
    </row>
    <row r="91" spans="10:11" x14ac:dyDescent="0.25">
      <c r="J91" s="40">
        <f>IF($A91="","",$A91-WEEKDAY($A91,1)+1)</f>
      </c>
      <c r="K91" s="42">
        <f>IF($A91="","",YEAR($A91)&amp;"Q"&amp;ROUNDUP(IFERROR(MONTH($A91)/3,0),0))</f>
      </c>
    </row>
    <row r="92" spans="10:11" x14ac:dyDescent="0.25">
      <c r="J92" s="40">
        <f>IF($A92="","",$A92-WEEKDAY($A92,1)+1)</f>
      </c>
      <c r="K92" s="42">
        <f>IF($A92="","",YEAR($A92)&amp;"Q"&amp;ROUNDUP(IFERROR(MONTH($A92)/3,0),0))</f>
      </c>
    </row>
    <row r="93" spans="10:11" x14ac:dyDescent="0.25">
      <c r="J93" s="40">
        <f>IF($A93="","",$A93-WEEKDAY($A93,1)+1)</f>
      </c>
      <c r="K93" s="42">
        <f>IF($A93="","",YEAR($A93)&amp;"Q"&amp;ROUNDUP(IFERROR(MONTH($A93)/3,0),0))</f>
      </c>
    </row>
    <row r="94" spans="10:11" x14ac:dyDescent="0.25">
      <c r="J94" s="40">
        <f>IF($A94="","",$A94-WEEKDAY($A94,1)+1)</f>
      </c>
      <c r="K94" s="42">
        <f>IF($A94="","",YEAR($A94)&amp;"Q"&amp;ROUNDUP(IFERROR(MONTH($A94)/3,0),0))</f>
      </c>
    </row>
    <row r="95" spans="10:11" x14ac:dyDescent="0.25">
      <c r="J95" s="40">
        <f>IF($A95="","",$A95-WEEKDAY($A95,1)+1)</f>
      </c>
      <c r="K95" s="42">
        <f>IF($A95="","",YEAR($A95)&amp;"Q"&amp;ROUNDUP(IFERROR(MONTH($A95)/3,0),0))</f>
      </c>
    </row>
    <row r="96" spans="10:11" x14ac:dyDescent="0.25">
      <c r="J96" s="40">
        <f>IF($A96="","",$A96-WEEKDAY($A96,1)+1)</f>
      </c>
      <c r="K96" s="42">
        <f>IF($A96="","",YEAR($A96)&amp;"Q"&amp;ROUNDUP(IFERROR(MONTH($A96)/3,0),0))</f>
      </c>
    </row>
    <row r="97" spans="10:11" x14ac:dyDescent="0.25">
      <c r="J97" s="40">
        <f>IF($A97="","",$A97-WEEKDAY($A97,1)+1)</f>
      </c>
      <c r="K97" s="42">
        <f>IF($A97="","",YEAR($A97)&amp;"Q"&amp;ROUNDUP(IFERROR(MONTH($A97)/3,0),0))</f>
      </c>
    </row>
    <row r="98" spans="10:11" x14ac:dyDescent="0.25">
      <c r="J98" s="40">
        <f>IF($A98="","",$A98-WEEKDAY($A98,1)+1)</f>
      </c>
      <c r="K98" s="42">
        <f>IF($A98="","",YEAR($A98)&amp;"Q"&amp;ROUNDUP(IFERROR(MONTH($A98)/3,0),0))</f>
      </c>
    </row>
    <row r="99" spans="10:11" x14ac:dyDescent="0.25">
      <c r="J99" s="40">
        <f>IF($A99="","",$A99-WEEKDAY($A99,1)+1)</f>
      </c>
      <c r="K99" s="42">
        <f>IF($A99="","",YEAR($A99)&amp;"Q"&amp;ROUNDUP(IFERROR(MONTH($A99)/3,0),0))</f>
      </c>
    </row>
    <row r="100" spans="10:11" x14ac:dyDescent="0.25">
      <c r="J100" s="40">
        <f>IF($A100="","",$A100-WEEKDAY($A100,1)+1)</f>
      </c>
      <c r="K100" s="42">
        <f>IF($A100="","",YEAR($A100)&amp;"Q"&amp;ROUNDUP(IFERROR(MONTH($A100)/3,0),0))</f>
      </c>
    </row>
    <row r="101" spans="10:11" x14ac:dyDescent="0.25">
      <c r="J101" s="40">
        <f>IF($A101="","",$A101-WEEKDAY($A101,1)+1)</f>
      </c>
      <c r="K101" s="42">
        <f>IF($A101="","",YEAR($A101)&amp;"Q"&amp;ROUNDUP(IFERROR(MONTH($A101)/3,0),0))</f>
      </c>
    </row>
    <row r="102" spans="10:11" x14ac:dyDescent="0.25">
      <c r="J102" s="40">
        <f>IF($A102="","",$A102-WEEKDAY($A102,1)+1)</f>
      </c>
      <c r="K102" s="42">
        <f>IF($A102="","",YEAR($A102)&amp;"Q"&amp;ROUNDUP(IFERROR(MONTH($A102)/3,0),0))</f>
      </c>
    </row>
    <row r="103" spans="10:11" x14ac:dyDescent="0.25">
      <c r="J103" s="40">
        <f>IF($A103="","",$A103-WEEKDAY($A103,1)+1)</f>
      </c>
      <c r="K103" s="42">
        <f>IF($A103="","",YEAR($A103)&amp;"Q"&amp;ROUNDUP(IFERROR(MONTH($A103)/3,0),0))</f>
      </c>
    </row>
    <row r="104" spans="10:11" x14ac:dyDescent="0.25">
      <c r="J104" s="40">
        <f>IF($A104="","",$A104-WEEKDAY($A104,1)+1)</f>
      </c>
      <c r="K104" s="42">
        <f>IF($A104="","",YEAR($A104)&amp;"Q"&amp;ROUNDUP(IFERROR(MONTH($A104)/3,0),0))</f>
      </c>
    </row>
    <row r="105" spans="10:11" x14ac:dyDescent="0.25">
      <c r="J105" s="40">
        <f>IF($A105="","",$A105-WEEKDAY($A105,1)+1)</f>
      </c>
      <c r="K105" s="42">
        <f>IF($A105="","",YEAR($A105)&amp;"Q"&amp;ROUNDUP(IFERROR(MONTH($A105)/3,0),0))</f>
      </c>
    </row>
    <row r="106" spans="10:11" x14ac:dyDescent="0.25">
      <c r="J106" s="40">
        <f>IF($A106="","",$A106-WEEKDAY($A106,1)+1)</f>
      </c>
      <c r="K106" s="42">
        <f>IF($A106="","",YEAR($A106)&amp;"Q"&amp;ROUNDUP(IFERROR(MONTH($A106)/3,0),0))</f>
      </c>
    </row>
    <row r="107" spans="10:11" x14ac:dyDescent="0.25">
      <c r="J107" s="40">
        <f>IF($A107="","",$A107-WEEKDAY($A107,1)+1)</f>
      </c>
      <c r="K107" s="42">
        <f>IF($A107="","",YEAR($A107)&amp;"Q"&amp;ROUNDUP(IFERROR(MONTH($A107)/3,0),0))</f>
      </c>
    </row>
    <row r="108" spans="10:11" x14ac:dyDescent="0.25">
      <c r="J108" s="40">
        <f>IF($A108="","",$A108-WEEKDAY($A108,1)+1)</f>
      </c>
      <c r="K108" s="42">
        <f>IF($A108="","",YEAR($A108)&amp;"Q"&amp;ROUNDUP(IFERROR(MONTH($A108)/3,0),0))</f>
      </c>
    </row>
    <row r="109" spans="10:11" x14ac:dyDescent="0.25">
      <c r="J109" s="40">
        <f>IF($A109="","",$A109-WEEKDAY($A109,1)+1)</f>
      </c>
      <c r="K109" s="42">
        <f>IF($A109="","",YEAR($A109)&amp;"Q"&amp;ROUNDUP(IFERROR(MONTH($A109)/3,0),0))</f>
      </c>
    </row>
    <row r="110" spans="10:11" x14ac:dyDescent="0.25">
      <c r="J110" s="40">
        <f>IF($A110="","",$A110-WEEKDAY($A110,1)+1)</f>
      </c>
      <c r="K110" s="42">
        <f>IF($A110="","",YEAR($A110)&amp;"Q"&amp;ROUNDUP(IFERROR(MONTH($A110)/3,0),0))</f>
      </c>
    </row>
    <row r="111" spans="10:11" x14ac:dyDescent="0.25">
      <c r="J111" s="40">
        <f>IF($A111="","",$A111-WEEKDAY($A111,1)+1)</f>
      </c>
      <c r="K111" s="42">
        <f>IF($A111="","",YEAR($A111)&amp;"Q"&amp;ROUNDUP(IFERROR(MONTH($A111)/3,0),0))</f>
      </c>
    </row>
    <row r="112" spans="10:11" x14ac:dyDescent="0.25">
      <c r="J112" s="40">
        <f>IF($A112="","",$A112-WEEKDAY($A112,1)+1)</f>
      </c>
      <c r="K112" s="42">
        <f>IF($A112="","",YEAR($A112)&amp;"Q"&amp;ROUNDUP(IFERROR(MONTH($A112)/3,0),0))</f>
      </c>
    </row>
    <row r="113" spans="10:11" x14ac:dyDescent="0.25">
      <c r="J113" s="40">
        <f>IF($A113="","",$A113-WEEKDAY($A113,1)+1)</f>
      </c>
      <c r="K113" s="42">
        <f>IF($A113="","",YEAR($A113)&amp;"Q"&amp;ROUNDUP(IFERROR(MONTH($A113)/3,0),0))</f>
      </c>
    </row>
    <row r="114" spans="10:11" x14ac:dyDescent="0.25">
      <c r="J114" s="40">
        <f>IF($A114="","",$A114-WEEKDAY($A114,1)+1)</f>
      </c>
      <c r="K114" s="42">
        <f>IF($A114="","",YEAR($A114)&amp;"Q"&amp;ROUNDUP(IFERROR(MONTH($A114)/3,0),0))</f>
      </c>
    </row>
    <row r="115" spans="10:11" x14ac:dyDescent="0.25">
      <c r="J115" s="40">
        <f>IF($A115="","",$A115-WEEKDAY($A115,1)+1)</f>
      </c>
      <c r="K115" s="42">
        <f>IF($A115="","",YEAR($A115)&amp;"Q"&amp;ROUNDUP(IFERROR(MONTH($A115)/3,0),0))</f>
      </c>
    </row>
    <row r="116" spans="10:11" x14ac:dyDescent="0.25">
      <c r="J116" s="40">
        <f>IF($A116="","",$A116-WEEKDAY($A116,1)+1)</f>
      </c>
      <c r="K116" s="42">
        <f>IF($A116="","",YEAR($A116)&amp;"Q"&amp;ROUNDUP(IFERROR(MONTH($A116)/3,0),0))</f>
      </c>
    </row>
    <row r="117" spans="10:11" x14ac:dyDescent="0.25">
      <c r="J117" s="40">
        <f>IF($A117="","",$A117-WEEKDAY($A117,1)+1)</f>
      </c>
      <c r="K117" s="42">
        <f>IF($A117="","",YEAR($A117)&amp;"Q"&amp;ROUNDUP(IFERROR(MONTH($A117)/3,0),0))</f>
      </c>
    </row>
    <row r="118" spans="10:11" x14ac:dyDescent="0.25">
      <c r="J118" s="40">
        <f>IF($A118="","",$A118-WEEKDAY($A118,1)+1)</f>
      </c>
      <c r="K118" s="42">
        <f>IF($A118="","",YEAR($A118)&amp;"Q"&amp;ROUNDUP(IFERROR(MONTH($A118)/3,0),0))</f>
      </c>
    </row>
    <row r="119" spans="10:11" x14ac:dyDescent="0.25">
      <c r="J119" s="40">
        <f>IF($A119="","",$A119-WEEKDAY($A119,1)+1)</f>
      </c>
      <c r="K119" s="42">
        <f>IF($A119="","",YEAR($A119)&amp;"Q"&amp;ROUNDUP(IFERROR(MONTH($A119)/3,0),0))</f>
      </c>
    </row>
    <row r="120" spans="10:11" x14ac:dyDescent="0.25">
      <c r="J120" s="40">
        <f>IF($A120="","",$A120-WEEKDAY($A120,1)+1)</f>
      </c>
      <c r="K120" s="42">
        <f>IF($A120="","",YEAR($A120)&amp;"Q"&amp;ROUNDUP(IFERROR(MONTH($A120)/3,0),0))</f>
      </c>
    </row>
    <row r="121" spans="10:11" x14ac:dyDescent="0.25">
      <c r="J121" s="40">
        <f>IF($A121="","",$A121-WEEKDAY($A121,1)+1)</f>
      </c>
      <c r="K121" s="42">
        <f>IF($A121="","",YEAR($A121)&amp;"Q"&amp;ROUNDUP(IFERROR(MONTH($A121)/3,0),0))</f>
      </c>
    </row>
    <row r="122" spans="10:11" x14ac:dyDescent="0.25">
      <c r="J122" s="40">
        <f>IF($A122="","",$A122-WEEKDAY($A122,1)+1)</f>
      </c>
      <c r="K122" s="42">
        <f>IF($A122="","",YEAR($A122)&amp;"Q"&amp;ROUNDUP(IFERROR(MONTH($A122)/3,0),0))</f>
      </c>
    </row>
    <row r="123" spans="10:11" x14ac:dyDescent="0.25">
      <c r="J123" s="40">
        <f>IF($A123="","",$A123-WEEKDAY($A123,1)+1)</f>
      </c>
      <c r="K123" s="42">
        <f>IF($A123="","",YEAR($A123)&amp;"Q"&amp;ROUNDUP(IFERROR(MONTH($A123)/3,0),0))</f>
      </c>
    </row>
    <row r="124" spans="10:11" x14ac:dyDescent="0.25">
      <c r="J124" s="40">
        <f>IF($A124="","",$A124-WEEKDAY($A124,1)+1)</f>
      </c>
      <c r="K124" s="42">
        <f>IF($A124="","",YEAR($A124)&amp;"Q"&amp;ROUNDUP(IFERROR(MONTH($A124)/3,0),0))</f>
      </c>
    </row>
    <row r="125" spans="10:11" x14ac:dyDescent="0.25">
      <c r="J125" s="40">
        <f>IF($A125="","",$A125-WEEKDAY($A125,1)+1)</f>
      </c>
      <c r="K125" s="42">
        <f>IF($A125="","",YEAR($A125)&amp;"Q"&amp;ROUNDUP(IFERROR(MONTH($A125)/3,0),0))</f>
      </c>
    </row>
    <row r="126" spans="10:11" x14ac:dyDescent="0.25">
      <c r="J126" s="40">
        <f>IF($A126="","",$A126-WEEKDAY($A126,1)+1)</f>
      </c>
      <c r="K126" s="42">
        <f>IF($A126="","",YEAR($A126)&amp;"Q"&amp;ROUNDUP(IFERROR(MONTH($A126)/3,0),0))</f>
      </c>
    </row>
    <row r="127" spans="10:11" x14ac:dyDescent="0.25">
      <c r="J127" s="40">
        <f>IF($A127="","",$A127-WEEKDAY($A127,1)+1)</f>
      </c>
      <c r="K127" s="42">
        <f>IF($A127="","",YEAR($A127)&amp;"Q"&amp;ROUNDUP(IFERROR(MONTH($A127)/3,0),0))</f>
      </c>
    </row>
    <row r="128" spans="10:11" x14ac:dyDescent="0.25">
      <c r="J128" s="40">
        <f>IF($A128="","",$A128-WEEKDAY($A128,1)+1)</f>
      </c>
      <c r="K128" s="42">
        <f>IF($A128="","",YEAR($A128)&amp;"Q"&amp;ROUNDUP(IFERROR(MONTH($A128)/3,0),0))</f>
      </c>
    </row>
    <row r="129" spans="10:11" x14ac:dyDescent="0.25">
      <c r="J129" s="40">
        <f>IF($A129="","",$A129-WEEKDAY($A129,1)+1)</f>
      </c>
      <c r="K129" s="42">
        <f>IF($A129="","",YEAR($A129)&amp;"Q"&amp;ROUNDUP(IFERROR(MONTH($A129)/3,0),0))</f>
      </c>
    </row>
    <row r="130" spans="10:11" x14ac:dyDescent="0.25">
      <c r="J130" s="40">
        <f>IF($A130="","",$A130-WEEKDAY($A130,1)+1)</f>
      </c>
      <c r="K130" s="42">
        <f>IF($A130="","",YEAR($A130)&amp;"Q"&amp;ROUNDUP(IFERROR(MONTH($A130)/3,0),0))</f>
      </c>
    </row>
    <row r="131" spans="10:11" x14ac:dyDescent="0.25">
      <c r="J131" s="40">
        <f>IF($A131="","",$A131-WEEKDAY($A131,1)+1)</f>
      </c>
      <c r="K131" s="42">
        <f>IF($A131="","",YEAR($A131)&amp;"Q"&amp;ROUNDUP(IFERROR(MONTH($A131)/3,0),0))</f>
      </c>
    </row>
    <row r="132" spans="10:11" x14ac:dyDescent="0.25">
      <c r="J132" s="40">
        <f>IF($A132="","",$A132-WEEKDAY($A132,1)+1)</f>
      </c>
      <c r="K132" s="42">
        <f>IF($A132="","",YEAR($A132)&amp;"Q"&amp;ROUNDUP(IFERROR(MONTH($A132)/3,0),0))</f>
      </c>
    </row>
    <row r="133" spans="10:11" x14ac:dyDescent="0.25">
      <c r="J133" s="40">
        <f>IF($A133="","",$A133-WEEKDAY($A133,1)+1)</f>
      </c>
      <c r="K133" s="42">
        <f>IF($A133="","",YEAR($A133)&amp;"Q"&amp;ROUNDUP(IFERROR(MONTH($A133)/3,0),0))</f>
      </c>
    </row>
    <row r="134" spans="10:11" x14ac:dyDescent="0.25">
      <c r="J134" s="40">
        <f>IF($A134="","",$A134-WEEKDAY($A134,1)+1)</f>
      </c>
      <c r="K134" s="42">
        <f>IF($A134="","",YEAR($A134)&amp;"Q"&amp;ROUNDUP(IFERROR(MONTH($A134)/3,0),0))</f>
      </c>
    </row>
    <row r="135" spans="10:11" x14ac:dyDescent="0.25">
      <c r="J135" s="40">
        <f>IF($A135="","",$A135-WEEKDAY($A135,1)+1)</f>
      </c>
      <c r="K135" s="42">
        <f>IF($A135="","",YEAR($A135)&amp;"Q"&amp;ROUNDUP(IFERROR(MONTH($A135)/3,0),0))</f>
      </c>
    </row>
    <row r="136" spans="10:11" x14ac:dyDescent="0.25">
      <c r="J136" s="40">
        <f>IF($A136="","",$A136-WEEKDAY($A136,1)+1)</f>
      </c>
      <c r="K136" s="42">
        <f>IF($A136="","",YEAR($A136)&amp;"Q"&amp;ROUNDUP(IFERROR(MONTH($A136)/3,0),0))</f>
      </c>
    </row>
    <row r="137" spans="10:11" x14ac:dyDescent="0.25">
      <c r="J137" s="40">
        <f>IF($A137="","",$A137-WEEKDAY($A137,1)+1)</f>
      </c>
      <c r="K137" s="42">
        <f>IF($A137="","",YEAR($A137)&amp;"Q"&amp;ROUNDUP(IFERROR(MONTH($A137)/3,0),0))</f>
      </c>
    </row>
    <row r="138" spans="10:11" x14ac:dyDescent="0.25">
      <c r="J138" s="40">
        <f>IF($A138="","",$A138-WEEKDAY($A138,1)+1)</f>
      </c>
      <c r="K138" s="42">
        <f>IF($A138="","",YEAR($A138)&amp;"Q"&amp;ROUNDUP(IFERROR(MONTH($A138)/3,0),0))</f>
      </c>
    </row>
    <row r="139" spans="10:11" x14ac:dyDescent="0.25">
      <c r="J139" s="40">
        <f>IF($A139="","",$A139-WEEKDAY($A139,1)+1)</f>
      </c>
      <c r="K139" s="42">
        <f>IF($A139="","",YEAR($A139)&amp;"Q"&amp;ROUNDUP(IFERROR(MONTH($A139)/3,0),0))</f>
      </c>
    </row>
    <row r="140" spans="10:11" x14ac:dyDescent="0.25">
      <c r="J140" s="40">
        <f>IF($A140="","",$A140-WEEKDAY($A140,1)+1)</f>
      </c>
      <c r="K140" s="42">
        <f>IF($A140="","",YEAR($A140)&amp;"Q"&amp;ROUNDUP(IFERROR(MONTH($A140)/3,0),0))</f>
      </c>
    </row>
    <row r="141" spans="10:11" x14ac:dyDescent="0.25">
      <c r="J141" s="40">
        <f>IF($A141="","",$A141-WEEKDAY($A141,1)+1)</f>
      </c>
      <c r="K141" s="42">
        <f>IF($A141="","",YEAR($A141)&amp;"Q"&amp;ROUNDUP(IFERROR(MONTH($A141)/3,0),0))</f>
      </c>
    </row>
    <row r="142" spans="10:11" x14ac:dyDescent="0.25">
      <c r="J142" s="40">
        <f>IF($A142="","",$A142-WEEKDAY($A142,1)+1)</f>
      </c>
      <c r="K142" s="42">
        <f>IF($A142="","",YEAR($A142)&amp;"Q"&amp;ROUNDUP(IFERROR(MONTH($A142)/3,0),0))</f>
      </c>
    </row>
    <row r="143" spans="10:11" x14ac:dyDescent="0.25">
      <c r="J143" s="40">
        <f>IF($A143="","",$A143-WEEKDAY($A143,1)+1)</f>
      </c>
      <c r="K143" s="42">
        <f>IF($A143="","",YEAR($A143)&amp;"Q"&amp;ROUNDUP(IFERROR(MONTH($A143)/3,0),0))</f>
      </c>
    </row>
    <row r="144" spans="10:11" x14ac:dyDescent="0.25">
      <c r="J144" s="40">
        <f>IF($A144="","",$A144-WEEKDAY($A144,1)+1)</f>
      </c>
      <c r="K144" s="42">
        <f>IF($A144="","",YEAR($A144)&amp;"Q"&amp;ROUNDUP(IFERROR(MONTH($A144)/3,0),0))</f>
      </c>
    </row>
    <row r="145" spans="10:11" x14ac:dyDescent="0.25">
      <c r="J145" s="40">
        <f>IF($A145="","",$A145-WEEKDAY($A145,1)+1)</f>
      </c>
      <c r="K145" s="42">
        <f>IF($A145="","",YEAR($A145)&amp;"Q"&amp;ROUNDUP(IFERROR(MONTH($A145)/3,0),0))</f>
      </c>
    </row>
    <row r="146" spans="10:11" x14ac:dyDescent="0.25">
      <c r="J146" s="40">
        <f>IF($A146="","",$A146-WEEKDAY($A146,1)+1)</f>
      </c>
      <c r="K146" s="42">
        <f>IF($A146="","",YEAR($A146)&amp;"Q"&amp;ROUNDUP(IFERROR(MONTH($A146)/3,0),0))</f>
      </c>
    </row>
    <row r="147" spans="10:11" x14ac:dyDescent="0.25">
      <c r="J147" s="40">
        <f>IF($A147="","",$A147-WEEKDAY($A147,1)+1)</f>
      </c>
      <c r="K147" s="42">
        <f>IF($A147="","",YEAR($A147)&amp;"Q"&amp;ROUNDUP(IFERROR(MONTH($A147)/3,0),0))</f>
      </c>
    </row>
    <row r="148" spans="10:11" x14ac:dyDescent="0.25">
      <c r="J148" s="40">
        <f>IF($A148="","",$A148-WEEKDAY($A148,1)+1)</f>
      </c>
      <c r="K148" s="42">
        <f>IF($A148="","",YEAR($A148)&amp;"Q"&amp;ROUNDUP(IFERROR(MONTH($A148)/3,0),0))</f>
      </c>
    </row>
    <row r="149" spans="10:11" x14ac:dyDescent="0.25">
      <c r="J149" s="40">
        <f>IF($A149="","",$A149-WEEKDAY($A149,1)+1)</f>
      </c>
      <c r="K149" s="42">
        <f>IF($A149="","",YEAR($A149)&amp;"Q"&amp;ROUNDUP(IFERROR(MONTH($A149)/3,0),0))</f>
      </c>
    </row>
    <row r="150" spans="10:11" x14ac:dyDescent="0.25">
      <c r="J150" s="40">
        <f>IF($A150="","",$A150-WEEKDAY($A150,1)+1)</f>
      </c>
      <c r="K150" s="42">
        <f>IF($A150="","",YEAR($A150)&amp;"Q"&amp;ROUNDUP(IFERROR(MONTH($A150)/3,0),0))</f>
      </c>
    </row>
    <row r="151" spans="10:11" x14ac:dyDescent="0.25">
      <c r="J151" s="40">
        <f>IF($A151="","",$A151-WEEKDAY($A151,1)+1)</f>
      </c>
      <c r="K151" s="42">
        <f>IF($A151="","",YEAR($A151)&amp;"Q"&amp;ROUNDUP(IFERROR(MONTH($A151)/3,0),0))</f>
      </c>
    </row>
    <row r="152" spans="10:11" x14ac:dyDescent="0.25">
      <c r="J152" s="40">
        <f>IF($A152="","",$A152-WEEKDAY($A152,1)+1)</f>
      </c>
      <c r="K152" s="42">
        <f>IF($A152="","",YEAR($A152)&amp;"Q"&amp;ROUNDUP(IFERROR(MONTH($A152)/3,0),0))</f>
      </c>
    </row>
    <row r="153" spans="10:11" x14ac:dyDescent="0.25">
      <c r="J153" s="40">
        <f>IF($A153="","",$A153-WEEKDAY($A153,1)+1)</f>
      </c>
      <c r="K153" s="42">
        <f>IF($A153="","",YEAR($A153)&amp;"Q"&amp;ROUNDUP(IFERROR(MONTH($A153)/3,0),0))</f>
      </c>
    </row>
    <row r="154" spans="10:11" x14ac:dyDescent="0.25">
      <c r="J154" s="40">
        <f>IF($A154="","",$A154-WEEKDAY($A154,1)+1)</f>
      </c>
      <c r="K154" s="42">
        <f>IF($A154="","",YEAR($A154)&amp;"Q"&amp;ROUNDUP(IFERROR(MONTH($A154)/3,0),0))</f>
      </c>
    </row>
    <row r="155" spans="10:11" x14ac:dyDescent="0.25">
      <c r="J155" s="40">
        <f>IF($A155="","",$A155-WEEKDAY($A155,1)+1)</f>
      </c>
      <c r="K155" s="42">
        <f>IF($A155="","",YEAR($A155)&amp;"Q"&amp;ROUNDUP(IFERROR(MONTH($A155)/3,0),0))</f>
      </c>
    </row>
    <row r="156" spans="10:11" x14ac:dyDescent="0.25">
      <c r="J156" s="40">
        <f>IF($A156="","",$A156-WEEKDAY($A156,1)+1)</f>
      </c>
      <c r="K156" s="42">
        <f>IF($A156="","",YEAR($A156)&amp;"Q"&amp;ROUNDUP(IFERROR(MONTH($A156)/3,0),0))</f>
      </c>
    </row>
    <row r="157" spans="10:11" x14ac:dyDescent="0.25">
      <c r="J157" s="40">
        <f>IF($A157="","",$A157-WEEKDAY($A157,1)+1)</f>
      </c>
      <c r="K157" s="42">
        <f>IF($A157="","",YEAR($A157)&amp;"Q"&amp;ROUNDUP(IFERROR(MONTH($A157)/3,0),0))</f>
      </c>
    </row>
    <row r="158" spans="10:11" x14ac:dyDescent="0.25">
      <c r="J158" s="40">
        <f>IF($A158="","",$A158-WEEKDAY($A158,1)+1)</f>
      </c>
      <c r="K158" s="42">
        <f>IF($A158="","",YEAR($A158)&amp;"Q"&amp;ROUNDUP(IFERROR(MONTH($A158)/3,0),0))</f>
      </c>
    </row>
    <row r="159" spans="10:11" x14ac:dyDescent="0.25">
      <c r="J159" s="40">
        <f>IF($A159="","",$A159-WEEKDAY($A159,1)+1)</f>
      </c>
      <c r="K159" s="42">
        <f>IF($A159="","",YEAR($A159)&amp;"Q"&amp;ROUNDUP(IFERROR(MONTH($A159)/3,0),0))</f>
      </c>
    </row>
    <row r="160" spans="10:11" x14ac:dyDescent="0.25">
      <c r="J160" s="40">
        <f>IF($A160="","",$A160-WEEKDAY($A160,1)+1)</f>
      </c>
      <c r="K160" s="42">
        <f>IF($A160="","",YEAR($A160)&amp;"Q"&amp;ROUNDUP(IFERROR(MONTH($A160)/3,0),0))</f>
      </c>
    </row>
    <row r="161" spans="10:11" x14ac:dyDescent="0.25">
      <c r="J161" s="40">
        <f>IF($A161="","",$A161-WEEKDAY($A161,1)+1)</f>
      </c>
      <c r="K161" s="42">
        <f>IF($A161="","",YEAR($A161)&amp;"Q"&amp;ROUNDUP(IFERROR(MONTH($A161)/3,0),0))</f>
      </c>
    </row>
    <row r="162" spans="10:11" x14ac:dyDescent="0.25">
      <c r="J162" s="40">
        <f>IF($A162="","",$A162-WEEKDAY($A162,1)+1)</f>
      </c>
      <c r="K162" s="42">
        <f>IF($A162="","",YEAR($A162)&amp;"Q"&amp;ROUNDUP(IFERROR(MONTH($A162)/3,0),0))</f>
      </c>
    </row>
    <row r="163" spans="10:11" x14ac:dyDescent="0.25">
      <c r="J163" s="40">
        <f>IF($A163="","",$A163-WEEKDAY($A163,1)+1)</f>
      </c>
      <c r="K163" s="42">
        <f>IF($A163="","",YEAR($A163)&amp;"Q"&amp;ROUNDUP(IFERROR(MONTH($A163)/3,0),0))</f>
      </c>
    </row>
    <row r="164" spans="10:11" x14ac:dyDescent="0.25">
      <c r="J164" s="40">
        <f>IF($A164="","",$A164-WEEKDAY($A164,1)+1)</f>
      </c>
      <c r="K164" s="42">
        <f>IF($A164="","",YEAR($A164)&amp;"Q"&amp;ROUNDUP(IFERROR(MONTH($A164)/3,0),0))</f>
      </c>
    </row>
    <row r="165" spans="10:11" x14ac:dyDescent="0.25">
      <c r="J165" s="40">
        <f>IF($A165="","",$A165-WEEKDAY($A165,1)+1)</f>
      </c>
      <c r="K165" s="42">
        <f>IF($A165="","",YEAR($A165)&amp;"Q"&amp;ROUNDUP(IFERROR(MONTH($A165)/3,0),0))</f>
      </c>
    </row>
    <row r="166" spans="10:11" x14ac:dyDescent="0.25">
      <c r="J166" s="40">
        <f>IF($A166="","",$A166-WEEKDAY($A166,1)+1)</f>
      </c>
      <c r="K166" s="42">
        <f>IF($A166="","",YEAR($A166)&amp;"Q"&amp;ROUNDUP(IFERROR(MONTH($A166)/3,0),0))</f>
      </c>
    </row>
    <row r="167" spans="10:11" x14ac:dyDescent="0.25">
      <c r="J167" s="40">
        <f>IF($A167="","",$A167-WEEKDAY($A167,1)+1)</f>
      </c>
      <c r="K167" s="42">
        <f>IF($A167="","",YEAR($A167)&amp;"Q"&amp;ROUNDUP(IFERROR(MONTH($A167)/3,0),0))</f>
      </c>
    </row>
    <row r="168" spans="10:11" x14ac:dyDescent="0.25">
      <c r="J168" s="40">
        <f>IF($A168="","",$A168-WEEKDAY($A168,1)+1)</f>
      </c>
      <c r="K168" s="42">
        <f>IF($A168="","",YEAR($A168)&amp;"Q"&amp;ROUNDUP(IFERROR(MONTH($A168)/3,0),0))</f>
      </c>
    </row>
    <row r="169" spans="10:11" x14ac:dyDescent="0.25">
      <c r="J169" s="40">
        <f>IF($A169="","",$A169-WEEKDAY($A169,1)+1)</f>
      </c>
      <c r="K169" s="42">
        <f>IF($A169="","",YEAR($A169)&amp;"Q"&amp;ROUNDUP(IFERROR(MONTH($A169)/3,0),0))</f>
      </c>
    </row>
    <row r="170" spans="10:11" x14ac:dyDescent="0.25">
      <c r="J170" s="40">
        <f>IF($A170="","",$A170-WEEKDAY($A170,1)+1)</f>
      </c>
      <c r="K170" s="42">
        <f>IF($A170="","",YEAR($A170)&amp;"Q"&amp;ROUNDUP(IFERROR(MONTH($A170)/3,0),0))</f>
      </c>
    </row>
    <row r="171" spans="10:11" x14ac:dyDescent="0.25">
      <c r="J171" s="40">
        <f>IF($A171="","",$A171-WEEKDAY($A171,1)+1)</f>
      </c>
      <c r="K171" s="42">
        <f>IF($A171="","",YEAR($A171)&amp;"Q"&amp;ROUNDUP(IFERROR(MONTH($A171)/3,0),0))</f>
      </c>
    </row>
    <row r="172" spans="10:11" x14ac:dyDescent="0.25">
      <c r="J172" s="40">
        <f>IF($A172="","",$A172-WEEKDAY($A172,1)+1)</f>
      </c>
      <c r="K172" s="42">
        <f>IF($A172="","",YEAR($A172)&amp;"Q"&amp;ROUNDUP(IFERROR(MONTH($A172)/3,0),0))</f>
      </c>
    </row>
    <row r="173" spans="10:11" x14ac:dyDescent="0.25">
      <c r="J173" s="40">
        <f>IF($A173="","",$A173-WEEKDAY($A173,1)+1)</f>
      </c>
      <c r="K173" s="42">
        <f>IF($A173="","",YEAR($A173)&amp;"Q"&amp;ROUNDUP(IFERROR(MONTH($A173)/3,0),0))</f>
      </c>
    </row>
    <row r="174" spans="10:11" x14ac:dyDescent="0.25">
      <c r="J174" s="40">
        <f>IF($A174="","",$A174-WEEKDAY($A174,1)+1)</f>
      </c>
      <c r="K174" s="42">
        <f>IF($A174="","",YEAR($A174)&amp;"Q"&amp;ROUNDUP(IFERROR(MONTH($A174)/3,0),0))</f>
      </c>
    </row>
    <row r="175" spans="10:11" x14ac:dyDescent="0.25">
      <c r="J175" s="40">
        <f>IF($A175="","",$A175-WEEKDAY($A175,1)+1)</f>
      </c>
      <c r="K175" s="42">
        <f>IF($A175="","",YEAR($A175)&amp;"Q"&amp;ROUNDUP(IFERROR(MONTH($A175)/3,0),0))</f>
      </c>
    </row>
    <row r="176" spans="10:11" x14ac:dyDescent="0.25">
      <c r="J176" s="40">
        <f>IF($A176="","",$A176-WEEKDAY($A176,1)+1)</f>
      </c>
      <c r="K176" s="42">
        <f>IF($A176="","",YEAR($A176)&amp;"Q"&amp;ROUNDUP(IFERROR(MONTH($A176)/3,0),0))</f>
      </c>
    </row>
    <row r="177" spans="10:11" x14ac:dyDescent="0.25">
      <c r="J177" s="40">
        <f>IF($A177="","",$A177-WEEKDAY($A177,1)+1)</f>
      </c>
      <c r="K177" s="42">
        <f>IF($A177="","",YEAR($A177)&amp;"Q"&amp;ROUNDUP(IFERROR(MONTH($A177)/3,0),0))</f>
      </c>
    </row>
    <row r="178" spans="10:11" x14ac:dyDescent="0.25">
      <c r="J178" s="40">
        <f>IF($A178="","",$A178-WEEKDAY($A178,1)+1)</f>
      </c>
      <c r="K178" s="42">
        <f>IF($A178="","",YEAR($A178)&amp;"Q"&amp;ROUNDUP(IFERROR(MONTH($A178)/3,0),0))</f>
      </c>
    </row>
    <row r="179" spans="10:11" x14ac:dyDescent="0.25">
      <c r="J179" s="40">
        <f>IF($A179="","",$A179-WEEKDAY($A179,1)+1)</f>
      </c>
      <c r="K179" s="42">
        <f>IF($A179="","",YEAR($A179)&amp;"Q"&amp;ROUNDUP(IFERROR(MONTH($A179)/3,0),0))</f>
      </c>
    </row>
    <row r="180" spans="10:11" x14ac:dyDescent="0.25">
      <c r="J180" s="40">
        <f>IF($A180="","",$A180-WEEKDAY($A180,1)+1)</f>
      </c>
      <c r="K180" s="42">
        <f>IF($A180="","",YEAR($A180)&amp;"Q"&amp;ROUNDUP(IFERROR(MONTH($A180)/3,0),0))</f>
      </c>
    </row>
    <row r="181" spans="10:11" x14ac:dyDescent="0.25">
      <c r="J181" s="40">
        <f>IF($A181="","",$A181-WEEKDAY($A181,1)+1)</f>
      </c>
      <c r="K181" s="42">
        <f>IF($A181="","",YEAR($A181)&amp;"Q"&amp;ROUNDUP(IFERROR(MONTH($A181)/3,0),0))</f>
      </c>
    </row>
    <row r="182" spans="10:11" x14ac:dyDescent="0.25">
      <c r="J182" s="40">
        <f>IF($A182="","",$A182-WEEKDAY($A182,1)+1)</f>
      </c>
      <c r="K182" s="42">
        <f>IF($A182="","",YEAR($A182)&amp;"Q"&amp;ROUNDUP(IFERROR(MONTH($A182)/3,0),0))</f>
      </c>
    </row>
    <row r="183" spans="10:11" x14ac:dyDescent="0.25">
      <c r="J183" s="40">
        <f>IF($A183="","",$A183-WEEKDAY($A183,1)+1)</f>
      </c>
      <c r="K183" s="42">
        <f>IF($A183="","",YEAR($A183)&amp;"Q"&amp;ROUNDUP(IFERROR(MONTH($A183)/3,0),0))</f>
      </c>
    </row>
    <row r="184" spans="10:11" x14ac:dyDescent="0.25">
      <c r="J184" s="40">
        <f>IF($A184="","",$A184-WEEKDAY($A184,1)+1)</f>
      </c>
      <c r="K184" s="42">
        <f>IF($A184="","",YEAR($A184)&amp;"Q"&amp;ROUNDUP(IFERROR(MONTH($A184)/3,0),0))</f>
      </c>
    </row>
    <row r="185" spans="10:11" x14ac:dyDescent="0.25">
      <c r="J185" s="40">
        <f>IF($A185="","",$A185-WEEKDAY($A185,1)+1)</f>
      </c>
      <c r="K185" s="42">
        <f>IF($A185="","",YEAR($A185)&amp;"Q"&amp;ROUNDUP(IFERROR(MONTH($A185)/3,0),0))</f>
      </c>
    </row>
    <row r="186" spans="10:11" x14ac:dyDescent="0.25">
      <c r="J186" s="40">
        <f>IF($A186="","",$A186-WEEKDAY($A186,1)+1)</f>
      </c>
      <c r="K186" s="42">
        <f>IF($A186="","",YEAR($A186)&amp;"Q"&amp;ROUNDUP(IFERROR(MONTH($A186)/3,0),0))</f>
      </c>
    </row>
    <row r="187" spans="10:11" x14ac:dyDescent="0.25">
      <c r="J187" s="40">
        <f>IF($A187="","",$A187-WEEKDAY($A187,1)+1)</f>
      </c>
      <c r="K187" s="42">
        <f>IF($A187="","",YEAR($A187)&amp;"Q"&amp;ROUNDUP(IFERROR(MONTH($A187)/3,0),0))</f>
      </c>
    </row>
    <row r="188" spans="10:11" x14ac:dyDescent="0.25">
      <c r="J188" s="40">
        <f>IF($A188="","",$A188-WEEKDAY($A188,1)+1)</f>
      </c>
      <c r="K188" s="42">
        <f>IF($A188="","",YEAR($A188)&amp;"Q"&amp;ROUNDUP(IFERROR(MONTH($A188)/3,0),0))</f>
      </c>
    </row>
    <row r="189" spans="10:11" x14ac:dyDescent="0.25">
      <c r="J189" s="40">
        <f>IF($A189="","",$A189-WEEKDAY($A189,1)+1)</f>
      </c>
      <c r="K189" s="42">
        <f>IF($A189="","",YEAR($A189)&amp;"Q"&amp;ROUNDUP(IFERROR(MONTH($A189)/3,0),0))</f>
      </c>
    </row>
    <row r="190" spans="10:11" x14ac:dyDescent="0.25">
      <c r="J190" s="40">
        <f>IF($A190="","",$A190-WEEKDAY($A190,1)+1)</f>
      </c>
      <c r="K190" s="42">
        <f>IF($A190="","",YEAR($A190)&amp;"Q"&amp;ROUNDUP(IFERROR(MONTH($A190)/3,0),0))</f>
      </c>
    </row>
    <row r="191" spans="10:11" x14ac:dyDescent="0.25">
      <c r="J191" s="40">
        <f>IF($A191="","",$A191-WEEKDAY($A191,1)+1)</f>
      </c>
      <c r="K191" s="42">
        <f>IF($A191="","",YEAR($A191)&amp;"Q"&amp;ROUNDUP(IFERROR(MONTH($A191)/3,0),0))</f>
      </c>
    </row>
    <row r="192" spans="10:11" x14ac:dyDescent="0.25">
      <c r="J192" s="40">
        <f>IF($A192="","",$A192-WEEKDAY($A192,1)+1)</f>
      </c>
      <c r="K192" s="42">
        <f>IF($A192="","",YEAR($A192)&amp;"Q"&amp;ROUNDUP(IFERROR(MONTH($A192)/3,0),0))</f>
      </c>
    </row>
    <row r="193" spans="10:11" x14ac:dyDescent="0.25">
      <c r="J193" s="40">
        <f>IF($A193="","",$A193-WEEKDAY($A193,1)+1)</f>
      </c>
      <c r="K193" s="42">
        <f>IF($A193="","",YEAR($A193)&amp;"Q"&amp;ROUNDUP(IFERROR(MONTH($A193)/3,0),0))</f>
      </c>
    </row>
    <row r="194" spans="10:11" x14ac:dyDescent="0.25">
      <c r="J194" s="40">
        <f>IF($A194="","",$A194-WEEKDAY($A194,1)+1)</f>
      </c>
      <c r="K194" s="42">
        <f>IF($A194="","",YEAR($A194)&amp;"Q"&amp;ROUNDUP(IFERROR(MONTH($A194)/3,0),0))</f>
      </c>
    </row>
    <row r="195" spans="10:11" x14ac:dyDescent="0.25">
      <c r="J195" s="40">
        <f>IF($A195="","",$A195-WEEKDAY($A195,1)+1)</f>
      </c>
      <c r="K195" s="42">
        <f>IF($A195="","",YEAR($A195)&amp;"Q"&amp;ROUNDUP(IFERROR(MONTH($A195)/3,0),0))</f>
      </c>
    </row>
    <row r="196" spans="10:11" x14ac:dyDescent="0.25">
      <c r="J196" s="40">
        <f>IF($A196="","",$A196-WEEKDAY($A196,1)+1)</f>
      </c>
      <c r="K196" s="42">
        <f>IF($A196="","",YEAR($A196)&amp;"Q"&amp;ROUNDUP(IFERROR(MONTH($A196)/3,0),0))</f>
      </c>
    </row>
    <row r="197" spans="10:11" x14ac:dyDescent="0.25">
      <c r="J197" s="40">
        <f>IF($A197="","",$A197-WEEKDAY($A197,1)+1)</f>
      </c>
      <c r="K197" s="42">
        <f>IF($A197="","",YEAR($A197)&amp;"Q"&amp;ROUNDUP(IFERROR(MONTH($A197)/3,0),0))</f>
      </c>
    </row>
    <row r="198" spans="10:11" x14ac:dyDescent="0.25">
      <c r="J198" s="40">
        <f>IF($A198="","",$A198-WEEKDAY($A198,1)+1)</f>
      </c>
      <c r="K198" s="42">
        <f>IF($A198="","",YEAR($A198)&amp;"Q"&amp;ROUNDUP(IFERROR(MONTH($A198)/3,0),0))</f>
      </c>
    </row>
    <row r="199" spans="10:11" x14ac:dyDescent="0.25">
      <c r="J199" s="40">
        <f>IF($A199="","",$A199-WEEKDAY($A199,1)+1)</f>
      </c>
      <c r="K199" s="42">
        <f>IF($A199="","",YEAR($A199)&amp;"Q"&amp;ROUNDUP(IFERROR(MONTH($A199)/3,0),0))</f>
      </c>
    </row>
    <row r="200" spans="10:11" x14ac:dyDescent="0.25">
      <c r="J200" s="40">
        <f>IF($A200="","",$A200-WEEKDAY($A200,1)+1)</f>
      </c>
      <c r="K200" s="42">
        <f>IF($A200="","",YEAR($A200)&amp;"Q"&amp;ROUNDUP(IFERROR(MONTH($A200)/3,0),0))</f>
      </c>
    </row>
    <row r="201" spans="10:11" x14ac:dyDescent="0.25">
      <c r="J201" s="40">
        <f>IF($A201="","",$A201-WEEKDAY($A201,1)+1)</f>
      </c>
      <c r="K201" s="42">
        <f>IF($A201="","",YEAR($A201)&amp;"Q"&amp;ROUNDUP(IFERROR(MONTH($A201)/3,0),0))</f>
      </c>
    </row>
    <row r="202" spans="10:11" x14ac:dyDescent="0.25">
      <c r="J202" s="40">
        <f>IF($A202="","",$A202-WEEKDAY($A202,1)+1)</f>
      </c>
      <c r="K202" s="42">
        <f>IF($A202="","",YEAR($A202)&amp;"Q"&amp;ROUNDUP(IFERROR(MONTH($A202)/3,0),0))</f>
      </c>
    </row>
    <row r="203" spans="10:11" x14ac:dyDescent="0.25">
      <c r="J203" s="40">
        <f>IF($A203="","",$A203-WEEKDAY($A203,1)+1)</f>
      </c>
      <c r="K203" s="42">
        <f>IF($A203="","",YEAR($A203)&amp;"Q"&amp;ROUNDUP(IFERROR(MONTH($A203)/3,0),0))</f>
      </c>
    </row>
    <row r="204" spans="10:11" x14ac:dyDescent="0.25">
      <c r="J204" s="40">
        <f>IF($A204="","",$A204-WEEKDAY($A204,1)+1)</f>
      </c>
      <c r="K204" s="42">
        <f>IF($A204="","",YEAR($A204)&amp;"Q"&amp;ROUNDUP(IFERROR(MONTH($A204)/3,0),0))</f>
      </c>
    </row>
    <row r="205" spans="10:11" x14ac:dyDescent="0.25">
      <c r="J205" s="40">
        <f>IF($A205="","",$A205-WEEKDAY($A205,1)+1)</f>
      </c>
      <c r="K205" s="42">
        <f>IF($A205="","",YEAR($A205)&amp;"Q"&amp;ROUNDUP(IFERROR(MONTH($A205)/3,0),0))</f>
      </c>
    </row>
    <row r="206" spans="10:11" x14ac:dyDescent="0.25">
      <c r="J206" s="40">
        <f>IF($A206="","",$A206-WEEKDAY($A206,1)+1)</f>
      </c>
      <c r="K206" s="42">
        <f>IF($A206="","",YEAR($A206)&amp;"Q"&amp;ROUNDUP(IFERROR(MONTH($A206)/3,0),0))</f>
      </c>
    </row>
    <row r="207" spans="10:11" x14ac:dyDescent="0.25">
      <c r="J207" s="40">
        <f>IF($A207="","",$A207-WEEKDAY($A207,1)+1)</f>
      </c>
      <c r="K207" s="42">
        <f>IF($A207="","",YEAR($A207)&amp;"Q"&amp;ROUNDUP(IFERROR(MONTH($A207)/3,0),0))</f>
      </c>
    </row>
    <row r="208" spans="10:11" x14ac:dyDescent="0.25">
      <c r="J208" s="40">
        <f>IF($A208="","",$A208-WEEKDAY($A208,1)+1)</f>
      </c>
      <c r="K208" s="42">
        <f>IF($A208="","",YEAR($A208)&amp;"Q"&amp;ROUNDUP(IFERROR(MONTH($A208)/3,0),0))</f>
      </c>
    </row>
    <row r="209" spans="10:11" x14ac:dyDescent="0.25">
      <c r="J209" s="40">
        <f>IF($A209="","",$A209-WEEKDAY($A209,1)+1)</f>
      </c>
      <c r="K209" s="42">
        <f>IF($A209="","",YEAR($A209)&amp;"Q"&amp;ROUNDUP(IFERROR(MONTH($A209)/3,0),0))</f>
      </c>
    </row>
    <row r="210" spans="10:11" x14ac:dyDescent="0.25">
      <c r="J210" s="40">
        <f>IF($A210="","",$A210-WEEKDAY($A210,1)+1)</f>
      </c>
      <c r="K210" s="42">
        <f>IF($A210="","",YEAR($A210)&amp;"Q"&amp;ROUNDUP(IFERROR(MONTH($A210)/3,0),0))</f>
      </c>
    </row>
    <row r="211" spans="10:11" x14ac:dyDescent="0.25">
      <c r="J211" s="40">
        <f>IF($A211="","",$A211-WEEKDAY($A211,1)+1)</f>
      </c>
      <c r="K211" s="42">
        <f>IF($A211="","",YEAR($A211)&amp;"Q"&amp;ROUNDUP(IFERROR(MONTH($A211)/3,0),0))</f>
      </c>
    </row>
    <row r="212" spans="10:11" x14ac:dyDescent="0.25">
      <c r="J212" s="40">
        <f>IF($A212="","",$A212-WEEKDAY($A212,1)+1)</f>
      </c>
      <c r="K212" s="42">
        <f>IF($A212="","",YEAR($A212)&amp;"Q"&amp;ROUNDUP(IFERROR(MONTH($A212)/3,0),0))</f>
      </c>
    </row>
    <row r="213" spans="10:11" x14ac:dyDescent="0.25">
      <c r="J213" s="40">
        <f>IF($A213="","",$A213-WEEKDAY($A213,1)+1)</f>
      </c>
      <c r="K213" s="42">
        <f>IF($A213="","",YEAR($A213)&amp;"Q"&amp;ROUNDUP(IFERROR(MONTH($A213)/3,0),0))</f>
      </c>
    </row>
    <row r="214" spans="10:11" x14ac:dyDescent="0.25">
      <c r="J214" s="40">
        <f>IF($A214="","",$A214-WEEKDAY($A214,1)+1)</f>
      </c>
      <c r="K214" s="42">
        <f>IF($A214="","",YEAR($A214)&amp;"Q"&amp;ROUNDUP(IFERROR(MONTH($A214)/3,0),0))</f>
      </c>
    </row>
    <row r="215" spans="10:11" x14ac:dyDescent="0.25">
      <c r="J215" s="40">
        <f>IF($A215="","",$A215-WEEKDAY($A215,1)+1)</f>
      </c>
      <c r="K215" s="42">
        <f>IF($A215="","",YEAR($A215)&amp;"Q"&amp;ROUNDUP(IFERROR(MONTH($A215)/3,0),0))</f>
      </c>
    </row>
    <row r="216" spans="10:11" x14ac:dyDescent="0.25">
      <c r="J216" s="40">
        <f>IF($A216="","",$A216-WEEKDAY($A216,1)+1)</f>
      </c>
      <c r="K216" s="42">
        <f>IF($A216="","",YEAR($A216)&amp;"Q"&amp;ROUNDUP(IFERROR(MONTH($A216)/3,0),0))</f>
      </c>
    </row>
    <row r="217" spans="10:11" x14ac:dyDescent="0.25">
      <c r="J217" s="40">
        <f>IF($A217="","",$A217-WEEKDAY($A217,1)+1)</f>
      </c>
      <c r="K217" s="42">
        <f>IF($A217="","",YEAR($A217)&amp;"Q"&amp;ROUNDUP(IFERROR(MONTH($A217)/3,0),0))</f>
      </c>
    </row>
    <row r="218" spans="10:11" x14ac:dyDescent="0.25">
      <c r="J218" s="40">
        <f>IF($A218="","",$A218-WEEKDAY($A218,1)+1)</f>
      </c>
      <c r="K218" s="42">
        <f>IF($A218="","",YEAR($A218)&amp;"Q"&amp;ROUNDUP(IFERROR(MONTH($A218)/3,0),0))</f>
      </c>
    </row>
    <row r="219" spans="10:11" x14ac:dyDescent="0.25">
      <c r="J219" s="40">
        <f>IF($A219="","",$A219-WEEKDAY($A219,1)+1)</f>
      </c>
      <c r="K219" s="42">
        <f>IF($A219="","",YEAR($A219)&amp;"Q"&amp;ROUNDUP(IFERROR(MONTH($A219)/3,0),0))</f>
      </c>
    </row>
    <row r="220" spans="10:11" x14ac:dyDescent="0.25">
      <c r="J220" s="40">
        <f>IF($A220="","",$A220-WEEKDAY($A220,1)+1)</f>
      </c>
      <c r="K220" s="42">
        <f>IF($A220="","",YEAR($A220)&amp;"Q"&amp;ROUNDUP(IFERROR(MONTH($A220)/3,0),0))</f>
      </c>
    </row>
    <row r="221" spans="10:11" x14ac:dyDescent="0.25">
      <c r="J221" s="40">
        <f>IF($A221="","",$A221-WEEKDAY($A221,1)+1)</f>
      </c>
      <c r="K221" s="42">
        <f>IF($A221="","",YEAR($A221)&amp;"Q"&amp;ROUNDUP(IFERROR(MONTH($A221)/3,0),0))</f>
      </c>
    </row>
    <row r="222" spans="10:11" x14ac:dyDescent="0.25">
      <c r="J222" s="40">
        <f>IF($A222="","",$A222-WEEKDAY($A222,1)+1)</f>
      </c>
      <c r="K222" s="42">
        <f>IF($A222="","",YEAR($A222)&amp;"Q"&amp;ROUNDUP(IFERROR(MONTH($A222)/3,0),0))</f>
      </c>
    </row>
    <row r="223" spans="10:11" x14ac:dyDescent="0.25">
      <c r="J223" s="40">
        <f>IF($A223="","",$A223-WEEKDAY($A223,1)+1)</f>
      </c>
      <c r="K223" s="42">
        <f>IF($A223="","",YEAR($A223)&amp;"Q"&amp;ROUNDUP(IFERROR(MONTH($A223)/3,0),0))</f>
      </c>
    </row>
    <row r="224" spans="10:11" x14ac:dyDescent="0.25">
      <c r="J224" s="40">
        <f>IF($A224="","",$A224-WEEKDAY($A224,1)+1)</f>
      </c>
      <c r="K224" s="42">
        <f>IF($A224="","",YEAR($A224)&amp;"Q"&amp;ROUNDUP(IFERROR(MONTH($A224)/3,0),0))</f>
      </c>
    </row>
    <row r="225" spans="10:11" x14ac:dyDescent="0.25">
      <c r="J225" s="40">
        <f>IF($A225="","",$A225-WEEKDAY($A225,1)+1)</f>
      </c>
      <c r="K225" s="42">
        <f>IF($A225="","",YEAR($A225)&amp;"Q"&amp;ROUNDUP(IFERROR(MONTH($A225)/3,0),0))</f>
      </c>
    </row>
    <row r="226" spans="10:11" x14ac:dyDescent="0.25">
      <c r="J226" s="40">
        <f>IF($A226="","",$A226-WEEKDAY($A226,1)+1)</f>
      </c>
      <c r="K226" s="42">
        <f>IF($A226="","",YEAR($A226)&amp;"Q"&amp;ROUNDUP(IFERROR(MONTH($A226)/3,0),0))</f>
      </c>
    </row>
    <row r="227" spans="10:11" x14ac:dyDescent="0.25">
      <c r="J227" s="40">
        <f>IF($A227="","",$A227-WEEKDAY($A227,1)+1)</f>
      </c>
      <c r="K227" s="42">
        <f>IF($A227="","",YEAR($A227)&amp;"Q"&amp;ROUNDUP(IFERROR(MONTH($A227)/3,0),0))</f>
      </c>
    </row>
    <row r="228" spans="10:11" x14ac:dyDescent="0.25">
      <c r="J228" s="40">
        <f>IF($A228="","",$A228-WEEKDAY($A228,1)+1)</f>
      </c>
      <c r="K228" s="42">
        <f>IF($A228="","",YEAR($A228)&amp;"Q"&amp;ROUNDUP(IFERROR(MONTH($A228)/3,0),0))</f>
      </c>
    </row>
    <row r="229" spans="10:11" x14ac:dyDescent="0.25">
      <c r="J229" s="40">
        <f>IF($A229="","",$A229-WEEKDAY($A229,1)+1)</f>
      </c>
      <c r="K229" s="42">
        <f>IF($A229="","",YEAR($A229)&amp;"Q"&amp;ROUNDUP(IFERROR(MONTH($A229)/3,0),0))</f>
      </c>
    </row>
    <row r="230" spans="10:11" x14ac:dyDescent="0.25">
      <c r="J230" s="40">
        <f>IF($A230="","",$A230-WEEKDAY($A230,1)+1)</f>
      </c>
      <c r="K230" s="42">
        <f>IF($A230="","",YEAR($A230)&amp;"Q"&amp;ROUNDUP(IFERROR(MONTH($A230)/3,0),0))</f>
      </c>
    </row>
    <row r="231" spans="10:11" x14ac:dyDescent="0.25">
      <c r="J231" s="40">
        <f>IF($A231="","",$A231-WEEKDAY($A231,1)+1)</f>
      </c>
      <c r="K231" s="42">
        <f>IF($A231="","",YEAR($A231)&amp;"Q"&amp;ROUNDUP(IFERROR(MONTH($A231)/3,0),0))</f>
      </c>
    </row>
    <row r="232" spans="10:11" x14ac:dyDescent="0.25">
      <c r="J232" s="40">
        <f>IF($A232="","",$A232-WEEKDAY($A232,1)+1)</f>
      </c>
      <c r="K232" s="42">
        <f>IF($A232="","",YEAR($A232)&amp;"Q"&amp;ROUNDUP(IFERROR(MONTH($A232)/3,0),0))</f>
      </c>
    </row>
    <row r="233" spans="10:11" x14ac:dyDescent="0.25">
      <c r="J233" s="40">
        <f>IF($A233="","",$A233-WEEKDAY($A233,1)+1)</f>
      </c>
      <c r="K233" s="42">
        <f>IF($A233="","",YEAR($A233)&amp;"Q"&amp;ROUNDUP(IFERROR(MONTH($A233)/3,0),0))</f>
      </c>
    </row>
    <row r="234" spans="10:11" x14ac:dyDescent="0.25">
      <c r="J234" s="40">
        <f>IF($A234="","",$A234-WEEKDAY($A234,1)+1)</f>
      </c>
      <c r="K234" s="42">
        <f>IF($A234="","",YEAR($A234)&amp;"Q"&amp;ROUNDUP(IFERROR(MONTH($A234)/3,0),0))</f>
      </c>
    </row>
    <row r="235" spans="10:11" x14ac:dyDescent="0.25">
      <c r="J235" s="40">
        <f>IF($A235="","",$A235-WEEKDAY($A235,1)+1)</f>
      </c>
      <c r="K235" s="42">
        <f>IF($A235="","",YEAR($A235)&amp;"Q"&amp;ROUNDUP(IFERROR(MONTH($A235)/3,0),0))</f>
      </c>
    </row>
    <row r="236" spans="10:11" x14ac:dyDescent="0.25">
      <c r="J236" s="40">
        <f>IF($A236="","",$A236-WEEKDAY($A236,1)+1)</f>
      </c>
      <c r="K236" s="42">
        <f>IF($A236="","",YEAR($A236)&amp;"Q"&amp;ROUNDUP(IFERROR(MONTH($A236)/3,0),0))</f>
      </c>
    </row>
    <row r="237" spans="10:11" x14ac:dyDescent="0.25">
      <c r="J237" s="40">
        <f>IF($A237="","",$A237-WEEKDAY($A237,1)+1)</f>
      </c>
      <c r="K237" s="42">
        <f>IF($A237="","",YEAR($A237)&amp;"Q"&amp;ROUNDUP(IFERROR(MONTH($A237)/3,0),0))</f>
      </c>
    </row>
    <row r="238" spans="10:11" x14ac:dyDescent="0.25">
      <c r="J238" s="40">
        <f>IF($A238="","",$A238-WEEKDAY($A238,1)+1)</f>
      </c>
      <c r="K238" s="42">
        <f>IF($A238="","",YEAR($A238)&amp;"Q"&amp;ROUNDUP(IFERROR(MONTH($A238)/3,0),0))</f>
      </c>
    </row>
    <row r="239" spans="10:11" x14ac:dyDescent="0.25">
      <c r="J239" s="40">
        <f>IF($A239="","",$A239-WEEKDAY($A239,1)+1)</f>
      </c>
      <c r="K239" s="42">
        <f>IF($A239="","",YEAR($A239)&amp;"Q"&amp;ROUNDUP(IFERROR(MONTH($A239)/3,0),0))</f>
      </c>
    </row>
    <row r="240" spans="10:11" x14ac:dyDescent="0.25">
      <c r="J240" s="40">
        <f>IF($A240="","",$A240-WEEKDAY($A240,1)+1)</f>
      </c>
      <c r="K240" s="42">
        <f>IF($A240="","",YEAR($A240)&amp;"Q"&amp;ROUNDUP(IFERROR(MONTH($A240)/3,0),0))</f>
      </c>
    </row>
    <row r="241" spans="10:11" x14ac:dyDescent="0.25">
      <c r="J241" s="40">
        <f>IF($A241="","",$A241-WEEKDAY($A241,1)+1)</f>
      </c>
      <c r="K241" s="42">
        <f>IF($A241="","",YEAR($A241)&amp;"Q"&amp;ROUNDUP(IFERROR(MONTH($A241)/3,0),0))</f>
      </c>
    </row>
    <row r="242" spans="10:11" x14ac:dyDescent="0.25">
      <c r="J242" s="40">
        <f>IF($A242="","",$A242-WEEKDAY($A242,1)+1)</f>
      </c>
      <c r="K242" s="42">
        <f>IF($A242="","",YEAR($A242)&amp;"Q"&amp;ROUNDUP(IFERROR(MONTH($A242)/3,0),0))</f>
      </c>
    </row>
    <row r="243" spans="10:11" x14ac:dyDescent="0.25">
      <c r="J243" s="40">
        <f>IF($A243="","",$A243-WEEKDAY($A243,1)+1)</f>
      </c>
      <c r="K243" s="42">
        <f>IF($A243="","",YEAR($A243)&amp;"Q"&amp;ROUNDUP(IFERROR(MONTH($A243)/3,0),0))</f>
      </c>
    </row>
    <row r="244" spans="10:11" x14ac:dyDescent="0.25">
      <c r="J244" s="40">
        <f>IF($A244="","",$A244-WEEKDAY($A244,1)+1)</f>
      </c>
      <c r="K244" s="42">
        <f>IF($A244="","",YEAR($A244)&amp;"Q"&amp;ROUNDUP(IFERROR(MONTH($A244)/3,0),0))</f>
      </c>
    </row>
    <row r="245" spans="10:11" x14ac:dyDescent="0.25">
      <c r="J245" s="40">
        <f>IF($A245="","",$A245-WEEKDAY($A245,1)+1)</f>
      </c>
      <c r="K245" s="42">
        <f>IF($A245="","",YEAR($A245)&amp;"Q"&amp;ROUNDUP(IFERROR(MONTH($A245)/3,0),0))</f>
      </c>
    </row>
    <row r="246" spans="10:11" x14ac:dyDescent="0.25">
      <c r="J246" s="40">
        <f>IF($A246="","",$A246-WEEKDAY($A246,1)+1)</f>
      </c>
      <c r="K246" s="42">
        <f>IF($A246="","",YEAR($A246)&amp;"Q"&amp;ROUNDUP(IFERROR(MONTH($A246)/3,0),0))</f>
      </c>
    </row>
    <row r="247" spans="10:11" x14ac:dyDescent="0.25">
      <c r="J247" s="40">
        <f>IF($A247="","",$A247-WEEKDAY($A247,1)+1)</f>
      </c>
      <c r="K247" s="42">
        <f>IF($A247="","",YEAR($A247)&amp;"Q"&amp;ROUNDUP(IFERROR(MONTH($A247)/3,0),0))</f>
      </c>
    </row>
    <row r="248" spans="10:11" x14ac:dyDescent="0.25">
      <c r="J248" s="40">
        <f>IF($A248="","",$A248-WEEKDAY($A248,1)+1)</f>
      </c>
      <c r="K248" s="42">
        <f>IF($A248="","",YEAR($A248)&amp;"Q"&amp;ROUNDUP(IFERROR(MONTH($A248)/3,0),0))</f>
      </c>
    </row>
    <row r="249" spans="10:11" x14ac:dyDescent="0.25">
      <c r="J249" s="40">
        <f>IF($A249="","",$A249-WEEKDAY($A249,1)+1)</f>
      </c>
      <c r="K249" s="42">
        <f>IF($A249="","",YEAR($A249)&amp;"Q"&amp;ROUNDUP(IFERROR(MONTH($A249)/3,0),0))</f>
      </c>
    </row>
    <row r="250" spans="10:11" x14ac:dyDescent="0.25">
      <c r="J250" s="40">
        <f>IF($A250="","",$A250-WEEKDAY($A250,1)+1)</f>
      </c>
      <c r="K250" s="42">
        <f>IF($A250="","",YEAR($A250)&amp;"Q"&amp;ROUNDUP(IFERROR(MONTH($A250)/3,0),0))</f>
      </c>
    </row>
    <row r="251" spans="10:11" x14ac:dyDescent="0.25">
      <c r="J251" s="40">
        <f>IF($A251="","",$A251-WEEKDAY($A251,1)+1)</f>
      </c>
      <c r="K251" s="42">
        <f>IF($A251="","",YEAR($A251)&amp;"Q"&amp;ROUNDUP(IFERROR(MONTH($A251)/3,0),0))</f>
      </c>
    </row>
    <row r="252" spans="10:11" x14ac:dyDescent="0.25">
      <c r="J252" s="40">
        <f>IF($A252="","",$A252-WEEKDAY($A252,1)+1)</f>
      </c>
      <c r="K252" s="42">
        <f>IF($A252="","",YEAR($A252)&amp;"Q"&amp;ROUNDUP(IFERROR(MONTH($A252)/3,0),0))</f>
      </c>
    </row>
    <row r="253" spans="10:11" x14ac:dyDescent="0.25">
      <c r="J253" s="40">
        <f>IF($A253="","",$A253-WEEKDAY($A253,1)+1)</f>
      </c>
      <c r="K253" s="42">
        <f>IF($A253="","",YEAR($A253)&amp;"Q"&amp;ROUNDUP(IFERROR(MONTH($A253)/3,0),0))</f>
      </c>
    </row>
    <row r="254" spans="10:11" x14ac:dyDescent="0.25">
      <c r="J254" s="40">
        <f>IF($A254="","",$A254-WEEKDAY($A254,1)+1)</f>
      </c>
      <c r="K254" s="42">
        <f>IF($A254="","",YEAR($A254)&amp;"Q"&amp;ROUNDUP(IFERROR(MONTH($A254)/3,0),0))</f>
      </c>
    </row>
    <row r="255" spans="10:11" x14ac:dyDescent="0.25">
      <c r="J255" s="40">
        <f>IF($A255="","",$A255-WEEKDAY($A255,1)+1)</f>
      </c>
      <c r="K255" s="42">
        <f>IF($A255="","",YEAR($A255)&amp;"Q"&amp;ROUNDUP(IFERROR(MONTH($A255)/3,0),0))</f>
      </c>
    </row>
    <row r="256" spans="10:11" x14ac:dyDescent="0.25">
      <c r="J256" s="40">
        <f>IF($A256="","",$A256-WEEKDAY($A256,1)+1)</f>
      </c>
      <c r="K256" s="42">
        <f>IF($A256="","",YEAR($A256)&amp;"Q"&amp;ROUNDUP(IFERROR(MONTH($A256)/3,0),0))</f>
      </c>
    </row>
    <row r="257" spans="10:11" x14ac:dyDescent="0.25">
      <c r="J257" s="40">
        <f>IF($A257="","",$A257-WEEKDAY($A257,1)+1)</f>
      </c>
      <c r="K257" s="42">
        <f>IF($A257="","",YEAR($A257)&amp;"Q"&amp;ROUNDUP(IFERROR(MONTH($A257)/3,0),0))</f>
      </c>
    </row>
    <row r="258" spans="10:11" x14ac:dyDescent="0.25">
      <c r="J258" s="40">
        <f>IF($A258="","",$A258-WEEKDAY($A258,1)+1)</f>
      </c>
      <c r="K258" s="42">
        <f>IF($A258="","",YEAR($A258)&amp;"Q"&amp;ROUNDUP(IFERROR(MONTH($A258)/3,0),0))</f>
      </c>
    </row>
    <row r="259" spans="10:11" x14ac:dyDescent="0.25">
      <c r="J259" s="40">
        <f>IF($A259="","",$A259-WEEKDAY($A259,1)+1)</f>
      </c>
      <c r="K259" s="42">
        <f>IF($A259="","",YEAR($A259)&amp;"Q"&amp;ROUNDUP(IFERROR(MONTH($A259)/3,0),0))</f>
      </c>
    </row>
    <row r="260" spans="10:11" x14ac:dyDescent="0.25">
      <c r="J260" s="40">
        <f>IF($A260="","",$A260-WEEKDAY($A260,1)+1)</f>
      </c>
      <c r="K260" s="42">
        <f>IF($A260="","",YEAR($A260)&amp;"Q"&amp;ROUNDUP(IFERROR(MONTH($A260)/3,0),0))</f>
      </c>
    </row>
    <row r="261" spans="10:11" x14ac:dyDescent="0.25">
      <c r="J261" s="40">
        <f>IF($A261="","",$A261-WEEKDAY($A261,1)+1)</f>
      </c>
      <c r="K261" s="42">
        <f>IF($A261="","",YEAR($A261)&amp;"Q"&amp;ROUNDUP(IFERROR(MONTH($A261)/3,0),0))</f>
      </c>
    </row>
    <row r="262" spans="10:11" x14ac:dyDescent="0.25">
      <c r="J262" s="40">
        <f>IF($A262="","",$A262-WEEKDAY($A262,1)+1)</f>
      </c>
      <c r="K262" s="42">
        <f>IF($A262="","",YEAR($A262)&amp;"Q"&amp;ROUNDUP(IFERROR(MONTH($A262)/3,0),0))</f>
      </c>
    </row>
    <row r="263" spans="10:11" x14ac:dyDescent="0.25">
      <c r="J263" s="40">
        <f>IF($A263="","",$A263-WEEKDAY($A263,1)+1)</f>
      </c>
      <c r="K263" s="42">
        <f>IF($A263="","",YEAR($A263)&amp;"Q"&amp;ROUNDUP(IFERROR(MONTH($A263)/3,0),0))</f>
      </c>
    </row>
    <row r="264" spans="10:11" x14ac:dyDescent="0.25">
      <c r="J264" s="40">
        <f>IF($A264="","",$A264-WEEKDAY($A264,1)+1)</f>
      </c>
      <c r="K264" s="42">
        <f>IF($A264="","",YEAR($A264)&amp;"Q"&amp;ROUNDUP(IFERROR(MONTH($A264)/3,0),0))</f>
      </c>
    </row>
    <row r="265" spans="10:11" x14ac:dyDescent="0.25">
      <c r="J265" s="40">
        <f>IF($A265="","",$A265-WEEKDAY($A265,1)+1)</f>
      </c>
      <c r="K265" s="42">
        <f>IF($A265="","",YEAR($A265)&amp;"Q"&amp;ROUNDUP(IFERROR(MONTH($A265)/3,0),0))</f>
      </c>
    </row>
    <row r="266" spans="10:11" x14ac:dyDescent="0.25">
      <c r="J266" s="40">
        <f>IF($A266="","",$A266-WEEKDAY($A266,1)+1)</f>
      </c>
      <c r="K266" s="42">
        <f>IF($A266="","",YEAR($A266)&amp;"Q"&amp;ROUNDUP(IFERROR(MONTH($A266)/3,0),0))</f>
      </c>
    </row>
    <row r="267" spans="10:11" x14ac:dyDescent="0.25">
      <c r="J267" s="40">
        <f>IF($A267="","",$A267-WEEKDAY($A267,1)+1)</f>
      </c>
      <c r="K267" s="42">
        <f>IF($A267="","",YEAR($A267)&amp;"Q"&amp;ROUNDUP(IFERROR(MONTH($A267)/3,0),0))</f>
      </c>
    </row>
    <row r="268" spans="10:11" x14ac:dyDescent="0.25">
      <c r="J268" s="40">
        <f>IF($A268="","",$A268-WEEKDAY($A268,1)+1)</f>
      </c>
      <c r="K268" s="42">
        <f>IF($A268="","",YEAR($A268)&amp;"Q"&amp;ROUNDUP(IFERROR(MONTH($A268)/3,0),0))</f>
      </c>
    </row>
    <row r="269" spans="10:11" x14ac:dyDescent="0.25">
      <c r="J269" s="40">
        <f>IF($A269="","",$A269-WEEKDAY($A269,1)+1)</f>
      </c>
      <c r="K269" s="42">
        <f>IF($A269="","",YEAR($A269)&amp;"Q"&amp;ROUNDUP(IFERROR(MONTH($A269)/3,0),0))</f>
      </c>
    </row>
    <row r="270" spans="10:11" x14ac:dyDescent="0.25">
      <c r="J270" s="40">
        <f>IF($A270="","",$A270-WEEKDAY($A270,1)+1)</f>
      </c>
      <c r="K270" s="42">
        <f>IF($A270="","",YEAR($A270)&amp;"Q"&amp;ROUNDUP(IFERROR(MONTH($A270)/3,0),0))</f>
      </c>
    </row>
    <row r="271" spans="10:11" x14ac:dyDescent="0.25">
      <c r="J271" s="40">
        <f>IF($A271="","",$A271-WEEKDAY($A271,1)+1)</f>
      </c>
      <c r="K271" s="42">
        <f>IF($A271="","",YEAR($A271)&amp;"Q"&amp;ROUNDUP(IFERROR(MONTH($A271)/3,0),0))</f>
      </c>
    </row>
    <row r="272" spans="10:11" x14ac:dyDescent="0.25">
      <c r="J272" s="40">
        <f>IF($A272="","",$A272-WEEKDAY($A272,1)+1)</f>
      </c>
      <c r="K272" s="42">
        <f>IF($A272="","",YEAR($A272)&amp;"Q"&amp;ROUNDUP(IFERROR(MONTH($A272)/3,0),0))</f>
      </c>
    </row>
    <row r="273" spans="10:11" x14ac:dyDescent="0.25">
      <c r="J273" s="40">
        <f>IF($A273="","",$A273-WEEKDAY($A273,1)+1)</f>
      </c>
      <c r="K273" s="42">
        <f>IF($A273="","",YEAR($A273)&amp;"Q"&amp;ROUNDUP(IFERROR(MONTH($A273)/3,0),0))</f>
      </c>
    </row>
    <row r="274" spans="10:11" x14ac:dyDescent="0.25">
      <c r="J274" s="40">
        <f>IF($A274="","",$A274-WEEKDAY($A274,1)+1)</f>
      </c>
      <c r="K274" s="42">
        <f>IF($A274="","",YEAR($A274)&amp;"Q"&amp;ROUNDUP(IFERROR(MONTH($A274)/3,0),0))</f>
      </c>
    </row>
    <row r="275" spans="10:11" x14ac:dyDescent="0.25">
      <c r="J275" s="40">
        <f>IF($A275="","",$A275-WEEKDAY($A275,1)+1)</f>
      </c>
      <c r="K275" s="42">
        <f>IF($A275="","",YEAR($A275)&amp;"Q"&amp;ROUNDUP(IFERROR(MONTH($A275)/3,0),0))</f>
      </c>
    </row>
    <row r="276" spans="10:11" x14ac:dyDescent="0.25">
      <c r="J276" s="40">
        <f>IF($A276="","",$A276-WEEKDAY($A276,1)+1)</f>
      </c>
      <c r="K276" s="42">
        <f>IF($A276="","",YEAR($A276)&amp;"Q"&amp;ROUNDUP(IFERROR(MONTH($A276)/3,0),0))</f>
      </c>
    </row>
    <row r="277" spans="10:11" x14ac:dyDescent="0.25">
      <c r="J277" s="40">
        <f>IF($A277="","",$A277-WEEKDAY($A277,1)+1)</f>
      </c>
      <c r="K277" s="42">
        <f>IF($A277="","",YEAR($A277)&amp;"Q"&amp;ROUNDUP(IFERROR(MONTH($A277)/3,0),0))</f>
      </c>
    </row>
    <row r="278" spans="10:11" x14ac:dyDescent="0.25">
      <c r="J278" s="40">
        <f>IF($A278="","",$A278-WEEKDAY($A278,1)+1)</f>
      </c>
      <c r="K278" s="42">
        <f>IF($A278="","",YEAR($A278)&amp;"Q"&amp;ROUNDUP(IFERROR(MONTH($A278)/3,0),0))</f>
      </c>
    </row>
    <row r="279" spans="10:11" x14ac:dyDescent="0.25">
      <c r="J279" s="40">
        <f>IF($A279="","",$A279-WEEKDAY($A279,1)+1)</f>
      </c>
      <c r="K279" s="42">
        <f>IF($A279="","",YEAR($A279)&amp;"Q"&amp;ROUNDUP(IFERROR(MONTH($A279)/3,0),0))</f>
      </c>
    </row>
    <row r="280" spans="10:11" x14ac:dyDescent="0.25">
      <c r="J280" s="40">
        <f>IF($A280="","",$A280-WEEKDAY($A280,1)+1)</f>
      </c>
      <c r="K280" s="42">
        <f>IF($A280="","",YEAR($A280)&amp;"Q"&amp;ROUNDUP(IFERROR(MONTH($A280)/3,0),0))</f>
      </c>
    </row>
    <row r="281" spans="10:11" x14ac:dyDescent="0.25">
      <c r="J281" s="40">
        <f>IF($A281="","",$A281-WEEKDAY($A281,1)+1)</f>
      </c>
      <c r="K281" s="42">
        <f>IF($A281="","",YEAR($A281)&amp;"Q"&amp;ROUNDUP(IFERROR(MONTH($A281)/3,0),0))</f>
      </c>
    </row>
    <row r="282" spans="10:11" x14ac:dyDescent="0.25">
      <c r="J282" s="40">
        <f>IF($A282="","",$A282-WEEKDAY($A282,1)+1)</f>
      </c>
      <c r="K282" s="42">
        <f>IF($A282="","",YEAR($A282)&amp;"Q"&amp;ROUNDUP(IFERROR(MONTH($A282)/3,0),0))</f>
      </c>
    </row>
    <row r="283" spans="10:11" x14ac:dyDescent="0.25">
      <c r="J283" s="40">
        <f>IF($A283="","",$A283-WEEKDAY($A283,1)+1)</f>
      </c>
      <c r="K283" s="42">
        <f>IF($A283="","",YEAR($A283)&amp;"Q"&amp;ROUNDUP(IFERROR(MONTH($A283)/3,0),0))</f>
      </c>
    </row>
    <row r="284" spans="10:11" x14ac:dyDescent="0.25">
      <c r="J284" s="40">
        <f>IF($A284="","",$A284-WEEKDAY($A284,1)+1)</f>
      </c>
      <c r="K284" s="42">
        <f>IF($A284="","",YEAR($A284)&amp;"Q"&amp;ROUNDUP(IFERROR(MONTH($A284)/3,0),0))</f>
      </c>
    </row>
    <row r="285" spans="10:11" x14ac:dyDescent="0.25">
      <c r="J285" s="40">
        <f>IF($A285="","",$A285-WEEKDAY($A285,1)+1)</f>
      </c>
      <c r="K285" s="42">
        <f>IF($A285="","",YEAR($A285)&amp;"Q"&amp;ROUNDUP(IFERROR(MONTH($A285)/3,0),0))</f>
      </c>
    </row>
    <row r="286" spans="10:11" x14ac:dyDescent="0.25">
      <c r="J286" s="40">
        <f>IF($A286="","",$A286-WEEKDAY($A286,1)+1)</f>
      </c>
      <c r="K286" s="42">
        <f>IF($A286="","",YEAR($A286)&amp;"Q"&amp;ROUNDUP(IFERROR(MONTH($A286)/3,0),0))</f>
      </c>
    </row>
    <row r="287" spans="10:11" x14ac:dyDescent="0.25">
      <c r="J287" s="40">
        <f>IF($A287="","",$A287-WEEKDAY($A287,1)+1)</f>
      </c>
      <c r="K287" s="42">
        <f>IF($A287="","",YEAR($A287)&amp;"Q"&amp;ROUNDUP(IFERROR(MONTH($A287)/3,0),0))</f>
      </c>
    </row>
    <row r="288" spans="10:11" x14ac:dyDescent="0.25">
      <c r="J288" s="40">
        <f>IF($A288="","",$A288-WEEKDAY($A288,1)+1)</f>
      </c>
      <c r="K288" s="42">
        <f>IF($A288="","",YEAR($A288)&amp;"Q"&amp;ROUNDUP(IFERROR(MONTH($A288)/3,0),0))</f>
      </c>
    </row>
    <row r="289" spans="10:11" x14ac:dyDescent="0.25">
      <c r="J289" s="40">
        <f>IF($A289="","",$A289-WEEKDAY($A289,1)+1)</f>
      </c>
      <c r="K289" s="42">
        <f>IF($A289="","",YEAR($A289)&amp;"Q"&amp;ROUNDUP(IFERROR(MONTH($A289)/3,0),0))</f>
      </c>
    </row>
    <row r="290" spans="10:11" x14ac:dyDescent="0.25">
      <c r="J290" s="40">
        <f>IF($A290="","",$A290-WEEKDAY($A290,1)+1)</f>
      </c>
      <c r="K290" s="42">
        <f>IF($A290="","",YEAR($A290)&amp;"Q"&amp;ROUNDUP(IFERROR(MONTH($A290)/3,0),0))</f>
      </c>
    </row>
    <row r="291" spans="10:11" x14ac:dyDescent="0.25">
      <c r="J291" s="40">
        <f>IF($A291="","",$A291-WEEKDAY($A291,1)+1)</f>
      </c>
      <c r="K291" s="42">
        <f>IF($A291="","",YEAR($A291)&amp;"Q"&amp;ROUNDUP(IFERROR(MONTH($A291)/3,0),0))</f>
      </c>
    </row>
    <row r="292" spans="10:11" x14ac:dyDescent="0.25">
      <c r="J292" s="40">
        <f>IF($A292="","",$A292-WEEKDAY($A292,1)+1)</f>
      </c>
      <c r="K292" s="42">
        <f>IF($A292="","",YEAR($A292)&amp;"Q"&amp;ROUNDUP(IFERROR(MONTH($A292)/3,0),0))</f>
      </c>
    </row>
    <row r="293" spans="10:11" x14ac:dyDescent="0.25">
      <c r="J293" s="40">
        <f>IF($A293="","",$A293-WEEKDAY($A293,1)+1)</f>
      </c>
      <c r="K293" s="42">
        <f>IF($A293="","",YEAR($A293)&amp;"Q"&amp;ROUNDUP(IFERROR(MONTH($A293)/3,0),0))</f>
      </c>
    </row>
    <row r="294" spans="10:11" x14ac:dyDescent="0.25">
      <c r="J294" s="40">
        <f>IF($A294="","",$A294-WEEKDAY($A294,1)+1)</f>
      </c>
      <c r="K294" s="42">
        <f>IF($A294="","",YEAR($A294)&amp;"Q"&amp;ROUNDUP(IFERROR(MONTH($A294)/3,0),0))</f>
      </c>
    </row>
    <row r="295" spans="10:11" x14ac:dyDescent="0.25">
      <c r="J295" s="40">
        <f>IF($A295="","",$A295-WEEKDAY($A295,1)+1)</f>
      </c>
      <c r="K295" s="42">
        <f>IF($A295="","",YEAR($A295)&amp;"Q"&amp;ROUNDUP(IFERROR(MONTH($A295)/3,0),0))</f>
      </c>
    </row>
    <row r="296" spans="10:11" x14ac:dyDescent="0.25">
      <c r="J296" s="40">
        <f>IF($A296="","",$A296-WEEKDAY($A296,1)+1)</f>
      </c>
      <c r="K296" s="42">
        <f>IF($A296="","",YEAR($A296)&amp;"Q"&amp;ROUNDUP(IFERROR(MONTH($A296)/3,0),0))</f>
      </c>
    </row>
    <row r="297" spans="10:11" x14ac:dyDescent="0.25">
      <c r="J297" s="40">
        <f>IF($A297="","",$A297-WEEKDAY($A297,1)+1)</f>
      </c>
      <c r="K297" s="42">
        <f>IF($A297="","",YEAR($A297)&amp;"Q"&amp;ROUNDUP(IFERROR(MONTH($A297)/3,0),0))</f>
      </c>
    </row>
    <row r="298" spans="10:11" x14ac:dyDescent="0.25">
      <c r="J298" s="40">
        <f>IF($A298="","",$A298-WEEKDAY($A298,1)+1)</f>
      </c>
      <c r="K298" s="42">
        <f>IF($A298="","",YEAR($A298)&amp;"Q"&amp;ROUNDUP(IFERROR(MONTH($A298)/3,0),0))</f>
      </c>
    </row>
    <row r="299" spans="10:11" x14ac:dyDescent="0.25">
      <c r="J299" s="40">
        <f>IF($A299="","",$A299-WEEKDAY($A299,1)+1)</f>
      </c>
      <c r="K299" s="42">
        <f>IF($A299="","",YEAR($A299)&amp;"Q"&amp;ROUNDUP(IFERROR(MONTH($A299)/3,0),0))</f>
      </c>
    </row>
    <row r="300" spans="10:11" x14ac:dyDescent="0.25">
      <c r="J300" s="40">
        <f>IF($A300="","",$A300-WEEKDAY($A300,1)+1)</f>
      </c>
      <c r="K300" s="42">
        <f>IF($A300="","",YEAR($A300)&amp;"Q"&amp;ROUNDUP(IFERROR(MONTH($A300)/3,0),0))</f>
      </c>
    </row>
    <row r="301" spans="10:11" x14ac:dyDescent="0.25">
      <c r="J301" s="40">
        <f>IF($A301="","",$A301-WEEKDAY($A301,1)+1)</f>
      </c>
      <c r="K301" s="42">
        <f>IF($A301="","",YEAR($A301)&amp;"Q"&amp;ROUNDUP(IFERROR(MONTH($A301)/3,0),0))</f>
      </c>
    </row>
    <row r="302" spans="10:11" x14ac:dyDescent="0.25">
      <c r="J302" s="40">
        <f>IF($A302="","",$A302-WEEKDAY($A302,1)+1)</f>
      </c>
      <c r="K302" s="42">
        <f>IF($A302="","",YEAR($A302)&amp;"Q"&amp;ROUNDUP(IFERROR(MONTH($A302)/3,0),0))</f>
      </c>
    </row>
    <row r="303" spans="10:11" x14ac:dyDescent="0.25">
      <c r="J303" s="40">
        <f>IF($A303="","",$A303-WEEKDAY($A303,1)+1)</f>
      </c>
      <c r="K303" s="42">
        <f>IF($A303="","",YEAR($A303)&amp;"Q"&amp;ROUNDUP(IFERROR(MONTH($A303)/3,0),0))</f>
      </c>
    </row>
    <row r="304" spans="10:11" x14ac:dyDescent="0.25">
      <c r="J304" s="40">
        <f>IF($A304="","",$A304-WEEKDAY($A304,1)+1)</f>
      </c>
      <c r="K304" s="42">
        <f>IF($A304="","",YEAR($A304)&amp;"Q"&amp;ROUNDUP(IFERROR(MONTH($A304)/3,0),0))</f>
      </c>
    </row>
    <row r="305" spans="10:11" x14ac:dyDescent="0.25">
      <c r="J305" s="40">
        <f>IF($A305="","",$A305-WEEKDAY($A305,1)+1)</f>
      </c>
      <c r="K305" s="42">
        <f>IF($A305="","",YEAR($A305)&amp;"Q"&amp;ROUNDUP(IFERROR(MONTH($A305)/3,0),0))</f>
      </c>
    </row>
    <row r="306" spans="10:11" x14ac:dyDescent="0.25">
      <c r="J306" s="40">
        <f>IF($A306="","",$A306-WEEKDAY($A306,1)+1)</f>
      </c>
      <c r="K306" s="42">
        <f>IF($A306="","",YEAR($A306)&amp;"Q"&amp;ROUNDUP(IFERROR(MONTH($A306)/3,0),0))</f>
      </c>
    </row>
    <row r="307" spans="10:11" x14ac:dyDescent="0.25">
      <c r="J307" s="40">
        <f>IF($A307="","",$A307-WEEKDAY($A307,1)+1)</f>
      </c>
      <c r="K307" s="42">
        <f>IF($A307="","",YEAR($A307)&amp;"Q"&amp;ROUNDUP(IFERROR(MONTH($A307)/3,0),0))</f>
      </c>
    </row>
    <row r="308" spans="10:11" x14ac:dyDescent="0.25">
      <c r="J308" s="40">
        <f>IF($A308="","",$A308-WEEKDAY($A308,1)+1)</f>
      </c>
      <c r="K308" s="42">
        <f>IF($A308="","",YEAR($A308)&amp;"Q"&amp;ROUNDUP(IFERROR(MONTH($A308)/3,0),0))</f>
      </c>
    </row>
    <row r="309" spans="10:11" x14ac:dyDescent="0.25">
      <c r="J309" s="40">
        <f>IF($A309="","",$A309-WEEKDAY($A309,1)+1)</f>
      </c>
      <c r="K309" s="42">
        <f>IF($A309="","",YEAR($A309)&amp;"Q"&amp;ROUNDUP(IFERROR(MONTH($A309)/3,0),0))</f>
      </c>
    </row>
    <row r="310" spans="10:11" x14ac:dyDescent="0.25">
      <c r="J310" s="40">
        <f>IF($A310="","",$A310-WEEKDAY($A310,1)+1)</f>
      </c>
      <c r="K310" s="42">
        <f>IF($A310="","",YEAR($A310)&amp;"Q"&amp;ROUNDUP(IFERROR(MONTH($A310)/3,0),0))</f>
      </c>
    </row>
    <row r="311" spans="10:11" x14ac:dyDescent="0.25">
      <c r="J311" s="40">
        <f>IF($A311="","",$A311-WEEKDAY($A311,1)+1)</f>
      </c>
      <c r="K311" s="42">
        <f>IF($A311="","",YEAR($A311)&amp;"Q"&amp;ROUNDUP(IFERROR(MONTH($A311)/3,0),0))</f>
      </c>
    </row>
    <row r="312" spans="10:11" x14ac:dyDescent="0.25">
      <c r="J312" s="40">
        <f>IF($A312="","",$A312-WEEKDAY($A312,1)+1)</f>
      </c>
      <c r="K312" s="42">
        <f>IF($A312="","",YEAR($A312)&amp;"Q"&amp;ROUNDUP(IFERROR(MONTH($A312)/3,0),0))</f>
      </c>
    </row>
    <row r="313" spans="10:11" x14ac:dyDescent="0.25">
      <c r="J313" s="40">
        <f>IF($A313="","",$A313-WEEKDAY($A313,1)+1)</f>
      </c>
      <c r="K313" s="42">
        <f>IF($A313="","",YEAR($A313)&amp;"Q"&amp;ROUNDUP(IFERROR(MONTH($A313)/3,0),0))</f>
      </c>
    </row>
    <row r="314" spans="10:11" x14ac:dyDescent="0.25">
      <c r="J314" s="40">
        <f>IF($A314="","",$A314-WEEKDAY($A314,1)+1)</f>
      </c>
      <c r="K314" s="42">
        <f>IF($A314="","",YEAR($A314)&amp;"Q"&amp;ROUNDUP(IFERROR(MONTH($A314)/3,0),0))</f>
      </c>
    </row>
    <row r="315" spans="10:11" x14ac:dyDescent="0.25">
      <c r="J315" s="40">
        <f>IF($A315="","",$A315-WEEKDAY($A315,1)+1)</f>
      </c>
      <c r="K315" s="42">
        <f>IF($A315="","",YEAR($A315)&amp;"Q"&amp;ROUNDUP(IFERROR(MONTH($A315)/3,0),0))</f>
      </c>
    </row>
    <row r="316" spans="10:11" x14ac:dyDescent="0.25">
      <c r="J316" s="40">
        <f>IF($A316="","",$A316-WEEKDAY($A316,1)+1)</f>
      </c>
      <c r="K316" s="42">
        <f>IF($A316="","",YEAR($A316)&amp;"Q"&amp;ROUNDUP(IFERROR(MONTH($A316)/3,0),0))</f>
      </c>
    </row>
    <row r="317" spans="10:11" x14ac:dyDescent="0.25">
      <c r="J317" s="40">
        <f>IF($A317="","",$A317-WEEKDAY($A317,1)+1)</f>
      </c>
      <c r="K317" s="42">
        <f>IF($A317="","",YEAR($A317)&amp;"Q"&amp;ROUNDUP(IFERROR(MONTH($A317)/3,0),0))</f>
      </c>
    </row>
    <row r="318" spans="10:11" x14ac:dyDescent="0.25">
      <c r="J318" s="40">
        <f>IF($A318="","",$A318-WEEKDAY($A318,1)+1)</f>
      </c>
      <c r="K318" s="42">
        <f>IF($A318="","",YEAR($A318)&amp;"Q"&amp;ROUNDUP(IFERROR(MONTH($A318)/3,0),0))</f>
      </c>
    </row>
    <row r="319" spans="10:11" x14ac:dyDescent="0.25">
      <c r="J319" s="40">
        <f>IF($A319="","",$A319-WEEKDAY($A319,1)+1)</f>
      </c>
      <c r="K319" s="42">
        <f>IF($A319="","",YEAR($A319)&amp;"Q"&amp;ROUNDUP(IFERROR(MONTH($A319)/3,0),0))</f>
      </c>
    </row>
    <row r="320" spans="10:11" x14ac:dyDescent="0.25">
      <c r="J320" s="40">
        <f>IF($A320="","",$A320-WEEKDAY($A320,1)+1)</f>
      </c>
      <c r="K320" s="42">
        <f>IF($A320="","",YEAR($A320)&amp;"Q"&amp;ROUNDUP(IFERROR(MONTH($A320)/3,0),0))</f>
      </c>
    </row>
    <row r="321" spans="10:11" x14ac:dyDescent="0.25">
      <c r="J321" s="40">
        <f>IF($A321="","",$A321-WEEKDAY($A321,1)+1)</f>
      </c>
      <c r="K321" s="42">
        <f>IF($A321="","",YEAR($A321)&amp;"Q"&amp;ROUNDUP(IFERROR(MONTH($A321)/3,0),0))</f>
      </c>
    </row>
    <row r="322" spans="10:11" x14ac:dyDescent="0.25">
      <c r="J322" s="40">
        <f>IF($A322="","",$A322-WEEKDAY($A322,1)+1)</f>
      </c>
      <c r="K322" s="42">
        <f>IF($A322="","",YEAR($A322)&amp;"Q"&amp;ROUNDUP(IFERROR(MONTH($A322)/3,0),0))</f>
      </c>
    </row>
    <row r="323" spans="10:11" x14ac:dyDescent="0.25">
      <c r="J323" s="40">
        <f>IF($A323="","",$A323-WEEKDAY($A323,1)+1)</f>
      </c>
      <c r="K323" s="42">
        <f>IF($A323="","",YEAR($A323)&amp;"Q"&amp;ROUNDUP(IFERROR(MONTH($A323)/3,0),0))</f>
      </c>
    </row>
    <row r="324" spans="10:11" x14ac:dyDescent="0.25">
      <c r="J324" s="40">
        <f>IF($A324="","",$A324-WEEKDAY($A324,1)+1)</f>
      </c>
      <c r="K324" s="42">
        <f>IF($A324="","",YEAR($A324)&amp;"Q"&amp;ROUNDUP(IFERROR(MONTH($A324)/3,0),0))</f>
      </c>
    </row>
    <row r="325" spans="10:11" x14ac:dyDescent="0.25">
      <c r="J325" s="40">
        <f>IF($A325="","",$A325-WEEKDAY($A325,1)+1)</f>
      </c>
      <c r="K325" s="42">
        <f>IF($A325="","",YEAR($A325)&amp;"Q"&amp;ROUNDUP(IFERROR(MONTH($A325)/3,0),0))</f>
      </c>
    </row>
    <row r="326" spans="10:11" x14ac:dyDescent="0.25">
      <c r="J326" s="40">
        <f>IF($A326="","",$A326-WEEKDAY($A326,1)+1)</f>
      </c>
      <c r="K326" s="42">
        <f>IF($A326="","",YEAR($A326)&amp;"Q"&amp;ROUNDUP(IFERROR(MONTH($A326)/3,0),0))</f>
      </c>
    </row>
    <row r="327" spans="10:11" x14ac:dyDescent="0.25">
      <c r="J327" s="40">
        <f>IF($A327="","",$A327-WEEKDAY($A327,1)+1)</f>
      </c>
      <c r="K327" s="42">
        <f>IF($A327="","",YEAR($A327)&amp;"Q"&amp;ROUNDUP(IFERROR(MONTH($A327)/3,0),0))</f>
      </c>
    </row>
    <row r="328" spans="10:11" x14ac:dyDescent="0.25">
      <c r="J328" s="40">
        <f>IF($A328="","",$A328-WEEKDAY($A328,1)+1)</f>
      </c>
      <c r="K328" s="42">
        <f>IF($A328="","",YEAR($A328)&amp;"Q"&amp;ROUNDUP(IFERROR(MONTH($A328)/3,0),0))</f>
      </c>
    </row>
    <row r="329" spans="10:11" x14ac:dyDescent="0.25">
      <c r="J329" s="40">
        <f>IF($A329="","",$A329-WEEKDAY($A329,1)+1)</f>
      </c>
      <c r="K329" s="42">
        <f>IF($A329="","",YEAR($A329)&amp;"Q"&amp;ROUNDUP(IFERROR(MONTH($A329)/3,0),0))</f>
      </c>
    </row>
    <row r="330" spans="10:11" x14ac:dyDescent="0.25">
      <c r="J330" s="40">
        <f>IF($A330="","",$A330-WEEKDAY($A330,1)+1)</f>
      </c>
      <c r="K330" s="42">
        <f>IF($A330="","",YEAR($A330)&amp;"Q"&amp;ROUNDUP(IFERROR(MONTH($A330)/3,0),0))</f>
      </c>
    </row>
    <row r="331" spans="10:11" x14ac:dyDescent="0.25">
      <c r="J331" s="40">
        <f>IF($A331="","",$A331-WEEKDAY($A331,1)+1)</f>
      </c>
      <c r="K331" s="42">
        <f>IF($A331="","",YEAR($A331)&amp;"Q"&amp;ROUNDUP(IFERROR(MONTH($A331)/3,0),0))</f>
      </c>
    </row>
    <row r="332" spans="10:11" x14ac:dyDescent="0.25">
      <c r="J332" s="40">
        <f>IF($A332="","",$A332-WEEKDAY($A332,1)+1)</f>
      </c>
      <c r="K332" s="42">
        <f>IF($A332="","",YEAR($A332)&amp;"Q"&amp;ROUNDUP(IFERROR(MONTH($A332)/3,0),0))</f>
      </c>
    </row>
    <row r="333" spans="10:11" x14ac:dyDescent="0.25">
      <c r="J333" s="40">
        <f>IF($A333="","",$A333-WEEKDAY($A333,1)+1)</f>
      </c>
      <c r="K333" s="42">
        <f>IF($A333="","",YEAR($A333)&amp;"Q"&amp;ROUNDUP(IFERROR(MONTH($A333)/3,0),0))</f>
      </c>
    </row>
    <row r="334" spans="10:11" x14ac:dyDescent="0.25">
      <c r="J334" s="40">
        <f>IF($A334="","",$A334-WEEKDAY($A334,1)+1)</f>
      </c>
      <c r="K334" s="42">
        <f>IF($A334="","",YEAR($A334)&amp;"Q"&amp;ROUNDUP(IFERROR(MONTH($A334)/3,0),0))</f>
      </c>
    </row>
    <row r="335" spans="10:11" x14ac:dyDescent="0.25">
      <c r="J335" s="40">
        <f>IF($A335="","",$A335-WEEKDAY($A335,1)+1)</f>
      </c>
      <c r="K335" s="42">
        <f>IF($A335="","",YEAR($A335)&amp;"Q"&amp;ROUNDUP(IFERROR(MONTH($A335)/3,0),0))</f>
      </c>
    </row>
    <row r="336" spans="10:11" x14ac:dyDescent="0.25">
      <c r="J336" s="40">
        <f>IF($A336="","",$A336-WEEKDAY($A336,1)+1)</f>
      </c>
      <c r="K336" s="42">
        <f>IF($A336="","",YEAR($A336)&amp;"Q"&amp;ROUNDUP(IFERROR(MONTH($A336)/3,0),0))</f>
      </c>
    </row>
    <row r="337" spans="10:11" x14ac:dyDescent="0.25">
      <c r="J337" s="40">
        <f>IF($A337="","",$A337-WEEKDAY($A337,1)+1)</f>
      </c>
      <c r="K337" s="42">
        <f>IF($A337="","",YEAR($A337)&amp;"Q"&amp;ROUNDUP(IFERROR(MONTH($A337)/3,0),0))</f>
      </c>
    </row>
    <row r="338" spans="10:11" x14ac:dyDescent="0.25">
      <c r="J338" s="40">
        <f>IF($A338="","",$A338-WEEKDAY($A338,1)+1)</f>
      </c>
      <c r="K338" s="42">
        <f>IF($A338="","",YEAR($A338)&amp;"Q"&amp;ROUNDUP(IFERROR(MONTH($A338)/3,0),0))</f>
      </c>
    </row>
    <row r="339" spans="10:11" x14ac:dyDescent="0.25">
      <c r="J339" s="40">
        <f>IF($A339="","",$A339-WEEKDAY($A339,1)+1)</f>
      </c>
      <c r="K339" s="42">
        <f>IF($A339="","",YEAR($A339)&amp;"Q"&amp;ROUNDUP(IFERROR(MONTH($A339)/3,0),0))</f>
      </c>
    </row>
    <row r="340" spans="10:11" x14ac:dyDescent="0.25">
      <c r="J340" s="40">
        <f>IF($A340="","",$A340-WEEKDAY($A340,1)+1)</f>
      </c>
      <c r="K340" s="42">
        <f>IF($A340="","",YEAR($A340)&amp;"Q"&amp;ROUNDUP(IFERROR(MONTH($A340)/3,0),0))</f>
      </c>
    </row>
    <row r="341" spans="10:11" x14ac:dyDescent="0.25">
      <c r="J341" s="40">
        <f>IF($A341="","",$A341-WEEKDAY($A341,1)+1)</f>
      </c>
      <c r="K341" s="42">
        <f>IF($A341="","",YEAR($A341)&amp;"Q"&amp;ROUNDUP(IFERROR(MONTH($A341)/3,0),0))</f>
      </c>
    </row>
    <row r="342" spans="10:11" x14ac:dyDescent="0.25">
      <c r="J342" s="40">
        <f>IF($A342="","",$A342-WEEKDAY($A342,1)+1)</f>
      </c>
      <c r="K342" s="42">
        <f>IF($A342="","",YEAR($A342)&amp;"Q"&amp;ROUNDUP(IFERROR(MONTH($A342)/3,0),0))</f>
      </c>
    </row>
    <row r="343" spans="10:11" x14ac:dyDescent="0.25">
      <c r="J343" s="40">
        <f>IF($A343="","",$A343-WEEKDAY($A343,1)+1)</f>
      </c>
      <c r="K343" s="42">
        <f>IF($A343="","",YEAR($A343)&amp;"Q"&amp;ROUNDUP(IFERROR(MONTH($A343)/3,0),0))</f>
      </c>
    </row>
    <row r="344" spans="10:11" x14ac:dyDescent="0.25">
      <c r="J344" s="40">
        <f>IF($A344="","",$A344-WEEKDAY($A344,1)+1)</f>
      </c>
      <c r="K344" s="42">
        <f>IF($A344="","",YEAR($A344)&amp;"Q"&amp;ROUNDUP(IFERROR(MONTH($A344)/3,0),0))</f>
      </c>
    </row>
    <row r="345" spans="10:11" x14ac:dyDescent="0.25">
      <c r="J345" s="40">
        <f>IF($A345="","",$A345-WEEKDAY($A345,1)+1)</f>
      </c>
      <c r="K345" s="42">
        <f>IF($A345="","",YEAR($A345)&amp;"Q"&amp;ROUNDUP(IFERROR(MONTH($A345)/3,0),0))</f>
      </c>
    </row>
    <row r="346" spans="10:11" x14ac:dyDescent="0.25">
      <c r="J346" s="40">
        <f>IF($A346="","",$A346-WEEKDAY($A346,1)+1)</f>
      </c>
      <c r="K346" s="42">
        <f>IF($A346="","",YEAR($A346)&amp;"Q"&amp;ROUNDUP(IFERROR(MONTH($A346)/3,0),0))</f>
      </c>
    </row>
    <row r="347" spans="10:11" x14ac:dyDescent="0.25">
      <c r="J347" s="40">
        <f>IF($A347="","",$A347-WEEKDAY($A347,1)+1)</f>
      </c>
      <c r="K347" s="42">
        <f>IF($A347="","",YEAR($A347)&amp;"Q"&amp;ROUNDUP(IFERROR(MONTH($A347)/3,0),0))</f>
      </c>
    </row>
    <row r="348" spans="10:11" x14ac:dyDescent="0.25">
      <c r="J348" s="40">
        <f>IF($A348="","",$A348-WEEKDAY($A348,1)+1)</f>
      </c>
      <c r="K348" s="42">
        <f>IF($A348="","",YEAR($A348)&amp;"Q"&amp;ROUNDUP(IFERROR(MONTH($A348)/3,0),0))</f>
      </c>
    </row>
    <row r="349" spans="10:11" x14ac:dyDescent="0.25">
      <c r="J349" s="40">
        <f>IF($A349="","",$A349-WEEKDAY($A349,1)+1)</f>
      </c>
      <c r="K349" s="42">
        <f>IF($A349="","",YEAR($A349)&amp;"Q"&amp;ROUNDUP(IFERROR(MONTH($A349)/3,0),0))</f>
      </c>
    </row>
    <row r="350" spans="10:11" x14ac:dyDescent="0.25">
      <c r="J350" s="40">
        <f>IF($A350="","",$A350-WEEKDAY($A350,1)+1)</f>
      </c>
      <c r="K350" s="42">
        <f>IF($A350="","",YEAR($A350)&amp;"Q"&amp;ROUNDUP(IFERROR(MONTH($A350)/3,0),0))</f>
      </c>
    </row>
    <row r="351" spans="10:11" x14ac:dyDescent="0.25">
      <c r="J351" s="40">
        <f>IF($A351="","",$A351-WEEKDAY($A351,1)+1)</f>
      </c>
      <c r="K351" s="42">
        <f>IF($A351="","",YEAR($A351)&amp;"Q"&amp;ROUNDUP(IFERROR(MONTH($A351)/3,0),0))</f>
      </c>
    </row>
    <row r="352" spans="10:11" x14ac:dyDescent="0.25">
      <c r="J352" s="40">
        <f>IF($A352="","",$A352-WEEKDAY($A352,1)+1)</f>
      </c>
      <c r="K352" s="42">
        <f>IF($A352="","",YEAR($A352)&amp;"Q"&amp;ROUNDUP(IFERROR(MONTH($A352)/3,0),0))</f>
      </c>
    </row>
    <row r="353" spans="10:11" x14ac:dyDescent="0.25">
      <c r="J353" s="40">
        <f>IF($A353="","",$A353-WEEKDAY($A353,1)+1)</f>
      </c>
      <c r="K353" s="42">
        <f>IF($A353="","",YEAR($A353)&amp;"Q"&amp;ROUNDUP(IFERROR(MONTH($A353)/3,0),0))</f>
      </c>
    </row>
    <row r="354" spans="10:11" x14ac:dyDescent="0.25">
      <c r="J354" s="40">
        <f>IF($A354="","",$A354-WEEKDAY($A354,1)+1)</f>
      </c>
      <c r="K354" s="42">
        <f>IF($A354="","",YEAR($A354)&amp;"Q"&amp;ROUNDUP(IFERROR(MONTH($A354)/3,0),0))</f>
      </c>
    </row>
    <row r="355" spans="10:11" x14ac:dyDescent="0.25">
      <c r="J355" s="40">
        <f>IF($A355="","",$A355-WEEKDAY($A355,1)+1)</f>
      </c>
      <c r="K355" s="42">
        <f>IF($A355="","",YEAR($A355)&amp;"Q"&amp;ROUNDUP(IFERROR(MONTH($A355)/3,0),0))</f>
      </c>
    </row>
    <row r="356" spans="10:11" x14ac:dyDescent="0.25">
      <c r="J356" s="40">
        <f>IF($A356="","",$A356-WEEKDAY($A356,1)+1)</f>
      </c>
      <c r="K356" s="42">
        <f>IF($A356="","",YEAR($A356)&amp;"Q"&amp;ROUNDUP(IFERROR(MONTH($A356)/3,0),0))</f>
      </c>
    </row>
    <row r="357" spans="10:11" x14ac:dyDescent="0.25">
      <c r="J357" s="40">
        <f>IF($A357="","",$A357-WEEKDAY($A357,1)+1)</f>
      </c>
      <c r="K357" s="42">
        <f>IF($A357="","",YEAR($A357)&amp;"Q"&amp;ROUNDUP(IFERROR(MONTH($A357)/3,0),0))</f>
      </c>
    </row>
    <row r="358" spans="10:11" x14ac:dyDescent="0.25">
      <c r="J358" s="40">
        <f>IF($A358="","",$A358-WEEKDAY($A358,1)+1)</f>
      </c>
      <c r="K358" s="42">
        <f>IF($A358="","",YEAR($A358)&amp;"Q"&amp;ROUNDUP(IFERROR(MONTH($A358)/3,0),0))</f>
      </c>
    </row>
    <row r="359" spans="10:11" x14ac:dyDescent="0.25">
      <c r="J359" s="40">
        <f>IF($A359="","",$A359-WEEKDAY($A359,1)+1)</f>
      </c>
      <c r="K359" s="42">
        <f>IF($A359="","",YEAR($A359)&amp;"Q"&amp;ROUNDUP(IFERROR(MONTH($A359)/3,0),0))</f>
      </c>
    </row>
    <row r="360" spans="10:11" x14ac:dyDescent="0.25">
      <c r="J360" s="40">
        <f>IF($A360="","",$A360-WEEKDAY($A360,1)+1)</f>
      </c>
      <c r="K360" s="42">
        <f>IF($A360="","",YEAR($A360)&amp;"Q"&amp;ROUNDUP(IFERROR(MONTH($A360)/3,0),0))</f>
      </c>
    </row>
    <row r="361" spans="10:11" x14ac:dyDescent="0.25">
      <c r="J361" s="40">
        <f>IF($A361="","",$A361-WEEKDAY($A361,1)+1)</f>
      </c>
      <c r="K361" s="42">
        <f>IF($A361="","",YEAR($A361)&amp;"Q"&amp;ROUNDUP(IFERROR(MONTH($A361)/3,0),0))</f>
      </c>
    </row>
    <row r="362" spans="10:11" x14ac:dyDescent="0.25">
      <c r="J362" s="40">
        <f>IF($A362="","",$A362-WEEKDAY($A362,1)+1)</f>
      </c>
      <c r="K362" s="42">
        <f>IF($A362="","",YEAR($A362)&amp;"Q"&amp;ROUNDUP(IFERROR(MONTH($A362)/3,0),0))</f>
      </c>
    </row>
    <row r="363" spans="10:11" x14ac:dyDescent="0.25">
      <c r="J363" s="40">
        <f>IF($A363="","",$A363-WEEKDAY($A363,1)+1)</f>
      </c>
      <c r="K363" s="42">
        <f>IF($A363="","",YEAR($A363)&amp;"Q"&amp;ROUNDUP(IFERROR(MONTH($A363)/3,0),0))</f>
      </c>
    </row>
    <row r="364" spans="10:11" x14ac:dyDescent="0.25">
      <c r="J364" s="40">
        <f>IF($A364="","",$A364-WEEKDAY($A364,1)+1)</f>
      </c>
      <c r="K364" s="42">
        <f>IF($A364="","",YEAR($A364)&amp;"Q"&amp;ROUNDUP(IFERROR(MONTH($A364)/3,0),0))</f>
      </c>
    </row>
    <row r="365" spans="10:11" x14ac:dyDescent="0.25">
      <c r="J365" s="40">
        <f>IF($A365="","",$A365-WEEKDAY($A365,1)+1)</f>
      </c>
      <c r="K365" s="42">
        <f>IF($A365="","",YEAR($A365)&amp;"Q"&amp;ROUNDUP(IFERROR(MONTH($A365)/3,0),0))</f>
      </c>
    </row>
    <row r="366" spans="10:11" x14ac:dyDescent="0.25">
      <c r="J366" s="40">
        <f>IF($A366="","",$A366-WEEKDAY($A366,1)+1)</f>
      </c>
      <c r="K366" s="42">
        <f>IF($A366="","",YEAR($A366)&amp;"Q"&amp;ROUNDUP(IFERROR(MONTH($A366)/3,0),0))</f>
      </c>
    </row>
    <row r="367" spans="10:11" x14ac:dyDescent="0.25">
      <c r="J367" s="40">
        <f>IF($A367="","",$A367-WEEKDAY($A367,1)+1)</f>
      </c>
      <c r="K367" s="42">
        <f>IF($A367="","",YEAR($A367)&amp;"Q"&amp;ROUNDUP(IFERROR(MONTH($A367)/3,0),0))</f>
      </c>
    </row>
    <row r="368" spans="10:11" x14ac:dyDescent="0.25">
      <c r="J368" s="40">
        <f>IF($A368="","",$A368-WEEKDAY($A368,1)+1)</f>
      </c>
      <c r="K368" s="42">
        <f>IF($A368="","",YEAR($A368)&amp;"Q"&amp;ROUNDUP(IFERROR(MONTH($A368)/3,0),0))</f>
      </c>
    </row>
    <row r="369" spans="10:11" x14ac:dyDescent="0.25">
      <c r="J369" s="40">
        <f>IF($A369="","",$A369-WEEKDAY($A369,1)+1)</f>
      </c>
      <c r="K369" s="42">
        <f>IF($A369="","",YEAR($A369)&amp;"Q"&amp;ROUNDUP(IFERROR(MONTH($A369)/3,0),0))</f>
      </c>
    </row>
    <row r="370" spans="10:11" x14ac:dyDescent="0.25">
      <c r="J370" s="40">
        <f>IF($A370="","",$A370-WEEKDAY($A370,1)+1)</f>
      </c>
      <c r="K370" s="42">
        <f>IF($A370="","",YEAR($A370)&amp;"Q"&amp;ROUNDUP(IFERROR(MONTH($A370)/3,0),0))</f>
      </c>
    </row>
    <row r="371" spans="10:11" x14ac:dyDescent="0.25">
      <c r="J371" s="40">
        <f>IF($A371="","",$A371-WEEKDAY($A371,1)+1)</f>
      </c>
      <c r="K371" s="42">
        <f>IF($A371="","",YEAR($A371)&amp;"Q"&amp;ROUNDUP(IFERROR(MONTH($A371)/3,0),0))</f>
      </c>
    </row>
    <row r="372" spans="10:11" x14ac:dyDescent="0.25">
      <c r="J372" s="40">
        <f>IF($A372="","",$A372-WEEKDAY($A372,1)+1)</f>
      </c>
      <c r="K372" s="42">
        <f>IF($A372="","",YEAR($A372)&amp;"Q"&amp;ROUNDUP(IFERROR(MONTH($A372)/3,0),0))</f>
      </c>
    </row>
    <row r="373" spans="10:11" x14ac:dyDescent="0.25">
      <c r="J373" s="40">
        <f>IF($A373="","",$A373-WEEKDAY($A373,1)+1)</f>
      </c>
      <c r="K373" s="42">
        <f>IF($A373="","",YEAR($A373)&amp;"Q"&amp;ROUNDUP(IFERROR(MONTH($A373)/3,0),0))</f>
      </c>
    </row>
    <row r="374" spans="10:11" x14ac:dyDescent="0.25">
      <c r="J374" s="40">
        <f>IF($A374="","",$A374-WEEKDAY($A374,1)+1)</f>
      </c>
      <c r="K374" s="42">
        <f>IF($A374="","",YEAR($A374)&amp;"Q"&amp;ROUNDUP(IFERROR(MONTH($A374)/3,0),0))</f>
      </c>
    </row>
    <row r="375" spans="10:11" x14ac:dyDescent="0.25">
      <c r="J375" s="40">
        <f>IF($A375="","",$A375-WEEKDAY($A375,1)+1)</f>
      </c>
      <c r="K375" s="42">
        <f>IF($A375="","",YEAR($A375)&amp;"Q"&amp;ROUNDUP(IFERROR(MONTH($A375)/3,0),0))</f>
      </c>
    </row>
    <row r="376" spans="10:11" x14ac:dyDescent="0.25">
      <c r="J376" s="40">
        <f>IF($A376="","",$A376-WEEKDAY($A376,1)+1)</f>
      </c>
      <c r="K376" s="42">
        <f>IF($A376="","",YEAR($A376)&amp;"Q"&amp;ROUNDUP(IFERROR(MONTH($A376)/3,0),0))</f>
      </c>
    </row>
    <row r="377" spans="10:11" x14ac:dyDescent="0.25">
      <c r="J377" s="40">
        <f>IF($A377="","",$A377-WEEKDAY($A377,1)+1)</f>
      </c>
      <c r="K377" s="42">
        <f>IF($A377="","",YEAR($A377)&amp;"Q"&amp;ROUNDUP(IFERROR(MONTH($A377)/3,0),0))</f>
      </c>
    </row>
    <row r="378" spans="10:11" x14ac:dyDescent="0.25">
      <c r="J378" s="40">
        <f>IF($A378="","",$A378-WEEKDAY($A378,1)+1)</f>
      </c>
      <c r="K378" s="42">
        <f>IF($A378="","",YEAR($A378)&amp;"Q"&amp;ROUNDUP(IFERROR(MONTH($A378)/3,0),0))</f>
      </c>
    </row>
    <row r="379" spans="10:11" x14ac:dyDescent="0.25">
      <c r="J379" s="40">
        <f>IF($A379="","",$A379-WEEKDAY($A379,1)+1)</f>
      </c>
      <c r="K379" s="42">
        <f>IF($A379="","",YEAR($A379)&amp;"Q"&amp;ROUNDUP(IFERROR(MONTH($A379)/3,0),0))</f>
      </c>
    </row>
    <row r="380" spans="10:11" x14ac:dyDescent="0.25">
      <c r="J380" s="40">
        <f>IF($A380="","",$A380-WEEKDAY($A380,1)+1)</f>
      </c>
      <c r="K380" s="42">
        <f>IF($A380="","",YEAR($A380)&amp;"Q"&amp;ROUNDUP(IFERROR(MONTH($A380)/3,0),0))</f>
      </c>
    </row>
    <row r="381" spans="10:11" x14ac:dyDescent="0.25">
      <c r="J381" s="40">
        <f>IF($A381="","",$A381-WEEKDAY($A381,1)+1)</f>
      </c>
      <c r="K381" s="42">
        <f>IF($A381="","",YEAR($A381)&amp;"Q"&amp;ROUNDUP(IFERROR(MONTH($A381)/3,0),0))</f>
      </c>
    </row>
    <row r="382" spans="10:11" x14ac:dyDescent="0.25">
      <c r="J382" s="40">
        <f>IF($A382="","",$A382-WEEKDAY($A382,1)+1)</f>
      </c>
      <c r="K382" s="42">
        <f>IF($A382="","",YEAR($A382)&amp;"Q"&amp;ROUNDUP(IFERROR(MONTH($A382)/3,0),0))</f>
      </c>
    </row>
    <row r="383" spans="10:11" x14ac:dyDescent="0.25">
      <c r="J383" s="40">
        <f>IF($A383="","",$A383-WEEKDAY($A383,1)+1)</f>
      </c>
      <c r="K383" s="42">
        <f>IF($A383="","",YEAR($A383)&amp;"Q"&amp;ROUNDUP(IFERROR(MONTH($A383)/3,0),0))</f>
      </c>
    </row>
    <row r="384" spans="10:11" x14ac:dyDescent="0.25">
      <c r="J384" s="40">
        <f>IF($A384="","",$A384-WEEKDAY($A384,1)+1)</f>
      </c>
      <c r="K384" s="42">
        <f>IF($A384="","",YEAR($A384)&amp;"Q"&amp;ROUNDUP(IFERROR(MONTH($A384)/3,0),0))</f>
      </c>
    </row>
    <row r="385" spans="10:11" x14ac:dyDescent="0.25">
      <c r="J385" s="40">
        <f>IF($A385="","",$A385-WEEKDAY($A385,1)+1)</f>
      </c>
      <c r="K385" s="42">
        <f>IF($A385="","",YEAR($A385)&amp;"Q"&amp;ROUNDUP(IFERROR(MONTH($A385)/3,0),0))</f>
      </c>
    </row>
    <row r="386" spans="10:11" x14ac:dyDescent="0.25">
      <c r="J386" s="40">
        <f>IF($A386="","",$A386-WEEKDAY($A386,1)+1)</f>
      </c>
      <c r="K386" s="42">
        <f>IF($A386="","",YEAR($A386)&amp;"Q"&amp;ROUNDUP(IFERROR(MONTH($A386)/3,0),0))</f>
      </c>
    </row>
    <row r="387" spans="10:11" x14ac:dyDescent="0.25">
      <c r="J387" s="40">
        <f>IF($A387="","",$A387-WEEKDAY($A387,1)+1)</f>
      </c>
      <c r="K387" s="42">
        <f>IF($A387="","",YEAR($A387)&amp;"Q"&amp;ROUNDUP(IFERROR(MONTH($A387)/3,0),0))</f>
      </c>
    </row>
    <row r="388" spans="10:11" x14ac:dyDescent="0.25">
      <c r="J388" s="40">
        <f>IF($A388="","",$A388-WEEKDAY($A388,1)+1)</f>
      </c>
      <c r="K388" s="42">
        <f>IF($A388="","",YEAR($A388)&amp;"Q"&amp;ROUNDUP(IFERROR(MONTH($A388)/3,0),0))</f>
      </c>
    </row>
    <row r="389" spans="10:11" x14ac:dyDescent="0.25">
      <c r="J389" s="40">
        <f>IF($A389="","",$A389-WEEKDAY($A389,1)+1)</f>
      </c>
      <c r="K389" s="42">
        <f>IF($A389="","",YEAR($A389)&amp;"Q"&amp;ROUNDUP(IFERROR(MONTH($A389)/3,0),0))</f>
      </c>
    </row>
    <row r="390" spans="10:11" x14ac:dyDescent="0.25">
      <c r="J390" s="40">
        <f>IF($A390="","",$A390-WEEKDAY($A390,1)+1)</f>
      </c>
      <c r="K390" s="42">
        <f>IF($A390="","",YEAR($A390)&amp;"Q"&amp;ROUNDUP(IFERROR(MONTH($A390)/3,0),0))</f>
      </c>
    </row>
    <row r="391" spans="10:11" x14ac:dyDescent="0.25">
      <c r="J391" s="40">
        <f>IF($A391="","",$A391-WEEKDAY($A391,1)+1)</f>
      </c>
      <c r="K391" s="42">
        <f>IF($A391="","",YEAR($A391)&amp;"Q"&amp;ROUNDUP(IFERROR(MONTH($A391)/3,0),0))</f>
      </c>
    </row>
    <row r="392" spans="10:11" x14ac:dyDescent="0.25">
      <c r="J392" s="40">
        <f>IF($A392="","",$A392-WEEKDAY($A392,1)+1)</f>
      </c>
      <c r="K392" s="42">
        <f>IF($A392="","",YEAR($A392)&amp;"Q"&amp;ROUNDUP(IFERROR(MONTH($A392)/3,0),0))</f>
      </c>
    </row>
    <row r="393" spans="10:11" x14ac:dyDescent="0.25">
      <c r="J393" s="40">
        <f>IF($A393="","",$A393-WEEKDAY($A393,1)+1)</f>
      </c>
      <c r="K393" s="42">
        <f>IF($A393="","",YEAR($A393)&amp;"Q"&amp;ROUNDUP(IFERROR(MONTH($A393)/3,0),0))</f>
      </c>
    </row>
    <row r="394" spans="10:11" x14ac:dyDescent="0.25">
      <c r="J394" s="40">
        <f>IF($A394="","",$A394-WEEKDAY($A394,1)+1)</f>
      </c>
      <c r="K394" s="42">
        <f>IF($A394="","",YEAR($A394)&amp;"Q"&amp;ROUNDUP(IFERROR(MONTH($A394)/3,0),0))</f>
      </c>
    </row>
    <row r="395" spans="10:11" x14ac:dyDescent="0.25">
      <c r="J395" s="40">
        <f>IF($A395="","",$A395-WEEKDAY($A395,1)+1)</f>
      </c>
      <c r="K395" s="42">
        <f>IF($A395="","",YEAR($A395)&amp;"Q"&amp;ROUNDUP(IFERROR(MONTH($A395)/3,0),0))</f>
      </c>
    </row>
    <row r="396" spans="10:11" x14ac:dyDescent="0.25">
      <c r="J396" s="40">
        <f>IF($A396="","",$A396-WEEKDAY($A396,1)+1)</f>
      </c>
      <c r="K396" s="42">
        <f>IF($A396="","",YEAR($A396)&amp;"Q"&amp;ROUNDUP(IFERROR(MONTH($A396)/3,0),0))</f>
      </c>
    </row>
    <row r="397" spans="10:11" x14ac:dyDescent="0.25">
      <c r="J397" s="40">
        <f>IF($A397="","",$A397-WEEKDAY($A397,1)+1)</f>
      </c>
      <c r="K397" s="42">
        <f>IF($A397="","",YEAR($A397)&amp;"Q"&amp;ROUNDUP(IFERROR(MONTH($A397)/3,0),0))</f>
      </c>
    </row>
    <row r="398" spans="10:11" x14ac:dyDescent="0.25">
      <c r="J398" s="40">
        <f>IF($A398="","",$A398-WEEKDAY($A398,1)+1)</f>
      </c>
      <c r="K398" s="42">
        <f>IF($A398="","",YEAR($A398)&amp;"Q"&amp;ROUNDUP(IFERROR(MONTH($A398)/3,0),0))</f>
      </c>
    </row>
    <row r="399" spans="10:11" x14ac:dyDescent="0.25">
      <c r="J399" s="40">
        <f>IF($A399="","",$A399-WEEKDAY($A399,1)+1)</f>
      </c>
      <c r="K399" s="42">
        <f>IF($A399="","",YEAR($A399)&amp;"Q"&amp;ROUNDUP(IFERROR(MONTH($A399)/3,0),0))</f>
      </c>
    </row>
    <row r="400" spans="10:11" x14ac:dyDescent="0.25">
      <c r="J400" s="40">
        <f>IF($A400="","",$A400-WEEKDAY($A400,1)+1)</f>
      </c>
      <c r="K400" s="42">
        <f>IF($A400="","",YEAR($A400)&amp;"Q"&amp;ROUNDUP(IFERROR(MONTH($A400)/3,0),0))</f>
      </c>
    </row>
    <row r="401" spans="10:11" x14ac:dyDescent="0.25">
      <c r="J401" s="40">
        <f>IF($A401="","",$A401-WEEKDAY($A401,1)+1)</f>
      </c>
      <c r="K401" s="42">
        <f>IF($A401="","",YEAR($A401)&amp;"Q"&amp;ROUNDUP(IFERROR(MONTH($A401)/3,0),0))</f>
      </c>
    </row>
    <row r="402" spans="10:11" x14ac:dyDescent="0.25">
      <c r="J402" s="40">
        <f>IF($A402="","",$A402-WEEKDAY($A402,1)+1)</f>
      </c>
      <c r="K402" s="42">
        <f>IF($A402="","",YEAR($A402)&amp;"Q"&amp;ROUNDUP(IFERROR(MONTH($A402)/3,0),0))</f>
      </c>
    </row>
    <row r="403" spans="10:11" x14ac:dyDescent="0.25">
      <c r="J403" s="40">
        <f>IF($A403="","",$A403-WEEKDAY($A403,1)+1)</f>
      </c>
      <c r="K403" s="42">
        <f>IF($A403="","",YEAR($A403)&amp;"Q"&amp;ROUNDUP(IFERROR(MONTH($A403)/3,0),0))</f>
      </c>
    </row>
    <row r="404" spans="10:11" x14ac:dyDescent="0.25">
      <c r="J404" s="40">
        <f>IF($A404="","",$A404-WEEKDAY($A404,1)+1)</f>
      </c>
      <c r="K404" s="42">
        <f>IF($A404="","",YEAR($A404)&amp;"Q"&amp;ROUNDUP(IFERROR(MONTH($A404)/3,0),0))</f>
      </c>
    </row>
    <row r="405" spans="10:11" x14ac:dyDescent="0.25">
      <c r="J405" s="40">
        <f>IF($A405="","",$A405-WEEKDAY($A405,1)+1)</f>
      </c>
      <c r="K405" s="42">
        <f>IF($A405="","",YEAR($A405)&amp;"Q"&amp;ROUNDUP(IFERROR(MONTH($A405)/3,0),0))</f>
      </c>
    </row>
    <row r="406" spans="10:11" x14ac:dyDescent="0.25">
      <c r="J406" s="40">
        <f>IF($A406="","",$A406-WEEKDAY($A406,1)+1)</f>
      </c>
      <c r="K406" s="42">
        <f>IF($A406="","",YEAR($A406)&amp;"Q"&amp;ROUNDUP(IFERROR(MONTH($A406)/3,0),0))</f>
      </c>
    </row>
    <row r="407" spans="10:11" x14ac:dyDescent="0.25">
      <c r="J407" s="40">
        <f>IF($A407="","",$A407-WEEKDAY($A407,1)+1)</f>
      </c>
      <c r="K407" s="42">
        <f>IF($A407="","",YEAR($A407)&amp;"Q"&amp;ROUNDUP(IFERROR(MONTH($A407)/3,0),0))</f>
      </c>
    </row>
    <row r="408" spans="10:11" x14ac:dyDescent="0.25">
      <c r="J408" s="40">
        <f>IF($A408="","",$A408-WEEKDAY($A408,1)+1)</f>
      </c>
      <c r="K408" s="42">
        <f>IF($A408="","",YEAR($A408)&amp;"Q"&amp;ROUNDUP(IFERROR(MONTH($A408)/3,0),0))</f>
      </c>
    </row>
    <row r="409" spans="10:11" x14ac:dyDescent="0.25">
      <c r="J409" s="40">
        <f>IF($A409="","",$A409-WEEKDAY($A409,1)+1)</f>
      </c>
      <c r="K409" s="42">
        <f>IF($A409="","",YEAR($A409)&amp;"Q"&amp;ROUNDUP(IFERROR(MONTH($A409)/3,0),0))</f>
      </c>
    </row>
    <row r="410" spans="10:11" x14ac:dyDescent="0.25">
      <c r="J410" s="40">
        <f>IF($A410="","",$A410-WEEKDAY($A410,1)+1)</f>
      </c>
      <c r="K410" s="42">
        <f>IF($A410="","",YEAR($A410)&amp;"Q"&amp;ROUNDUP(IFERROR(MONTH($A410)/3,0),0))</f>
      </c>
    </row>
    <row r="411" spans="10:11" x14ac:dyDescent="0.25">
      <c r="J411" s="40">
        <f>IF($A411="","",$A411-WEEKDAY($A411,1)+1)</f>
      </c>
      <c r="K411" s="42">
        <f>IF($A411="","",YEAR($A411)&amp;"Q"&amp;ROUNDUP(IFERROR(MONTH($A411)/3,0),0))</f>
      </c>
    </row>
    <row r="412" spans="10:11" x14ac:dyDescent="0.25">
      <c r="J412" s="40">
        <f>IF($A412="","",$A412-WEEKDAY($A412,1)+1)</f>
      </c>
      <c r="K412" s="42">
        <f>IF($A412="","",YEAR($A412)&amp;"Q"&amp;ROUNDUP(IFERROR(MONTH($A412)/3,0),0))</f>
      </c>
    </row>
    <row r="413" spans="10:11" x14ac:dyDescent="0.25">
      <c r="J413" s="40">
        <f>IF($A413="","",$A413-WEEKDAY($A413,1)+1)</f>
      </c>
      <c r="K413" s="42">
        <f>IF($A413="","",YEAR($A413)&amp;"Q"&amp;ROUNDUP(IFERROR(MONTH($A413)/3,0),0))</f>
      </c>
    </row>
    <row r="414" spans="10:11" x14ac:dyDescent="0.25">
      <c r="J414" s="40">
        <f>IF($A414="","",$A414-WEEKDAY($A414,1)+1)</f>
      </c>
      <c r="K414" s="42">
        <f>IF($A414="","",YEAR($A414)&amp;"Q"&amp;ROUNDUP(IFERROR(MONTH($A414)/3,0),0))</f>
      </c>
    </row>
    <row r="415" spans="10:11" x14ac:dyDescent="0.25">
      <c r="J415" s="40">
        <f>IF($A415="","",$A415-WEEKDAY($A415,1)+1)</f>
      </c>
      <c r="K415" s="42">
        <f>IF($A415="","",YEAR($A415)&amp;"Q"&amp;ROUNDUP(IFERROR(MONTH($A415)/3,0),0))</f>
      </c>
    </row>
    <row r="416" spans="10:11" x14ac:dyDescent="0.25">
      <c r="J416" s="40">
        <f>IF($A416="","",$A416-WEEKDAY($A416,1)+1)</f>
      </c>
      <c r="K416" s="42">
        <f>IF($A416="","",YEAR($A416)&amp;"Q"&amp;ROUNDUP(IFERROR(MONTH($A416)/3,0),0))</f>
      </c>
    </row>
    <row r="417" spans="10:11" x14ac:dyDescent="0.25">
      <c r="J417" s="40">
        <f>IF($A417="","",$A417-WEEKDAY($A417,1)+1)</f>
      </c>
      <c r="K417" s="42">
        <f>IF($A417="","",YEAR($A417)&amp;"Q"&amp;ROUNDUP(IFERROR(MONTH($A417)/3,0),0))</f>
      </c>
    </row>
    <row r="418" spans="10:11" x14ac:dyDescent="0.25">
      <c r="J418" s="40">
        <f>IF($A418="","",$A418-WEEKDAY($A418,1)+1)</f>
      </c>
      <c r="K418" s="42">
        <f>IF($A418="","",YEAR($A418)&amp;"Q"&amp;ROUNDUP(IFERROR(MONTH($A418)/3,0),0))</f>
      </c>
    </row>
    <row r="419" spans="10:11" x14ac:dyDescent="0.25">
      <c r="J419" s="40">
        <f>IF($A419="","",$A419-WEEKDAY($A419,1)+1)</f>
      </c>
      <c r="K419" s="42">
        <f>IF($A419="","",YEAR($A419)&amp;"Q"&amp;ROUNDUP(IFERROR(MONTH($A419)/3,0),0))</f>
      </c>
    </row>
    <row r="420" spans="10:11" x14ac:dyDescent="0.25">
      <c r="J420" s="40">
        <f>IF($A420="","",$A420-WEEKDAY($A420,1)+1)</f>
      </c>
      <c r="K420" s="42">
        <f>IF($A420="","",YEAR($A420)&amp;"Q"&amp;ROUNDUP(IFERROR(MONTH($A420)/3,0),0))</f>
      </c>
    </row>
    <row r="421" spans="10:11" x14ac:dyDescent="0.25">
      <c r="J421" s="40">
        <f>IF($A421="","",$A421-WEEKDAY($A421,1)+1)</f>
      </c>
      <c r="K421" s="42">
        <f>IF($A421="","",YEAR($A421)&amp;"Q"&amp;ROUNDUP(IFERROR(MONTH($A421)/3,0),0))</f>
      </c>
    </row>
    <row r="422" spans="10:11" x14ac:dyDescent="0.25">
      <c r="J422" s="40">
        <f>IF($A422="","",$A422-WEEKDAY($A422,1)+1)</f>
      </c>
      <c r="K422" s="42">
        <f>IF($A422="","",YEAR($A422)&amp;"Q"&amp;ROUNDUP(IFERROR(MONTH($A422)/3,0),0))</f>
      </c>
    </row>
    <row r="423" spans="10:11" x14ac:dyDescent="0.25">
      <c r="J423" s="40">
        <f>IF($A423="","",$A423-WEEKDAY($A423,1)+1)</f>
      </c>
      <c r="K423" s="42">
        <f>IF($A423="","",YEAR($A423)&amp;"Q"&amp;ROUNDUP(IFERROR(MONTH($A423)/3,0),0))</f>
      </c>
    </row>
    <row r="424" spans="10:11" x14ac:dyDescent="0.25">
      <c r="J424" s="40">
        <f>IF($A424="","",$A424-WEEKDAY($A424,1)+1)</f>
      </c>
      <c r="K424" s="42">
        <f>IF($A424="","",YEAR($A424)&amp;"Q"&amp;ROUNDUP(IFERROR(MONTH($A424)/3,0),0))</f>
      </c>
    </row>
    <row r="425" spans="10:11" x14ac:dyDescent="0.25">
      <c r="J425" s="40">
        <f>IF($A425="","",$A425-WEEKDAY($A425,1)+1)</f>
      </c>
      <c r="K425" s="42">
        <f>IF($A425="","",YEAR($A425)&amp;"Q"&amp;ROUNDUP(IFERROR(MONTH($A425)/3,0),0))</f>
      </c>
    </row>
    <row r="426" spans="10:11" x14ac:dyDescent="0.25">
      <c r="J426" s="40">
        <f>IF($A426="","",$A426-WEEKDAY($A426,1)+1)</f>
      </c>
      <c r="K426" s="42">
        <f>IF($A426="","",YEAR($A426)&amp;"Q"&amp;ROUNDUP(IFERROR(MONTH($A426)/3,0),0))</f>
      </c>
    </row>
    <row r="427" spans="10:11" x14ac:dyDescent="0.25">
      <c r="J427" s="40">
        <f>IF($A427="","",$A427-WEEKDAY($A427,1)+1)</f>
      </c>
      <c r="K427" s="42">
        <f>IF($A427="","",YEAR($A427)&amp;"Q"&amp;ROUNDUP(IFERROR(MONTH($A427)/3,0),0))</f>
      </c>
    </row>
    <row r="428" spans="10:11" x14ac:dyDescent="0.25">
      <c r="J428" s="40">
        <f>IF($A428="","",$A428-WEEKDAY($A428,1)+1)</f>
      </c>
      <c r="K428" s="42">
        <f>IF($A428="","",YEAR($A428)&amp;"Q"&amp;ROUNDUP(IFERROR(MONTH($A428)/3,0),0))</f>
      </c>
    </row>
    <row r="429" spans="10:11" x14ac:dyDescent="0.25">
      <c r="J429" s="40">
        <f>IF($A429="","",$A429-WEEKDAY($A429,1)+1)</f>
      </c>
      <c r="K429" s="42">
        <f>IF($A429="","",YEAR($A429)&amp;"Q"&amp;ROUNDUP(IFERROR(MONTH($A429)/3,0),0))</f>
      </c>
    </row>
    <row r="430" spans="10:11" x14ac:dyDescent="0.25">
      <c r="J430" s="40">
        <f>IF($A430="","",$A430-WEEKDAY($A430,1)+1)</f>
      </c>
      <c r="K430" s="42">
        <f>IF($A430="","",YEAR($A430)&amp;"Q"&amp;ROUNDUP(IFERROR(MONTH($A430)/3,0),0))</f>
      </c>
    </row>
    <row r="431" spans="10:11" x14ac:dyDescent="0.25">
      <c r="J431" s="40">
        <f>IF($A431="","",$A431-WEEKDAY($A431,1)+1)</f>
      </c>
      <c r="K431" s="42">
        <f>IF($A431="","",YEAR($A431)&amp;"Q"&amp;ROUNDUP(IFERROR(MONTH($A431)/3,0),0))</f>
      </c>
    </row>
    <row r="432" spans="10:11" x14ac:dyDescent="0.25">
      <c r="J432" s="40">
        <f>IF($A432="","",$A432-WEEKDAY($A432,1)+1)</f>
      </c>
      <c r="K432" s="42">
        <f>IF($A432="","",YEAR($A432)&amp;"Q"&amp;ROUNDUP(IFERROR(MONTH($A432)/3,0),0))</f>
      </c>
    </row>
    <row r="433" spans="10:11" x14ac:dyDescent="0.25">
      <c r="J433" s="40">
        <f>IF($A433="","",$A433-WEEKDAY($A433,1)+1)</f>
      </c>
      <c r="K433" s="42">
        <f>IF($A433="","",YEAR($A433)&amp;"Q"&amp;ROUNDUP(IFERROR(MONTH($A433)/3,0),0))</f>
      </c>
    </row>
    <row r="434" spans="10:11" x14ac:dyDescent="0.25">
      <c r="J434" s="40">
        <f>IF($A434="","",$A434-WEEKDAY($A434,1)+1)</f>
      </c>
      <c r="K434" s="42">
        <f>IF($A434="","",YEAR($A434)&amp;"Q"&amp;ROUNDUP(IFERROR(MONTH($A434)/3,0),0))</f>
      </c>
    </row>
    <row r="435" spans="10:11" x14ac:dyDescent="0.25">
      <c r="J435" s="40">
        <f>IF($A435="","",$A435-WEEKDAY($A435,1)+1)</f>
      </c>
      <c r="K435" s="42">
        <f>IF($A435="","",YEAR($A435)&amp;"Q"&amp;ROUNDUP(IFERROR(MONTH($A435)/3,0),0))</f>
      </c>
    </row>
    <row r="436" spans="10:11" x14ac:dyDescent="0.25">
      <c r="J436" s="40">
        <f>IF($A436="","",$A436-WEEKDAY($A436,1)+1)</f>
      </c>
      <c r="K436" s="42">
        <f>IF($A436="","",YEAR($A436)&amp;"Q"&amp;ROUNDUP(IFERROR(MONTH($A436)/3,0),0))</f>
      </c>
    </row>
    <row r="437" spans="10:11" x14ac:dyDescent="0.25">
      <c r="J437" s="40">
        <f>IF($A437="","",$A437-WEEKDAY($A437,1)+1)</f>
      </c>
      <c r="K437" s="42">
        <f>IF($A437="","",YEAR($A437)&amp;"Q"&amp;ROUNDUP(IFERROR(MONTH($A437)/3,0),0))</f>
      </c>
    </row>
    <row r="438" spans="10:11" x14ac:dyDescent="0.25">
      <c r="J438" s="40">
        <f>IF($A438="","",$A438-WEEKDAY($A438,1)+1)</f>
      </c>
      <c r="K438" s="42">
        <f>IF($A438="","",YEAR($A438)&amp;"Q"&amp;ROUNDUP(IFERROR(MONTH($A438)/3,0),0))</f>
      </c>
    </row>
    <row r="439" spans="10:11" x14ac:dyDescent="0.25">
      <c r="J439" s="40">
        <f>IF($A439="","",$A439-WEEKDAY($A439,1)+1)</f>
      </c>
      <c r="K439" s="42">
        <f>IF($A439="","",YEAR($A439)&amp;"Q"&amp;ROUNDUP(IFERROR(MONTH($A439)/3,0),0))</f>
      </c>
    </row>
    <row r="440" spans="10:11" x14ac:dyDescent="0.25">
      <c r="J440" s="40">
        <f>IF($A440="","",$A440-WEEKDAY($A440,1)+1)</f>
      </c>
      <c r="K440" s="42">
        <f>IF($A440="","",YEAR($A440)&amp;"Q"&amp;ROUNDUP(IFERROR(MONTH($A440)/3,0),0))</f>
      </c>
    </row>
    <row r="441" spans="10:11" x14ac:dyDescent="0.25">
      <c r="J441" s="40">
        <f>IF($A441="","",$A441-WEEKDAY($A441,1)+1)</f>
      </c>
      <c r="K441" s="42">
        <f>IF($A441="","",YEAR($A441)&amp;"Q"&amp;ROUNDUP(IFERROR(MONTH($A441)/3,0),0))</f>
      </c>
    </row>
    <row r="442" spans="10:11" x14ac:dyDescent="0.25">
      <c r="J442" s="40">
        <f>IF($A442="","",$A442-WEEKDAY($A442,1)+1)</f>
      </c>
      <c r="K442" s="42">
        <f>IF($A442="","",YEAR($A442)&amp;"Q"&amp;ROUNDUP(IFERROR(MONTH($A442)/3,0),0))</f>
      </c>
    </row>
    <row r="443" spans="10:11" x14ac:dyDescent="0.25">
      <c r="J443" s="40">
        <f>IF($A443="","",$A443-WEEKDAY($A443,1)+1)</f>
      </c>
      <c r="K443" s="42">
        <f>IF($A443="","",YEAR($A443)&amp;"Q"&amp;ROUNDUP(IFERROR(MONTH($A443)/3,0),0))</f>
      </c>
    </row>
    <row r="444" spans="10:11" x14ac:dyDescent="0.25">
      <c r="J444" s="40">
        <f>IF($A444="","",$A444-WEEKDAY($A444,1)+1)</f>
      </c>
      <c r="K444" s="42">
        <f>IF($A444="","",YEAR($A444)&amp;"Q"&amp;ROUNDUP(IFERROR(MONTH($A444)/3,0),0))</f>
      </c>
    </row>
    <row r="445" spans="10:11" x14ac:dyDescent="0.25">
      <c r="J445" s="40">
        <f>IF($A445="","",$A445-WEEKDAY($A445,1)+1)</f>
      </c>
      <c r="K445" s="42">
        <f>IF($A445="","",YEAR($A445)&amp;"Q"&amp;ROUNDUP(IFERROR(MONTH($A445)/3,0),0))</f>
      </c>
    </row>
    <row r="446" spans="10:11" x14ac:dyDescent="0.25">
      <c r="J446" s="40">
        <f>IF($A446="","",$A446-WEEKDAY($A446,1)+1)</f>
      </c>
      <c r="K446" s="42">
        <f>IF($A446="","",YEAR($A446)&amp;"Q"&amp;ROUNDUP(IFERROR(MONTH($A446)/3,0),0))</f>
      </c>
    </row>
    <row r="447" spans="10:11" x14ac:dyDescent="0.25">
      <c r="J447" s="40">
        <f>IF($A447="","",$A447-WEEKDAY($A447,1)+1)</f>
      </c>
      <c r="K447" s="42">
        <f>IF($A447="","",YEAR($A447)&amp;"Q"&amp;ROUNDUP(IFERROR(MONTH($A447)/3,0),0))</f>
      </c>
    </row>
    <row r="448" spans="10:11" x14ac:dyDescent="0.25">
      <c r="J448" s="40">
        <f>IF($A448="","",$A448-WEEKDAY($A448,1)+1)</f>
      </c>
      <c r="K448" s="42">
        <f>IF($A448="","",YEAR($A448)&amp;"Q"&amp;ROUNDUP(IFERROR(MONTH($A448)/3,0),0))</f>
      </c>
    </row>
    <row r="449" spans="10:11" x14ac:dyDescent="0.25">
      <c r="J449" s="40">
        <f>IF($A449="","",$A449-WEEKDAY($A449,1)+1)</f>
      </c>
      <c r="K449" s="42">
        <f>IF($A449="","",YEAR($A449)&amp;"Q"&amp;ROUNDUP(IFERROR(MONTH($A449)/3,0),0))</f>
      </c>
    </row>
    <row r="450" spans="10:11" x14ac:dyDescent="0.25">
      <c r="J450" s="40">
        <f>IF($A450="","",$A450-WEEKDAY($A450,1)+1)</f>
      </c>
      <c r="K450" s="42">
        <f>IF($A450="","",YEAR($A450)&amp;"Q"&amp;ROUNDUP(IFERROR(MONTH($A450)/3,0),0))</f>
      </c>
    </row>
    <row r="451" spans="10:11" x14ac:dyDescent="0.25">
      <c r="J451" s="40">
        <f>IF($A451="","",$A451-WEEKDAY($A451,1)+1)</f>
      </c>
      <c r="K451" s="42">
        <f>IF($A451="","",YEAR($A451)&amp;"Q"&amp;ROUNDUP(IFERROR(MONTH($A451)/3,0),0))</f>
      </c>
    </row>
    <row r="452" spans="10:11" x14ac:dyDescent="0.25">
      <c r="J452" s="40">
        <f>IF($A452="","",$A452-WEEKDAY($A452,1)+1)</f>
      </c>
      <c r="K452" s="42">
        <f>IF($A452="","",YEAR($A452)&amp;"Q"&amp;ROUNDUP(IFERROR(MONTH($A452)/3,0),0))</f>
      </c>
    </row>
    <row r="453" spans="10:11" x14ac:dyDescent="0.25">
      <c r="J453" s="40">
        <f>IF($A453="","",$A453-WEEKDAY($A453,1)+1)</f>
      </c>
      <c r="K453" s="42">
        <f>IF($A453="","",YEAR($A453)&amp;"Q"&amp;ROUNDUP(IFERROR(MONTH($A453)/3,0),0))</f>
      </c>
    </row>
    <row r="454" spans="10:11" x14ac:dyDescent="0.25">
      <c r="J454" s="40">
        <f>IF($A454="","",$A454-WEEKDAY($A454,1)+1)</f>
      </c>
      <c r="K454" s="42">
        <f>IF($A454="","",YEAR($A454)&amp;"Q"&amp;ROUNDUP(IFERROR(MONTH($A454)/3,0),0))</f>
      </c>
    </row>
    <row r="455" spans="10:11" x14ac:dyDescent="0.25">
      <c r="J455" s="40">
        <f>IF($A455="","",$A455-WEEKDAY($A455,1)+1)</f>
      </c>
      <c r="K455" s="42">
        <f>IF($A455="","",YEAR($A455)&amp;"Q"&amp;ROUNDUP(IFERROR(MONTH($A455)/3,0),0))</f>
      </c>
    </row>
    <row r="456" spans="10:11" x14ac:dyDescent="0.25">
      <c r="J456" s="40">
        <f>IF($A456="","",$A456-WEEKDAY($A456,1)+1)</f>
      </c>
      <c r="K456" s="42">
        <f>IF($A456="","",YEAR($A456)&amp;"Q"&amp;ROUNDUP(IFERROR(MONTH($A456)/3,0),0))</f>
      </c>
    </row>
    <row r="457" spans="10:11" x14ac:dyDescent="0.25">
      <c r="J457" s="40">
        <f>IF($A457="","",$A457-WEEKDAY($A457,1)+1)</f>
      </c>
      <c r="K457" s="42">
        <f>IF($A457="","",YEAR($A457)&amp;"Q"&amp;ROUNDUP(IFERROR(MONTH($A457)/3,0),0))</f>
      </c>
    </row>
    <row r="458" spans="10:11" x14ac:dyDescent="0.25">
      <c r="J458" s="40">
        <f>IF($A458="","",$A458-WEEKDAY($A458,1)+1)</f>
      </c>
      <c r="K458" s="42">
        <f>IF($A458="","",YEAR($A458)&amp;"Q"&amp;ROUNDUP(IFERROR(MONTH($A458)/3,0),0))</f>
      </c>
    </row>
    <row r="459" spans="10:11" x14ac:dyDescent="0.25">
      <c r="J459" s="40">
        <f>IF($A459="","",$A459-WEEKDAY($A459,1)+1)</f>
      </c>
      <c r="K459" s="42">
        <f>IF($A459="","",YEAR($A459)&amp;"Q"&amp;ROUNDUP(IFERROR(MONTH($A459)/3,0),0))</f>
      </c>
    </row>
    <row r="460" spans="10:11" x14ac:dyDescent="0.25">
      <c r="J460" s="40">
        <f>IF($A460="","",$A460-WEEKDAY($A460,1)+1)</f>
      </c>
      <c r="K460" s="42">
        <f>IF($A460="","",YEAR($A460)&amp;"Q"&amp;ROUNDUP(IFERROR(MONTH($A460)/3,0),0))</f>
      </c>
    </row>
    <row r="461" spans="10:11" x14ac:dyDescent="0.25">
      <c r="J461" s="40">
        <f>IF($A461="","",$A461-WEEKDAY($A461,1)+1)</f>
      </c>
      <c r="K461" s="42">
        <f>IF($A461="","",YEAR($A461)&amp;"Q"&amp;ROUNDUP(IFERROR(MONTH($A461)/3,0),0))</f>
      </c>
    </row>
    <row r="462" spans="10:11" x14ac:dyDescent="0.25">
      <c r="J462" s="40">
        <f>IF($A462="","",$A462-WEEKDAY($A462,1)+1)</f>
      </c>
      <c r="K462" s="42">
        <f>IF($A462="","",YEAR($A462)&amp;"Q"&amp;ROUNDUP(IFERROR(MONTH($A462)/3,0),0))</f>
      </c>
    </row>
    <row r="463" spans="10:11" x14ac:dyDescent="0.25">
      <c r="J463" s="40">
        <f>IF($A463="","",$A463-WEEKDAY($A463,1)+1)</f>
      </c>
      <c r="K463" s="42">
        <f>IF($A463="","",YEAR($A463)&amp;"Q"&amp;ROUNDUP(IFERROR(MONTH($A463)/3,0),0))</f>
      </c>
    </row>
    <row r="464" spans="10:11" x14ac:dyDescent="0.25">
      <c r="J464" s="40">
        <f>IF($A464="","",$A464-WEEKDAY($A464,1)+1)</f>
      </c>
      <c r="K464" s="42">
        <f>IF($A464="","",YEAR($A464)&amp;"Q"&amp;ROUNDUP(IFERROR(MONTH($A464)/3,0),0))</f>
      </c>
    </row>
    <row r="465" spans="10:11" x14ac:dyDescent="0.25">
      <c r="J465" s="40">
        <f>IF($A465="","",$A465-WEEKDAY($A465,1)+1)</f>
      </c>
      <c r="K465" s="42">
        <f>IF($A465="","",YEAR($A465)&amp;"Q"&amp;ROUNDUP(IFERROR(MONTH($A465)/3,0),0))</f>
      </c>
    </row>
    <row r="466" spans="10:11" x14ac:dyDescent="0.25">
      <c r="J466" s="40">
        <f>IF($A466="","",$A466-WEEKDAY($A466,1)+1)</f>
      </c>
      <c r="K466" s="42">
        <f>IF($A466="","",YEAR($A466)&amp;"Q"&amp;ROUNDUP(IFERROR(MONTH($A466)/3,0),0))</f>
      </c>
    </row>
    <row r="467" spans="10:11" x14ac:dyDescent="0.25">
      <c r="J467" s="40">
        <f>IF($A467="","",$A467-WEEKDAY($A467,1)+1)</f>
      </c>
      <c r="K467" s="42">
        <f>IF($A467="","",YEAR($A467)&amp;"Q"&amp;ROUNDUP(IFERROR(MONTH($A467)/3,0),0))</f>
      </c>
    </row>
    <row r="468" spans="10:11" x14ac:dyDescent="0.25">
      <c r="J468" s="40">
        <f>IF($A468="","",$A468-WEEKDAY($A468,1)+1)</f>
      </c>
      <c r="K468" s="42">
        <f>IF($A468="","",YEAR($A468)&amp;"Q"&amp;ROUNDUP(IFERROR(MONTH($A468)/3,0),0))</f>
      </c>
    </row>
    <row r="469" spans="10:11" x14ac:dyDescent="0.25">
      <c r="J469" s="40">
        <f>IF($A469="","",$A469-WEEKDAY($A469,1)+1)</f>
      </c>
      <c r="K469" s="42">
        <f>IF($A469="","",YEAR($A469)&amp;"Q"&amp;ROUNDUP(IFERROR(MONTH($A469)/3,0),0))</f>
      </c>
    </row>
    <row r="470" spans="10:11" x14ac:dyDescent="0.25">
      <c r="J470" s="40">
        <f>IF($A470="","",$A470-WEEKDAY($A470,1)+1)</f>
      </c>
      <c r="K470" s="42">
        <f>IF($A470="","",YEAR($A470)&amp;"Q"&amp;ROUNDUP(IFERROR(MONTH($A470)/3,0),0))</f>
      </c>
    </row>
    <row r="471" spans="10:11" x14ac:dyDescent="0.25">
      <c r="J471" s="40">
        <f>IF($A471="","",$A471-WEEKDAY($A471,1)+1)</f>
      </c>
      <c r="K471" s="42">
        <f>IF($A471="","",YEAR($A471)&amp;"Q"&amp;ROUNDUP(IFERROR(MONTH($A471)/3,0),0))</f>
      </c>
    </row>
    <row r="472" spans="10:11" x14ac:dyDescent="0.25">
      <c r="J472" s="40">
        <f>IF($A472="","",$A472-WEEKDAY($A472,1)+1)</f>
      </c>
      <c r="K472" s="42">
        <f>IF($A472="","",YEAR($A472)&amp;"Q"&amp;ROUNDUP(IFERROR(MONTH($A472)/3,0),0))</f>
      </c>
    </row>
    <row r="473" spans="10:11" x14ac:dyDescent="0.25">
      <c r="J473" s="40">
        <f>IF($A473="","",$A473-WEEKDAY($A473,1)+1)</f>
      </c>
      <c r="K473" s="42">
        <f>IF($A473="","",YEAR($A473)&amp;"Q"&amp;ROUNDUP(IFERROR(MONTH($A473)/3,0),0))</f>
      </c>
    </row>
    <row r="474" spans="10:11" x14ac:dyDescent="0.25">
      <c r="J474" s="40">
        <f>IF($A474="","",$A474-WEEKDAY($A474,1)+1)</f>
      </c>
      <c r="K474" s="42">
        <f>IF($A474="","",YEAR($A474)&amp;"Q"&amp;ROUNDUP(IFERROR(MONTH($A474)/3,0),0))</f>
      </c>
    </row>
    <row r="475" spans="10:11" x14ac:dyDescent="0.25">
      <c r="J475" s="40">
        <f>IF($A475="","",$A475-WEEKDAY($A475,1)+1)</f>
      </c>
      <c r="K475" s="42">
        <f>IF($A475="","",YEAR($A475)&amp;"Q"&amp;ROUNDUP(IFERROR(MONTH($A475)/3,0),0))</f>
      </c>
    </row>
    <row r="476" spans="10:11" x14ac:dyDescent="0.25">
      <c r="J476" s="40">
        <f>IF($A476="","",$A476-WEEKDAY($A476,1)+1)</f>
      </c>
      <c r="K476" s="42">
        <f>IF($A476="","",YEAR($A476)&amp;"Q"&amp;ROUNDUP(IFERROR(MONTH($A476)/3,0),0))</f>
      </c>
    </row>
    <row r="477" spans="10:11" x14ac:dyDescent="0.25">
      <c r="J477" s="40">
        <f>IF($A477="","",$A477-WEEKDAY($A477,1)+1)</f>
      </c>
      <c r="K477" s="42">
        <f>IF($A477="","",YEAR($A477)&amp;"Q"&amp;ROUNDUP(IFERROR(MONTH($A477)/3,0),0))</f>
      </c>
    </row>
    <row r="478" spans="10:11" x14ac:dyDescent="0.25">
      <c r="J478" s="40">
        <f>IF($A478="","",$A478-WEEKDAY($A478,1)+1)</f>
      </c>
      <c r="K478" s="42">
        <f>IF($A478="","",YEAR($A478)&amp;"Q"&amp;ROUNDUP(IFERROR(MONTH($A478)/3,0),0))</f>
      </c>
    </row>
    <row r="479" spans="10:11" x14ac:dyDescent="0.25">
      <c r="J479" s="40">
        <f>IF($A479="","",$A479-WEEKDAY($A479,1)+1)</f>
      </c>
      <c r="K479" s="42">
        <f>IF($A479="","",YEAR($A479)&amp;"Q"&amp;ROUNDUP(IFERROR(MONTH($A479)/3,0),0))</f>
      </c>
    </row>
    <row r="480" spans="10:11" x14ac:dyDescent="0.25">
      <c r="J480" s="40">
        <f>IF($A480="","",$A480-WEEKDAY($A480,1)+1)</f>
      </c>
      <c r="K480" s="42">
        <f>IF($A480="","",YEAR($A480)&amp;"Q"&amp;ROUNDUP(IFERROR(MONTH($A480)/3,0),0))</f>
      </c>
    </row>
    <row r="481" spans="10:11" x14ac:dyDescent="0.25">
      <c r="J481" s="40">
        <f>IF($A481="","",$A481-WEEKDAY($A481,1)+1)</f>
      </c>
      <c r="K481" s="42">
        <f>IF($A481="","",YEAR($A481)&amp;"Q"&amp;ROUNDUP(IFERROR(MONTH($A481)/3,0),0))</f>
      </c>
    </row>
    <row r="482" spans="10:11" x14ac:dyDescent="0.25">
      <c r="J482" s="40">
        <f>IF($A482="","",$A482-WEEKDAY($A482,1)+1)</f>
      </c>
      <c r="K482" s="42">
        <f>IF($A482="","",YEAR($A482)&amp;"Q"&amp;ROUNDUP(IFERROR(MONTH($A482)/3,0),0))</f>
      </c>
    </row>
    <row r="483" spans="10:11" x14ac:dyDescent="0.25">
      <c r="J483" s="40">
        <f>IF($A483="","",$A483-WEEKDAY($A483,1)+1)</f>
      </c>
      <c r="K483" s="42">
        <f>IF($A483="","",YEAR($A483)&amp;"Q"&amp;ROUNDUP(IFERROR(MONTH($A483)/3,0),0))</f>
      </c>
    </row>
    <row r="484" spans="10:11" x14ac:dyDescent="0.25">
      <c r="J484" s="40">
        <f>IF($A484="","",$A484-WEEKDAY($A484,1)+1)</f>
      </c>
      <c r="K484" s="42">
        <f>IF($A484="","",YEAR($A484)&amp;"Q"&amp;ROUNDUP(IFERROR(MONTH($A484)/3,0),0))</f>
      </c>
    </row>
    <row r="485" spans="10:11" x14ac:dyDescent="0.25">
      <c r="J485" s="40">
        <f>IF($A485="","",$A485-WEEKDAY($A485,1)+1)</f>
      </c>
      <c r="K485" s="42">
        <f>IF($A485="","",YEAR($A485)&amp;"Q"&amp;ROUNDUP(IFERROR(MONTH($A485)/3,0),0))</f>
      </c>
    </row>
    <row r="486" spans="10:11" x14ac:dyDescent="0.25">
      <c r="J486" s="40">
        <f>IF($A486="","",$A486-WEEKDAY($A486,1)+1)</f>
      </c>
      <c r="K486" s="42">
        <f>IF($A486="","",YEAR($A486)&amp;"Q"&amp;ROUNDUP(IFERROR(MONTH($A486)/3,0),0))</f>
      </c>
    </row>
    <row r="487" spans="10:11" x14ac:dyDescent="0.25">
      <c r="J487" s="40">
        <f>IF($A487="","",$A487-WEEKDAY($A487,1)+1)</f>
      </c>
      <c r="K487" s="42">
        <f>IF($A487="","",YEAR($A487)&amp;"Q"&amp;ROUNDUP(IFERROR(MONTH($A487)/3,0),0))</f>
      </c>
    </row>
    <row r="488" spans="10:11" x14ac:dyDescent="0.25">
      <c r="J488" s="40">
        <f>IF($A488="","",$A488-WEEKDAY($A488,1)+1)</f>
      </c>
      <c r="K488" s="42">
        <f>IF($A488="","",YEAR($A488)&amp;"Q"&amp;ROUNDUP(IFERROR(MONTH($A488)/3,0),0))</f>
      </c>
    </row>
    <row r="489" spans="10:11" x14ac:dyDescent="0.25">
      <c r="J489" s="40">
        <f>IF($A489="","",$A489-WEEKDAY($A489,1)+1)</f>
      </c>
      <c r="K489" s="42">
        <f>IF($A489="","",YEAR($A489)&amp;"Q"&amp;ROUNDUP(IFERROR(MONTH($A489)/3,0),0))</f>
      </c>
    </row>
    <row r="490" spans="10:11" x14ac:dyDescent="0.25">
      <c r="J490" s="40">
        <f>IF($A490="","",$A490-WEEKDAY($A490,1)+1)</f>
      </c>
      <c r="K490" s="42">
        <f>IF($A490="","",YEAR($A490)&amp;"Q"&amp;ROUNDUP(IFERROR(MONTH($A490)/3,0),0))</f>
      </c>
    </row>
    <row r="491" spans="10:11" x14ac:dyDescent="0.25">
      <c r="J491" s="40">
        <f>IF($A491="","",$A491-WEEKDAY($A491,1)+1)</f>
      </c>
      <c r="K491" s="42">
        <f>IF($A491="","",YEAR($A491)&amp;"Q"&amp;ROUNDUP(IFERROR(MONTH($A491)/3,0),0))</f>
      </c>
    </row>
    <row r="492" spans="10:11" x14ac:dyDescent="0.25">
      <c r="J492" s="40">
        <f>IF($A492="","",$A492-WEEKDAY($A492,1)+1)</f>
      </c>
      <c r="K492" s="42">
        <f>IF($A492="","",YEAR($A492)&amp;"Q"&amp;ROUNDUP(IFERROR(MONTH($A492)/3,0),0))</f>
      </c>
    </row>
    <row r="493" spans="10:11" x14ac:dyDescent="0.25">
      <c r="J493" s="40">
        <f>IF($A493="","",$A493-WEEKDAY($A493,1)+1)</f>
      </c>
      <c r="K493" s="42">
        <f>IF($A493="","",YEAR($A493)&amp;"Q"&amp;ROUNDUP(IFERROR(MONTH($A493)/3,0),0))</f>
      </c>
    </row>
    <row r="494" spans="10:11" x14ac:dyDescent="0.25">
      <c r="J494" s="40">
        <f>IF($A494="","",$A494-WEEKDAY($A494,1)+1)</f>
      </c>
      <c r="K494" s="42">
        <f>IF($A494="","",YEAR($A494)&amp;"Q"&amp;ROUNDUP(IFERROR(MONTH($A494)/3,0),0))</f>
      </c>
    </row>
    <row r="495" spans="10:11" x14ac:dyDescent="0.25">
      <c r="J495" s="40">
        <f>IF($A495="","",$A495-WEEKDAY($A495,1)+1)</f>
      </c>
      <c r="K495" s="42">
        <f>IF($A495="","",YEAR($A495)&amp;"Q"&amp;ROUNDUP(IFERROR(MONTH($A495)/3,0),0))</f>
      </c>
    </row>
    <row r="496" spans="10:11" x14ac:dyDescent="0.25">
      <c r="J496" s="40">
        <f>IF($A496="","",$A496-WEEKDAY($A496,1)+1)</f>
      </c>
      <c r="K496" s="42">
        <f>IF($A496="","",YEAR($A496)&amp;"Q"&amp;ROUNDUP(IFERROR(MONTH($A496)/3,0),0))</f>
      </c>
    </row>
    <row r="497" spans="10:11" x14ac:dyDescent="0.25">
      <c r="J497" s="40">
        <f>IF($A497="","",$A497-WEEKDAY($A497,1)+1)</f>
      </c>
      <c r="K497" s="42">
        <f>IF($A497="","",YEAR($A497)&amp;"Q"&amp;ROUNDUP(IFERROR(MONTH($A497)/3,0),0))</f>
      </c>
    </row>
    <row r="498" spans="10:11" x14ac:dyDescent="0.25">
      <c r="J498" s="40">
        <f>IF($A498="","",$A498-WEEKDAY($A498,1)+1)</f>
      </c>
      <c r="K498" s="42">
        <f>IF($A498="","",YEAR($A498)&amp;"Q"&amp;ROUNDUP(IFERROR(MONTH($A498)/3,0),0))</f>
      </c>
    </row>
    <row r="499" spans="10:11" x14ac:dyDescent="0.25">
      <c r="J499" s="40">
        <f>IF($A499="","",$A499-WEEKDAY($A499,1)+1)</f>
      </c>
      <c r="K499" s="42">
        <f>IF($A499="","",YEAR($A499)&amp;"Q"&amp;ROUNDUP(IFERROR(MONTH($A499)/3,0),0))</f>
      </c>
    </row>
    <row r="500" spans="10:11" x14ac:dyDescent="0.25">
      <c r="J500" s="40">
        <f>IF($A500="","",$A500-WEEKDAY($A500,1)+1)</f>
      </c>
      <c r="K500" s="42">
        <f>IF($A500="","",YEAR($A500)&amp;"Q"&amp;ROUNDUP(IFERROR(MONTH($A500)/3,0),0))</f>
      </c>
    </row>
    <row r="501" spans="10:11" x14ac:dyDescent="0.25">
      <c r="J501" s="40">
        <f>IF($A501="","",$A501-WEEKDAY($A501,1)+1)</f>
      </c>
      <c r="K501" s="42">
        <f>IF($A501="","",YEAR($A501)&amp;"Q"&amp;ROUNDUP(IFERROR(MONTH($A501)/3,0),0))</f>
      </c>
    </row>
    <row r="502" spans="10:11" x14ac:dyDescent="0.25">
      <c r="J502" s="40">
        <f>IF($A502="","",$A502-WEEKDAY($A502,1)+1)</f>
      </c>
      <c r="K502" s="42">
        <f>IF($A502="","",YEAR($A502)&amp;"Q"&amp;ROUNDUP(IFERROR(MONTH($A502)/3,0),0))</f>
      </c>
    </row>
    <row r="503" spans="10:11" x14ac:dyDescent="0.25">
      <c r="J503" s="40">
        <f>IF($A503="","",$A503-WEEKDAY($A503,1)+1)</f>
      </c>
      <c r="K503" s="42">
        <f>IF($A503="","",YEAR($A503)&amp;"Q"&amp;ROUNDUP(IFERROR(MONTH($A503)/3,0),0))</f>
      </c>
    </row>
    <row r="504" spans="10:11" x14ac:dyDescent="0.25">
      <c r="J504" s="40">
        <f>IF($A504="","",$A504-WEEKDAY($A504,1)+1)</f>
      </c>
      <c r="K504" s="42">
        <f>IF($A504="","",YEAR($A504)&amp;"Q"&amp;ROUNDUP(IFERROR(MONTH($A504)/3,0),0))</f>
      </c>
    </row>
    <row r="505" spans="10:11" x14ac:dyDescent="0.25">
      <c r="J505" s="40">
        <f>IF($A505="","",$A505-WEEKDAY($A505,1)+1)</f>
      </c>
      <c r="K505" s="42">
        <f>IF($A505="","",YEAR($A505)&amp;"Q"&amp;ROUNDUP(IFERROR(MONTH($A505)/3,0),0))</f>
      </c>
    </row>
    <row r="506" spans="10:11" x14ac:dyDescent="0.25">
      <c r="J506" s="40">
        <f>IF($A506="","",$A506-WEEKDAY($A506,1)+1)</f>
      </c>
      <c r="K506" s="42">
        <f>IF($A506="","",YEAR($A506)&amp;"Q"&amp;ROUNDUP(IFERROR(MONTH($A506)/3,0),0))</f>
      </c>
    </row>
    <row r="507" spans="10:11" x14ac:dyDescent="0.25">
      <c r="J507" s="40">
        <f>IF($A507="","",$A507-WEEKDAY($A507,1)+1)</f>
      </c>
      <c r="K507" s="42">
        <f>IF($A507="","",YEAR($A507)&amp;"Q"&amp;ROUNDUP(IFERROR(MONTH($A507)/3,0),0))</f>
      </c>
    </row>
    <row r="508" spans="10:11" x14ac:dyDescent="0.25">
      <c r="J508" s="40">
        <f>IF($A508="","",$A508-WEEKDAY($A508,1)+1)</f>
      </c>
      <c r="K508" s="42">
        <f>IF($A508="","",YEAR($A508)&amp;"Q"&amp;ROUNDUP(IFERROR(MONTH($A508)/3,0),0))</f>
      </c>
    </row>
    <row r="509" spans="10:11" x14ac:dyDescent="0.25">
      <c r="J509" s="40">
        <f>IF($A509="","",$A509-WEEKDAY($A509,1)+1)</f>
      </c>
      <c r="K509" s="42">
        <f>IF($A509="","",YEAR($A509)&amp;"Q"&amp;ROUNDUP(IFERROR(MONTH($A509)/3,0),0))</f>
      </c>
    </row>
    <row r="510" spans="10:11" x14ac:dyDescent="0.25">
      <c r="J510" s="40">
        <f>IF($A510="","",$A510-WEEKDAY($A510,1)+1)</f>
      </c>
      <c r="K510" s="42">
        <f>IF($A510="","",YEAR($A510)&amp;"Q"&amp;ROUNDUP(IFERROR(MONTH($A510)/3,0),0))</f>
      </c>
    </row>
    <row r="511" spans="10:11" x14ac:dyDescent="0.25">
      <c r="J511" s="40">
        <f>IF($A511="","",$A511-WEEKDAY($A511,1)+1)</f>
      </c>
      <c r="K511" s="42">
        <f>IF($A511="","",YEAR($A511)&amp;"Q"&amp;ROUNDUP(IFERROR(MONTH($A511)/3,0),0))</f>
      </c>
    </row>
    <row r="512" spans="10:11" x14ac:dyDescent="0.25">
      <c r="J512" s="40">
        <f>IF($A512="","",$A512-WEEKDAY($A512,1)+1)</f>
      </c>
      <c r="K512" s="42">
        <f>IF($A512="","",YEAR($A512)&amp;"Q"&amp;ROUNDUP(IFERROR(MONTH($A512)/3,0),0))</f>
      </c>
    </row>
    <row r="513" spans="10:11" x14ac:dyDescent="0.25">
      <c r="J513" s="40">
        <f>IF($A513="","",$A513-WEEKDAY($A513,1)+1)</f>
      </c>
      <c r="K513" s="42">
        <f>IF($A513="","",YEAR($A513)&amp;"Q"&amp;ROUNDUP(IFERROR(MONTH($A513)/3,0),0))</f>
      </c>
    </row>
    <row r="514" spans="10:11" x14ac:dyDescent="0.25">
      <c r="J514" s="40">
        <f>IF($A514="","",$A514-WEEKDAY($A514,1)+1)</f>
      </c>
      <c r="K514" s="42">
        <f>IF($A514="","",YEAR($A514)&amp;"Q"&amp;ROUNDUP(IFERROR(MONTH($A514)/3,0),0))</f>
      </c>
    </row>
    <row r="515" spans="10:11" x14ac:dyDescent="0.25">
      <c r="J515" s="40">
        <f>IF($A515="","",$A515-WEEKDAY($A515,1)+1)</f>
      </c>
      <c r="K515" s="42">
        <f>IF($A515="","",YEAR($A515)&amp;"Q"&amp;ROUNDUP(IFERROR(MONTH($A515)/3,0),0))</f>
      </c>
    </row>
    <row r="516" spans="10:11" x14ac:dyDescent="0.25">
      <c r="J516" s="40">
        <f>IF($A516="","",$A516-WEEKDAY($A516,1)+1)</f>
      </c>
      <c r="K516" s="42">
        <f>IF($A516="","",YEAR($A516)&amp;"Q"&amp;ROUNDUP(IFERROR(MONTH($A516)/3,0),0))</f>
      </c>
    </row>
    <row r="517" spans="10:11" x14ac:dyDescent="0.25">
      <c r="J517" s="40">
        <f>IF($A517="","",$A517-WEEKDAY($A517,1)+1)</f>
      </c>
      <c r="K517" s="42">
        <f>IF($A517="","",YEAR($A517)&amp;"Q"&amp;ROUNDUP(IFERROR(MONTH($A517)/3,0),0))</f>
      </c>
    </row>
    <row r="518" spans="10:11" x14ac:dyDescent="0.25">
      <c r="J518" s="40">
        <f>IF($A518="","",$A518-WEEKDAY($A518,1)+1)</f>
      </c>
      <c r="K518" s="42">
        <f>IF($A518="","",YEAR($A518)&amp;"Q"&amp;ROUNDUP(IFERROR(MONTH($A518)/3,0),0))</f>
      </c>
    </row>
    <row r="519" spans="10:11" x14ac:dyDescent="0.25">
      <c r="J519" s="40">
        <f>IF($A519="","",$A519-WEEKDAY($A519,1)+1)</f>
      </c>
      <c r="K519" s="42">
        <f>IF($A519="","",YEAR($A519)&amp;"Q"&amp;ROUNDUP(IFERROR(MONTH($A519)/3,0),0))</f>
      </c>
    </row>
    <row r="520" spans="10:11" x14ac:dyDescent="0.25">
      <c r="J520" s="40">
        <f>IF($A520="","",$A520-WEEKDAY($A520,1)+1)</f>
      </c>
      <c r="K520" s="42">
        <f>IF($A520="","",YEAR($A520)&amp;"Q"&amp;ROUNDUP(IFERROR(MONTH($A520)/3,0),0))</f>
      </c>
    </row>
    <row r="521" spans="10:11" x14ac:dyDescent="0.25">
      <c r="J521" s="40">
        <f>IF($A521="","",$A521-WEEKDAY($A521,1)+1)</f>
      </c>
      <c r="K521" s="42">
        <f>IF($A521="","",YEAR($A521)&amp;"Q"&amp;ROUNDUP(IFERROR(MONTH($A521)/3,0),0))</f>
      </c>
    </row>
    <row r="522" spans="10:11" x14ac:dyDescent="0.25">
      <c r="J522" s="40">
        <f>IF($A522="","",$A522-WEEKDAY($A522,1)+1)</f>
      </c>
      <c r="K522" s="42">
        <f>IF($A522="","",YEAR($A522)&amp;"Q"&amp;ROUNDUP(IFERROR(MONTH($A522)/3,0),0))</f>
      </c>
    </row>
    <row r="523" spans="10:11" x14ac:dyDescent="0.25">
      <c r="J523" s="40">
        <f>IF($A523="","",$A523-WEEKDAY($A523,1)+1)</f>
      </c>
      <c r="K523" s="42">
        <f>IF($A523="","",YEAR($A523)&amp;"Q"&amp;ROUNDUP(IFERROR(MONTH($A523)/3,0),0))</f>
      </c>
    </row>
    <row r="524" spans="10:11" x14ac:dyDescent="0.25">
      <c r="J524" s="40">
        <f>IF($A524="","",$A524-WEEKDAY($A524,1)+1)</f>
      </c>
      <c r="K524" s="42">
        <f>IF($A524="","",YEAR($A524)&amp;"Q"&amp;ROUNDUP(IFERROR(MONTH($A524)/3,0),0))</f>
      </c>
    </row>
    <row r="525" spans="10:11" x14ac:dyDescent="0.25">
      <c r="J525" s="40">
        <f>IF($A525="","",$A525-WEEKDAY($A525,1)+1)</f>
      </c>
      <c r="K525" s="42">
        <f>IF($A525="","",YEAR($A525)&amp;"Q"&amp;ROUNDUP(IFERROR(MONTH($A525)/3,0),0))</f>
      </c>
    </row>
    <row r="526" spans="10:11" x14ac:dyDescent="0.25">
      <c r="J526" s="40">
        <f>IF($A526="","",$A526-WEEKDAY($A526,1)+1)</f>
      </c>
      <c r="K526" s="42">
        <f>IF($A526="","",YEAR($A526)&amp;"Q"&amp;ROUNDUP(IFERROR(MONTH($A526)/3,0),0))</f>
      </c>
    </row>
    <row r="527" spans="10:11" x14ac:dyDescent="0.25">
      <c r="J527" s="40">
        <f>IF($A527="","",$A527-WEEKDAY($A527,1)+1)</f>
      </c>
      <c r="K527" s="42">
        <f>IF($A527="","",YEAR($A527)&amp;"Q"&amp;ROUNDUP(IFERROR(MONTH($A527)/3,0),0))</f>
      </c>
    </row>
    <row r="528" spans="10:11" x14ac:dyDescent="0.25">
      <c r="J528" s="40">
        <f>IF($A528="","",$A528-WEEKDAY($A528,1)+1)</f>
      </c>
      <c r="K528" s="42">
        <f>IF($A528="","",YEAR($A528)&amp;"Q"&amp;ROUNDUP(IFERROR(MONTH($A528)/3,0),0))</f>
      </c>
    </row>
    <row r="529" spans="10:11" x14ac:dyDescent="0.25">
      <c r="J529" s="40">
        <f>IF($A529="","",$A529-WEEKDAY($A529,1)+1)</f>
      </c>
      <c r="K529" s="42">
        <f>IF($A529="","",YEAR($A529)&amp;"Q"&amp;ROUNDUP(IFERROR(MONTH($A529)/3,0),0))</f>
      </c>
    </row>
    <row r="530" spans="10:11" x14ac:dyDescent="0.25">
      <c r="J530" s="40">
        <f>IF($A530="","",$A530-WEEKDAY($A530,1)+1)</f>
      </c>
      <c r="K530" s="42">
        <f>IF($A530="","",YEAR($A530)&amp;"Q"&amp;ROUNDUP(IFERROR(MONTH($A530)/3,0),0))</f>
      </c>
    </row>
    <row r="531" spans="10:11" x14ac:dyDescent="0.25">
      <c r="J531" s="40">
        <f>IF($A531="","",$A531-WEEKDAY($A531,1)+1)</f>
      </c>
      <c r="K531" s="42">
        <f>IF($A531="","",YEAR($A531)&amp;"Q"&amp;ROUNDUP(IFERROR(MONTH($A531)/3,0),0))</f>
      </c>
    </row>
    <row r="532" spans="10:11" x14ac:dyDescent="0.25">
      <c r="J532" s="40">
        <f>IF($A532="","",$A532-WEEKDAY($A532,1)+1)</f>
      </c>
      <c r="K532" s="42">
        <f>IF($A532="","",YEAR($A532)&amp;"Q"&amp;ROUNDUP(IFERROR(MONTH($A532)/3,0),0))</f>
      </c>
    </row>
    <row r="533" spans="10:11" x14ac:dyDescent="0.25">
      <c r="J533" s="40">
        <f>IF($A533="","",$A533-WEEKDAY($A533,1)+1)</f>
      </c>
      <c r="K533" s="42">
        <f>IF($A533="","",YEAR($A533)&amp;"Q"&amp;ROUNDUP(IFERROR(MONTH($A533)/3,0),0))</f>
      </c>
    </row>
    <row r="534" spans="10:11" x14ac:dyDescent="0.25">
      <c r="J534" s="40">
        <f>IF($A534="","",$A534-WEEKDAY($A534,1)+1)</f>
      </c>
      <c r="K534" s="42">
        <f>IF($A534="","",YEAR($A534)&amp;"Q"&amp;ROUNDUP(IFERROR(MONTH($A534)/3,0),0))</f>
      </c>
    </row>
    <row r="535" spans="10:11" x14ac:dyDescent="0.25">
      <c r="J535" s="40">
        <f>IF($A535="","",$A535-WEEKDAY($A535,1)+1)</f>
      </c>
      <c r="K535" s="42">
        <f>IF($A535="","",YEAR($A535)&amp;"Q"&amp;ROUNDUP(IFERROR(MONTH($A535)/3,0),0))</f>
      </c>
    </row>
    <row r="536" spans="10:11" x14ac:dyDescent="0.25">
      <c r="J536" s="40">
        <f>IF($A536="","",$A536-WEEKDAY($A536,1)+1)</f>
      </c>
      <c r="K536" s="42">
        <f>IF($A536="","",YEAR($A536)&amp;"Q"&amp;ROUNDUP(IFERROR(MONTH($A536)/3,0),0))</f>
      </c>
    </row>
    <row r="537" spans="10:11" x14ac:dyDescent="0.25">
      <c r="J537" s="40">
        <f>IF($A537="","",$A537-WEEKDAY($A537,1)+1)</f>
      </c>
      <c r="K537" s="42">
        <f>IF($A537="","",YEAR($A537)&amp;"Q"&amp;ROUNDUP(IFERROR(MONTH($A537)/3,0),0))</f>
      </c>
    </row>
    <row r="538" spans="10:11" x14ac:dyDescent="0.25">
      <c r="J538" s="40">
        <f>IF($A538="","",$A538-WEEKDAY($A538,1)+1)</f>
      </c>
      <c r="K538" s="42">
        <f>IF($A538="","",YEAR($A538)&amp;"Q"&amp;ROUNDUP(IFERROR(MONTH($A538)/3,0),0))</f>
      </c>
    </row>
    <row r="539" spans="10:11" x14ac:dyDescent="0.25">
      <c r="J539" s="40">
        <f>IF($A539="","",$A539-WEEKDAY($A539,1)+1)</f>
      </c>
      <c r="K539" s="42">
        <f>IF($A539="","",YEAR($A539)&amp;"Q"&amp;ROUNDUP(IFERROR(MONTH($A539)/3,0),0))</f>
      </c>
    </row>
    <row r="540" spans="10:11" x14ac:dyDescent="0.25">
      <c r="J540" s="40">
        <f>IF($A540="","",$A540-WEEKDAY($A540,1)+1)</f>
      </c>
      <c r="K540" s="42">
        <f>IF($A540="","",YEAR($A540)&amp;"Q"&amp;ROUNDUP(IFERROR(MONTH($A540)/3,0),0))</f>
      </c>
    </row>
    <row r="541" spans="10:11" x14ac:dyDescent="0.25">
      <c r="J541" s="40">
        <f>IF($A541="","",$A541-WEEKDAY($A541,1)+1)</f>
      </c>
      <c r="K541" s="42">
        <f>IF($A541="","",YEAR($A541)&amp;"Q"&amp;ROUNDUP(IFERROR(MONTH($A541)/3,0),0))</f>
      </c>
    </row>
    <row r="542" spans="10:11" x14ac:dyDescent="0.25">
      <c r="J542" s="40">
        <f>IF($A542="","",$A542-WEEKDAY($A542,1)+1)</f>
      </c>
      <c r="K542" s="42">
        <f>IF($A542="","",YEAR($A542)&amp;"Q"&amp;ROUNDUP(IFERROR(MONTH($A542)/3,0),0))</f>
      </c>
    </row>
    <row r="543" spans="10:11" x14ac:dyDescent="0.25">
      <c r="J543" s="40">
        <f>IF($A543="","",$A543-WEEKDAY($A543,1)+1)</f>
      </c>
      <c r="K543" s="42">
        <f>IF($A543="","",YEAR($A543)&amp;"Q"&amp;ROUNDUP(IFERROR(MONTH($A543)/3,0),0))</f>
      </c>
    </row>
    <row r="544" spans="10:11" x14ac:dyDescent="0.25">
      <c r="J544" s="40">
        <f>IF($A544="","",$A544-WEEKDAY($A544,1)+1)</f>
      </c>
      <c r="K544" s="42">
        <f>IF($A544="","",YEAR($A544)&amp;"Q"&amp;ROUNDUP(IFERROR(MONTH($A544)/3,0),0))</f>
      </c>
    </row>
    <row r="545" spans="10:11" x14ac:dyDescent="0.25">
      <c r="J545" s="40">
        <f>IF($A545="","",$A545-WEEKDAY($A545,1)+1)</f>
      </c>
      <c r="K545" s="42">
        <f>IF($A545="","",YEAR($A545)&amp;"Q"&amp;ROUNDUP(IFERROR(MONTH($A545)/3,0),0))</f>
      </c>
    </row>
    <row r="546" spans="10:11" x14ac:dyDescent="0.25">
      <c r="J546" s="40">
        <f>IF($A546="","",$A546-WEEKDAY($A546,1)+1)</f>
      </c>
      <c r="K546" s="42">
        <f>IF($A546="","",YEAR($A546)&amp;"Q"&amp;ROUNDUP(IFERROR(MONTH($A546)/3,0),0))</f>
      </c>
    </row>
    <row r="547" spans="10:11" x14ac:dyDescent="0.25">
      <c r="J547" s="40">
        <f>IF($A547="","",$A547-WEEKDAY($A547,1)+1)</f>
      </c>
      <c r="K547" s="42">
        <f>IF($A547="","",YEAR($A547)&amp;"Q"&amp;ROUNDUP(IFERROR(MONTH($A547)/3,0),0))</f>
      </c>
    </row>
    <row r="548" spans="10:11" x14ac:dyDescent="0.25">
      <c r="J548" s="40">
        <f>IF($A548="","",$A548-WEEKDAY($A548,1)+1)</f>
      </c>
      <c r="K548" s="42">
        <f>IF($A548="","",YEAR($A548)&amp;"Q"&amp;ROUNDUP(IFERROR(MONTH($A548)/3,0),0))</f>
      </c>
    </row>
    <row r="549" spans="10:11" x14ac:dyDescent="0.25">
      <c r="J549" s="40">
        <f>IF($A549="","",$A549-WEEKDAY($A549,1)+1)</f>
      </c>
      <c r="K549" s="42">
        <f>IF($A549="","",YEAR($A549)&amp;"Q"&amp;ROUNDUP(IFERROR(MONTH($A549)/3,0),0))</f>
      </c>
    </row>
    <row r="550" spans="10:11" x14ac:dyDescent="0.25">
      <c r="J550" s="40">
        <f>IF($A550="","",$A550-WEEKDAY($A550,1)+1)</f>
      </c>
      <c r="K550" s="42">
        <f>IF($A550="","",YEAR($A550)&amp;"Q"&amp;ROUNDUP(IFERROR(MONTH($A550)/3,0),0))</f>
      </c>
    </row>
    <row r="551" spans="10:11" x14ac:dyDescent="0.25">
      <c r="J551" s="40">
        <f>IF($A551="","",$A551-WEEKDAY($A551,1)+1)</f>
      </c>
      <c r="K551" s="42">
        <f>IF($A551="","",YEAR($A551)&amp;"Q"&amp;ROUNDUP(IFERROR(MONTH($A551)/3,0),0))</f>
      </c>
    </row>
    <row r="552" spans="10:11" x14ac:dyDescent="0.25">
      <c r="J552" s="40">
        <f>IF($A552="","",$A552-WEEKDAY($A552,1)+1)</f>
      </c>
      <c r="K552" s="42">
        <f>IF($A552="","",YEAR($A552)&amp;"Q"&amp;ROUNDUP(IFERROR(MONTH($A552)/3,0),0))</f>
      </c>
    </row>
    <row r="553" spans="10:11" x14ac:dyDescent="0.25">
      <c r="J553" s="40">
        <f>IF($A553="","",$A553-WEEKDAY($A553,1)+1)</f>
      </c>
      <c r="K553" s="42">
        <f>IF($A553="","",YEAR($A553)&amp;"Q"&amp;ROUNDUP(IFERROR(MONTH($A553)/3,0),0))</f>
      </c>
    </row>
    <row r="554" spans="10:11" x14ac:dyDescent="0.25">
      <c r="J554" s="40">
        <f>IF($A554="","",$A554-WEEKDAY($A554,1)+1)</f>
      </c>
      <c r="K554" s="42">
        <f>IF($A554="","",YEAR($A554)&amp;"Q"&amp;ROUNDUP(IFERROR(MONTH($A554)/3,0),0))</f>
      </c>
    </row>
    <row r="555" spans="10:11" x14ac:dyDescent="0.25">
      <c r="J555" s="40">
        <f>IF($A555="","",$A555-WEEKDAY($A555,1)+1)</f>
      </c>
      <c r="K555" s="42">
        <f>IF($A555="","",YEAR($A555)&amp;"Q"&amp;ROUNDUP(IFERROR(MONTH($A555)/3,0),0))</f>
      </c>
    </row>
    <row r="556" spans="10:11" x14ac:dyDescent="0.25">
      <c r="J556" s="40">
        <f>IF($A556="","",$A556-WEEKDAY($A556,1)+1)</f>
      </c>
      <c r="K556" s="42">
        <f>IF($A556="","",YEAR($A556)&amp;"Q"&amp;ROUNDUP(IFERROR(MONTH($A556)/3,0),0))</f>
      </c>
    </row>
    <row r="557" spans="10:11" x14ac:dyDescent="0.25">
      <c r="J557" s="40">
        <f>IF($A557="","",$A557-WEEKDAY($A557,1)+1)</f>
      </c>
      <c r="K557" s="42">
        <f>IF($A557="","",YEAR($A557)&amp;"Q"&amp;ROUNDUP(IFERROR(MONTH($A557)/3,0),0))</f>
      </c>
    </row>
    <row r="558" spans="10:11" x14ac:dyDescent="0.25">
      <c r="J558" s="40">
        <f>IF($A558="","",$A558-WEEKDAY($A558,1)+1)</f>
      </c>
      <c r="K558" s="42">
        <f>IF($A558="","",YEAR($A558)&amp;"Q"&amp;ROUNDUP(IFERROR(MONTH($A558)/3,0),0))</f>
      </c>
    </row>
    <row r="559" spans="10:11" x14ac:dyDescent="0.25">
      <c r="J559" s="40">
        <f>IF($A559="","",$A559-WEEKDAY($A559,1)+1)</f>
      </c>
      <c r="K559" s="42">
        <f>IF($A559="","",YEAR($A559)&amp;"Q"&amp;ROUNDUP(IFERROR(MONTH($A559)/3,0),0))</f>
      </c>
    </row>
    <row r="560" spans="10:11" x14ac:dyDescent="0.25">
      <c r="J560" s="40">
        <f>IF($A560="","",$A560-WEEKDAY($A560,1)+1)</f>
      </c>
      <c r="K560" s="42">
        <f>IF($A560="","",YEAR($A560)&amp;"Q"&amp;ROUNDUP(IFERROR(MONTH($A560)/3,0),0))</f>
      </c>
    </row>
    <row r="561" spans="10:11" x14ac:dyDescent="0.25">
      <c r="J561" s="40">
        <f>IF($A561="","",$A561-WEEKDAY($A561,1)+1)</f>
      </c>
      <c r="K561" s="42">
        <f>IF($A561="","",YEAR($A561)&amp;"Q"&amp;ROUNDUP(IFERROR(MONTH($A561)/3,0),0))</f>
      </c>
    </row>
    <row r="562" spans="10:11" x14ac:dyDescent="0.25">
      <c r="J562" s="40">
        <f>IF($A562="","",$A562-WEEKDAY($A562,1)+1)</f>
      </c>
      <c r="K562" s="42">
        <f>IF($A562="","",YEAR($A562)&amp;"Q"&amp;ROUNDUP(IFERROR(MONTH($A562)/3,0),0))</f>
      </c>
    </row>
    <row r="563" spans="10:11" x14ac:dyDescent="0.25">
      <c r="J563" s="40">
        <f>IF($A563="","",$A563-WEEKDAY($A563,1)+1)</f>
      </c>
      <c r="K563" s="42">
        <f>IF($A563="","",YEAR($A563)&amp;"Q"&amp;ROUNDUP(IFERROR(MONTH($A563)/3,0),0))</f>
      </c>
    </row>
    <row r="564" spans="10:11" x14ac:dyDescent="0.25">
      <c r="J564" s="40">
        <f>IF($A564="","",$A564-WEEKDAY($A564,1)+1)</f>
      </c>
      <c r="K564" s="42">
        <f>IF($A564="","",YEAR($A564)&amp;"Q"&amp;ROUNDUP(IFERROR(MONTH($A564)/3,0),0))</f>
      </c>
    </row>
    <row r="565" spans="10:11" x14ac:dyDescent="0.25">
      <c r="J565" s="40">
        <f>IF($A565="","",$A565-WEEKDAY($A565,1)+1)</f>
      </c>
      <c r="K565" s="42">
        <f>IF($A565="","",YEAR($A565)&amp;"Q"&amp;ROUNDUP(IFERROR(MONTH($A565)/3,0),0))</f>
      </c>
    </row>
    <row r="566" spans="10:11" x14ac:dyDescent="0.25">
      <c r="J566" s="40">
        <f>IF($A566="","",$A566-WEEKDAY($A566,1)+1)</f>
      </c>
      <c r="K566" s="42">
        <f>IF($A566="","",YEAR($A566)&amp;"Q"&amp;ROUNDUP(IFERROR(MONTH($A566)/3,0),0))</f>
      </c>
    </row>
    <row r="567" spans="10:11" x14ac:dyDescent="0.25">
      <c r="J567" s="40">
        <f>IF($A567="","",$A567-WEEKDAY($A567,1)+1)</f>
      </c>
      <c r="K567" s="42">
        <f>IF($A567="","",YEAR($A567)&amp;"Q"&amp;ROUNDUP(IFERROR(MONTH($A567)/3,0),0))</f>
      </c>
    </row>
    <row r="568" spans="10:11" x14ac:dyDescent="0.25">
      <c r="J568" s="40">
        <f>IF($A568="","",$A568-WEEKDAY($A568,1)+1)</f>
      </c>
      <c r="K568" s="42">
        <f>IF($A568="","",YEAR($A568)&amp;"Q"&amp;ROUNDUP(IFERROR(MONTH($A568)/3,0),0))</f>
      </c>
    </row>
    <row r="569" spans="10:11" x14ac:dyDescent="0.25">
      <c r="J569" s="40">
        <f>IF($A569="","",$A569-WEEKDAY($A569,1)+1)</f>
      </c>
      <c r="K569" s="42">
        <f>IF($A569="","",YEAR($A569)&amp;"Q"&amp;ROUNDUP(IFERROR(MONTH($A569)/3,0),0))</f>
      </c>
    </row>
    <row r="570" spans="10:11" x14ac:dyDescent="0.25">
      <c r="J570" s="40">
        <f>IF($A570="","",$A570-WEEKDAY($A570,1)+1)</f>
      </c>
      <c r="K570" s="42">
        <f>IF($A570="","",YEAR($A570)&amp;"Q"&amp;ROUNDUP(IFERROR(MONTH($A570)/3,0),0))</f>
      </c>
    </row>
    <row r="571" spans="10:11" x14ac:dyDescent="0.25">
      <c r="J571" s="40">
        <f>IF($A571="","",$A571-WEEKDAY($A571,1)+1)</f>
      </c>
      <c r="K571" s="42">
        <f>IF($A571="","",YEAR($A571)&amp;"Q"&amp;ROUNDUP(IFERROR(MONTH($A571)/3,0),0))</f>
      </c>
    </row>
    <row r="572" spans="10:11" x14ac:dyDescent="0.25">
      <c r="J572" s="40">
        <f>IF($A572="","",$A572-WEEKDAY($A572,1)+1)</f>
      </c>
      <c r="K572" s="42">
        <f>IF($A572="","",YEAR($A572)&amp;"Q"&amp;ROUNDUP(IFERROR(MONTH($A572)/3,0),0))</f>
      </c>
    </row>
    <row r="573" spans="10:11" x14ac:dyDescent="0.25">
      <c r="J573" s="40">
        <f>IF($A573="","",$A573-WEEKDAY($A573,1)+1)</f>
      </c>
      <c r="K573" s="42">
        <f>IF($A573="","",YEAR($A573)&amp;"Q"&amp;ROUNDUP(IFERROR(MONTH($A573)/3,0),0))</f>
      </c>
    </row>
    <row r="574" spans="10:11" x14ac:dyDescent="0.25">
      <c r="J574" s="40">
        <f>IF($A574="","",$A574-WEEKDAY($A574,1)+1)</f>
      </c>
      <c r="K574" s="42">
        <f>IF($A574="","",YEAR($A574)&amp;"Q"&amp;ROUNDUP(IFERROR(MONTH($A574)/3,0),0))</f>
      </c>
    </row>
    <row r="575" spans="10:11" x14ac:dyDescent="0.25">
      <c r="J575" s="40">
        <f>IF($A575="","",$A575-WEEKDAY($A575,1)+1)</f>
      </c>
      <c r="K575" s="42">
        <f>IF($A575="","",YEAR($A575)&amp;"Q"&amp;ROUNDUP(IFERROR(MONTH($A575)/3,0),0))</f>
      </c>
    </row>
    <row r="576" spans="10:11" x14ac:dyDescent="0.25">
      <c r="J576" s="40">
        <f>IF($A576="","",$A576-WEEKDAY($A576,1)+1)</f>
      </c>
      <c r="K576" s="42">
        <f>IF($A576="","",YEAR($A576)&amp;"Q"&amp;ROUNDUP(IFERROR(MONTH($A576)/3,0),0))</f>
      </c>
    </row>
    <row r="577" spans="10:11" x14ac:dyDescent="0.25">
      <c r="J577" s="40">
        <f>IF($A577="","",$A577-WEEKDAY($A577,1)+1)</f>
      </c>
      <c r="K577" s="42">
        <f>IF($A577="","",YEAR($A577)&amp;"Q"&amp;ROUNDUP(IFERROR(MONTH($A577)/3,0),0))</f>
      </c>
    </row>
    <row r="578" spans="10:11" x14ac:dyDescent="0.25">
      <c r="J578" s="40">
        <f>IF($A578="","",$A578-WEEKDAY($A578,1)+1)</f>
      </c>
      <c r="K578" s="42">
        <f>IF($A578="","",YEAR($A578)&amp;"Q"&amp;ROUNDUP(IFERROR(MONTH($A578)/3,0),0))</f>
      </c>
    </row>
    <row r="579" spans="10:11" x14ac:dyDescent="0.25">
      <c r="J579" s="40">
        <f>IF($A579="","",$A579-WEEKDAY($A579,1)+1)</f>
      </c>
      <c r="K579" s="42">
        <f>IF($A579="","",YEAR($A579)&amp;"Q"&amp;ROUNDUP(IFERROR(MONTH($A579)/3,0),0))</f>
      </c>
    </row>
    <row r="580" spans="10:11" x14ac:dyDescent="0.25">
      <c r="J580" s="40">
        <f>IF($A580="","",$A580-WEEKDAY($A580,1)+1)</f>
      </c>
      <c r="K580" s="42">
        <f>IF($A580="","",YEAR($A580)&amp;"Q"&amp;ROUNDUP(IFERROR(MONTH($A580)/3,0),0))</f>
      </c>
    </row>
    <row r="581" spans="10:11" x14ac:dyDescent="0.25">
      <c r="J581" s="40">
        <f>IF($A581="","",$A581-WEEKDAY($A581,1)+1)</f>
      </c>
      <c r="K581" s="42">
        <f>IF($A581="","",YEAR($A581)&amp;"Q"&amp;ROUNDUP(IFERROR(MONTH($A581)/3,0),0))</f>
      </c>
    </row>
    <row r="582" spans="10:11" x14ac:dyDescent="0.25">
      <c r="J582" s="40">
        <f>IF($A582="","",$A582-WEEKDAY($A582,1)+1)</f>
      </c>
      <c r="K582" s="42">
        <f>IF($A582="","",YEAR($A582)&amp;"Q"&amp;ROUNDUP(IFERROR(MONTH($A582)/3,0),0))</f>
      </c>
    </row>
    <row r="583" spans="10:11" x14ac:dyDescent="0.25">
      <c r="J583" s="40">
        <f>IF($A583="","",$A583-WEEKDAY($A583,1)+1)</f>
      </c>
      <c r="K583" s="42">
        <f>IF($A583="","",YEAR($A583)&amp;"Q"&amp;ROUNDUP(IFERROR(MONTH($A583)/3,0),0))</f>
      </c>
    </row>
    <row r="584" spans="10:11" x14ac:dyDescent="0.25">
      <c r="J584" s="40">
        <f>IF($A584="","",$A584-WEEKDAY($A584,1)+1)</f>
      </c>
      <c r="K584" s="42">
        <f>IF($A584="","",YEAR($A584)&amp;"Q"&amp;ROUNDUP(IFERROR(MONTH($A584)/3,0),0))</f>
      </c>
    </row>
    <row r="585" spans="10:11" x14ac:dyDescent="0.25">
      <c r="J585" s="40">
        <f>IF($A585="","",$A585-WEEKDAY($A585,1)+1)</f>
      </c>
      <c r="K585" s="42">
        <f>IF($A585="","",YEAR($A585)&amp;"Q"&amp;ROUNDUP(IFERROR(MONTH($A585)/3,0),0))</f>
      </c>
    </row>
    <row r="586" spans="10:11" x14ac:dyDescent="0.25">
      <c r="J586" s="40">
        <f>IF($A586="","",$A586-WEEKDAY($A586,1)+1)</f>
      </c>
      <c r="K586" s="42">
        <f>IF($A586="","",YEAR($A586)&amp;"Q"&amp;ROUNDUP(IFERROR(MONTH($A586)/3,0),0))</f>
      </c>
    </row>
    <row r="587" spans="10:11" x14ac:dyDescent="0.25">
      <c r="J587" s="40">
        <f>IF($A587="","",$A587-WEEKDAY($A587,1)+1)</f>
      </c>
      <c r="K587" s="42">
        <f>IF($A587="","",YEAR($A587)&amp;"Q"&amp;ROUNDUP(IFERROR(MONTH($A587)/3,0),0))</f>
      </c>
    </row>
    <row r="588" spans="10:11" x14ac:dyDescent="0.25">
      <c r="J588" s="40">
        <f>IF($A588="","",$A588-WEEKDAY($A588,1)+1)</f>
      </c>
      <c r="K588" s="42">
        <f>IF($A588="","",YEAR($A588)&amp;"Q"&amp;ROUNDUP(IFERROR(MONTH($A588)/3,0),0))</f>
      </c>
    </row>
    <row r="589" spans="10:11" x14ac:dyDescent="0.25">
      <c r="J589" s="40">
        <f>IF($A589="","",$A589-WEEKDAY($A589,1)+1)</f>
      </c>
      <c r="K589" s="42">
        <f>IF($A589="","",YEAR($A589)&amp;"Q"&amp;ROUNDUP(IFERROR(MONTH($A589)/3,0),0))</f>
      </c>
    </row>
    <row r="590" spans="10:11" x14ac:dyDescent="0.25">
      <c r="J590" s="40">
        <f>IF($A590="","",$A590-WEEKDAY($A590,1)+1)</f>
      </c>
      <c r="K590" s="42">
        <f>IF($A590="","",YEAR($A590)&amp;"Q"&amp;ROUNDUP(IFERROR(MONTH($A590)/3,0),0))</f>
      </c>
    </row>
    <row r="591" spans="10:11" x14ac:dyDescent="0.25">
      <c r="J591" s="40">
        <f>IF($A591="","",$A591-WEEKDAY($A591,1)+1)</f>
      </c>
      <c r="K591" s="42">
        <f>IF($A591="","",YEAR($A591)&amp;"Q"&amp;ROUNDUP(IFERROR(MONTH($A591)/3,0),0))</f>
      </c>
    </row>
    <row r="592" spans="10:11" x14ac:dyDescent="0.25">
      <c r="J592" s="40">
        <f>IF($A592="","",$A592-WEEKDAY($A592,1)+1)</f>
      </c>
      <c r="K592" s="42">
        <f>IF($A592="","",YEAR($A592)&amp;"Q"&amp;ROUNDUP(IFERROR(MONTH($A592)/3,0),0))</f>
      </c>
    </row>
    <row r="593" spans="10:11" x14ac:dyDescent="0.25">
      <c r="J593" s="40">
        <f>IF($A593="","",$A593-WEEKDAY($A593,1)+1)</f>
      </c>
      <c r="K593" s="42">
        <f>IF($A593="","",YEAR($A593)&amp;"Q"&amp;ROUNDUP(IFERROR(MONTH($A593)/3,0),0))</f>
      </c>
    </row>
    <row r="594" spans="10:11" x14ac:dyDescent="0.25">
      <c r="J594" s="40">
        <f>IF($A594="","",$A594-WEEKDAY($A594,1)+1)</f>
      </c>
      <c r="K594" s="42">
        <f>IF($A594="","",YEAR($A594)&amp;"Q"&amp;ROUNDUP(IFERROR(MONTH($A594)/3,0),0))</f>
      </c>
    </row>
    <row r="595" spans="10:11" x14ac:dyDescent="0.25">
      <c r="J595" s="40">
        <f>IF($A595="","",$A595-WEEKDAY($A595,1)+1)</f>
      </c>
      <c r="K595" s="42">
        <f>IF($A595="","",YEAR($A595)&amp;"Q"&amp;ROUNDUP(IFERROR(MONTH($A595)/3,0),0))</f>
      </c>
    </row>
    <row r="596" spans="10:11" x14ac:dyDescent="0.25">
      <c r="J596" s="40">
        <f>IF($A596="","",$A596-WEEKDAY($A596,1)+1)</f>
      </c>
      <c r="K596" s="42">
        <f>IF($A596="","",YEAR($A596)&amp;"Q"&amp;ROUNDUP(IFERROR(MONTH($A596)/3,0),0))</f>
      </c>
    </row>
    <row r="597" spans="10:11" x14ac:dyDescent="0.25">
      <c r="J597" s="40">
        <f>IF($A597="","",$A597-WEEKDAY($A597,1)+1)</f>
      </c>
      <c r="K597" s="42">
        <f>IF($A597="","",YEAR($A597)&amp;"Q"&amp;ROUNDUP(IFERROR(MONTH($A597)/3,0),0))</f>
      </c>
    </row>
    <row r="598" spans="10:11" x14ac:dyDescent="0.25">
      <c r="J598" s="40">
        <f>IF($A598="","",$A598-WEEKDAY($A598,1)+1)</f>
      </c>
      <c r="K598" s="42">
        <f>IF($A598="","",YEAR($A598)&amp;"Q"&amp;ROUNDUP(IFERROR(MONTH($A598)/3,0),0))</f>
      </c>
    </row>
    <row r="599" spans="10:11" x14ac:dyDescent="0.25">
      <c r="J599" s="40">
        <f>IF($A599="","",$A599-WEEKDAY($A599,1)+1)</f>
      </c>
      <c r="K599" s="42">
        <f>IF($A599="","",YEAR($A599)&amp;"Q"&amp;ROUNDUP(IFERROR(MONTH($A599)/3,0),0))</f>
      </c>
    </row>
    <row r="600" spans="10:11" x14ac:dyDescent="0.25">
      <c r="J600" s="40">
        <f>IF($A600="","",$A600-WEEKDAY($A600,1)+1)</f>
      </c>
      <c r="K600" s="42">
        <f>IF($A600="","",YEAR($A600)&amp;"Q"&amp;ROUNDUP(IFERROR(MONTH($A600)/3,0),0))</f>
      </c>
    </row>
    <row r="601" spans="10:11" x14ac:dyDescent="0.25">
      <c r="J601" s="40">
        <f>IF($A601="","",$A601-WEEKDAY($A601,1)+1)</f>
      </c>
      <c r="K601" s="42">
        <f>IF($A601="","",YEAR($A601)&amp;"Q"&amp;ROUNDUP(IFERROR(MONTH($A601)/3,0),0))</f>
      </c>
    </row>
    <row r="602" spans="10:11" x14ac:dyDescent="0.25">
      <c r="J602" s="40">
        <f>IF($A602="","",$A602-WEEKDAY($A602,1)+1)</f>
      </c>
      <c r="K602" s="42">
        <f>IF($A602="","",YEAR($A602)&amp;"Q"&amp;ROUNDUP(IFERROR(MONTH($A602)/3,0),0))</f>
      </c>
    </row>
    <row r="603" spans="10:11" x14ac:dyDescent="0.25">
      <c r="J603" s="40">
        <f>IF($A603="","",$A603-WEEKDAY($A603,1)+1)</f>
      </c>
      <c r="K603" s="42">
        <f>IF($A603="","",YEAR($A603)&amp;"Q"&amp;ROUNDUP(IFERROR(MONTH($A603)/3,0),0))</f>
      </c>
    </row>
    <row r="604" spans="10:11" x14ac:dyDescent="0.25">
      <c r="J604" s="40">
        <f>IF($A604="","",$A604-WEEKDAY($A604,1)+1)</f>
      </c>
      <c r="K604" s="42">
        <f>IF($A604="","",YEAR($A604)&amp;"Q"&amp;ROUNDUP(IFERROR(MONTH($A604)/3,0),0))</f>
      </c>
    </row>
    <row r="605" spans="10:11" x14ac:dyDescent="0.25">
      <c r="J605" s="40">
        <f>IF($A605="","",$A605-WEEKDAY($A605,1)+1)</f>
      </c>
      <c r="K605" s="42">
        <f>IF($A605="","",YEAR($A605)&amp;"Q"&amp;ROUNDUP(IFERROR(MONTH($A605)/3,0),0))</f>
      </c>
    </row>
    <row r="606" spans="10:11" x14ac:dyDescent="0.25">
      <c r="J606" s="40">
        <f>IF($A606="","",$A606-WEEKDAY($A606,1)+1)</f>
      </c>
      <c r="K606" s="42">
        <f>IF($A606="","",YEAR($A606)&amp;"Q"&amp;ROUNDUP(IFERROR(MONTH($A606)/3,0),0))</f>
      </c>
    </row>
    <row r="607" spans="10:11" x14ac:dyDescent="0.25">
      <c r="J607" s="40">
        <f>IF($A607="","",$A607-WEEKDAY($A607,1)+1)</f>
      </c>
      <c r="K607" s="42">
        <f>IF($A607="","",YEAR($A607)&amp;"Q"&amp;ROUNDUP(IFERROR(MONTH($A607)/3,0),0))</f>
      </c>
    </row>
    <row r="608" spans="10:11" x14ac:dyDescent="0.25">
      <c r="J608" s="40">
        <f>IF($A608="","",$A608-WEEKDAY($A608,1)+1)</f>
      </c>
      <c r="K608" s="42">
        <f>IF($A608="","",YEAR($A608)&amp;"Q"&amp;ROUNDUP(IFERROR(MONTH($A608)/3,0),0))</f>
      </c>
    </row>
    <row r="609" spans="10:11" x14ac:dyDescent="0.25">
      <c r="J609" s="40">
        <f>IF($A609="","",$A609-WEEKDAY($A609,1)+1)</f>
      </c>
      <c r="K609" s="42">
        <f>IF($A609="","",YEAR($A609)&amp;"Q"&amp;ROUNDUP(IFERROR(MONTH($A609)/3,0),0))</f>
      </c>
    </row>
    <row r="610" spans="10:11" x14ac:dyDescent="0.25">
      <c r="J610" s="40">
        <f>IF($A610="","",$A610-WEEKDAY($A610,1)+1)</f>
      </c>
      <c r="K610" s="42">
        <f>IF($A610="","",YEAR($A610)&amp;"Q"&amp;ROUNDUP(IFERROR(MONTH($A610)/3,0),0))</f>
      </c>
    </row>
    <row r="611" spans="10:11" x14ac:dyDescent="0.25">
      <c r="J611" s="40">
        <f>IF($A611="","",$A611-WEEKDAY($A611,1)+1)</f>
      </c>
      <c r="K611" s="42">
        <f>IF($A611="","",YEAR($A611)&amp;"Q"&amp;ROUNDUP(IFERROR(MONTH($A611)/3,0),0))</f>
      </c>
    </row>
    <row r="612" spans="10:11" x14ac:dyDescent="0.25">
      <c r="J612" s="40">
        <f>IF($A612="","",$A612-WEEKDAY($A612,1)+1)</f>
      </c>
      <c r="K612" s="42">
        <f>IF($A612="","",YEAR($A612)&amp;"Q"&amp;ROUNDUP(IFERROR(MONTH($A612)/3,0),0))</f>
      </c>
    </row>
    <row r="613" spans="10:11" x14ac:dyDescent="0.25">
      <c r="J613" s="40">
        <f>IF($A613="","",$A613-WEEKDAY($A613,1)+1)</f>
      </c>
      <c r="K613" s="42">
        <f>IF($A613="","",YEAR($A613)&amp;"Q"&amp;ROUNDUP(IFERROR(MONTH($A613)/3,0),0))</f>
      </c>
    </row>
    <row r="614" spans="10:11" x14ac:dyDescent="0.25">
      <c r="J614" s="40">
        <f>IF($A614="","",$A614-WEEKDAY($A614,1)+1)</f>
      </c>
      <c r="K614" s="42">
        <f>IF($A614="","",YEAR($A614)&amp;"Q"&amp;ROUNDUP(IFERROR(MONTH($A614)/3,0),0))</f>
      </c>
    </row>
    <row r="615" spans="10:11" x14ac:dyDescent="0.25">
      <c r="J615" s="40">
        <f>IF($A615="","",$A615-WEEKDAY($A615,1)+1)</f>
      </c>
      <c r="K615" s="42">
        <f>IF($A615="","",YEAR($A615)&amp;"Q"&amp;ROUNDUP(IFERROR(MONTH($A615)/3,0),0))</f>
      </c>
    </row>
    <row r="616" spans="10:11" x14ac:dyDescent="0.25">
      <c r="J616" s="40">
        <f>IF($A616="","",$A616-WEEKDAY($A616,1)+1)</f>
      </c>
      <c r="K616" s="42">
        <f>IF($A616="","",YEAR($A616)&amp;"Q"&amp;ROUNDUP(IFERROR(MONTH($A616)/3,0),0))</f>
      </c>
    </row>
    <row r="617" spans="10:11" x14ac:dyDescent="0.25">
      <c r="J617" s="40">
        <f>IF($A617="","",$A617-WEEKDAY($A617,1)+1)</f>
      </c>
      <c r="K617" s="42">
        <f>IF($A617="","",YEAR($A617)&amp;"Q"&amp;ROUNDUP(IFERROR(MONTH($A617)/3,0),0))</f>
      </c>
    </row>
    <row r="618" spans="10:11" x14ac:dyDescent="0.25">
      <c r="J618" s="40">
        <f>IF($A618="","",$A618-WEEKDAY($A618,1)+1)</f>
      </c>
      <c r="K618" s="42">
        <f>IF($A618="","",YEAR($A618)&amp;"Q"&amp;ROUNDUP(IFERROR(MONTH($A618)/3,0),0))</f>
      </c>
    </row>
    <row r="619" spans="10:11" x14ac:dyDescent="0.25">
      <c r="J619" s="40">
        <f>IF($A619="","",$A619-WEEKDAY($A619,1)+1)</f>
      </c>
      <c r="K619" s="42">
        <f>IF($A619="","",YEAR($A619)&amp;"Q"&amp;ROUNDUP(IFERROR(MONTH($A619)/3,0),0))</f>
      </c>
    </row>
    <row r="620" spans="10:11" x14ac:dyDescent="0.25">
      <c r="J620" s="40">
        <f>IF($A620="","",$A620-WEEKDAY($A620,1)+1)</f>
      </c>
      <c r="K620" s="42">
        <f>IF($A620="","",YEAR($A620)&amp;"Q"&amp;ROUNDUP(IFERROR(MONTH($A620)/3,0),0))</f>
      </c>
    </row>
    <row r="621" spans="10:11" x14ac:dyDescent="0.25">
      <c r="J621" s="40">
        <f>IF($A621="","",$A621-WEEKDAY($A621,1)+1)</f>
      </c>
      <c r="K621" s="42">
        <f>IF($A621="","",YEAR($A621)&amp;"Q"&amp;ROUNDUP(IFERROR(MONTH($A621)/3,0),0))</f>
      </c>
    </row>
    <row r="622" spans="10:11" x14ac:dyDescent="0.25">
      <c r="J622" s="40">
        <f>IF($A622="","",$A622-WEEKDAY($A622,1)+1)</f>
      </c>
      <c r="K622" s="42">
        <f>IF($A622="","",YEAR($A622)&amp;"Q"&amp;ROUNDUP(IFERROR(MONTH($A622)/3,0),0))</f>
      </c>
    </row>
    <row r="623" spans="10:11" x14ac:dyDescent="0.25">
      <c r="J623" s="40">
        <f>IF($A623="","",$A623-WEEKDAY($A623,1)+1)</f>
      </c>
      <c r="K623" s="42">
        <f>IF($A623="","",YEAR($A623)&amp;"Q"&amp;ROUNDUP(IFERROR(MONTH($A623)/3,0),0))</f>
      </c>
    </row>
    <row r="624" spans="10:11" x14ac:dyDescent="0.25">
      <c r="J624" s="40">
        <f>IF($A624="","",$A624-WEEKDAY($A624,1)+1)</f>
      </c>
      <c r="K624" s="42">
        <f>IF($A624="","",YEAR($A624)&amp;"Q"&amp;ROUNDUP(IFERROR(MONTH($A624)/3,0),0))</f>
      </c>
    </row>
    <row r="625" spans="10:11" x14ac:dyDescent="0.25">
      <c r="J625" s="40">
        <f>IF($A625="","",$A625-WEEKDAY($A625,1)+1)</f>
      </c>
      <c r="K625" s="42">
        <f>IF($A625="","",YEAR($A625)&amp;"Q"&amp;ROUNDUP(IFERROR(MONTH($A625)/3,0),0))</f>
      </c>
    </row>
    <row r="626" spans="10:11" x14ac:dyDescent="0.25">
      <c r="J626" s="40">
        <f>IF($A626="","",$A626-WEEKDAY($A626,1)+1)</f>
      </c>
      <c r="K626" s="42">
        <f>IF($A626="","",YEAR($A626)&amp;"Q"&amp;ROUNDUP(IFERROR(MONTH($A626)/3,0),0))</f>
      </c>
    </row>
    <row r="627" spans="10:11" x14ac:dyDescent="0.25">
      <c r="J627" s="40">
        <f>IF($A627="","",$A627-WEEKDAY($A627,1)+1)</f>
      </c>
      <c r="K627" s="42">
        <f>IF($A627="","",YEAR($A627)&amp;"Q"&amp;ROUNDUP(IFERROR(MONTH($A627)/3,0),0))</f>
      </c>
    </row>
    <row r="628" spans="10:11" x14ac:dyDescent="0.25">
      <c r="J628" s="40">
        <f>IF($A628="","",$A628-WEEKDAY($A628,1)+1)</f>
      </c>
      <c r="K628" s="42">
        <f>IF($A628="","",YEAR($A628)&amp;"Q"&amp;ROUNDUP(IFERROR(MONTH($A628)/3,0),0))</f>
      </c>
    </row>
    <row r="629" spans="10:11" x14ac:dyDescent="0.25">
      <c r="J629" s="40">
        <f>IF($A629="","",$A629-WEEKDAY($A629,1)+1)</f>
      </c>
      <c r="K629" s="42">
        <f>IF($A629="","",YEAR($A629)&amp;"Q"&amp;ROUNDUP(IFERROR(MONTH($A629)/3,0),0))</f>
      </c>
    </row>
    <row r="630" spans="10:11" x14ac:dyDescent="0.25">
      <c r="J630" s="40">
        <f>IF($A630="","",$A630-WEEKDAY($A630,1)+1)</f>
      </c>
      <c r="K630" s="42">
        <f>IF($A630="","",YEAR($A630)&amp;"Q"&amp;ROUNDUP(IFERROR(MONTH($A630)/3,0),0))</f>
      </c>
    </row>
    <row r="631" spans="10:11" x14ac:dyDescent="0.25">
      <c r="J631" s="40">
        <f>IF($A631="","",$A631-WEEKDAY($A631,1)+1)</f>
      </c>
      <c r="K631" s="42">
        <f>IF($A631="","",YEAR($A631)&amp;"Q"&amp;ROUNDUP(IFERROR(MONTH($A631)/3,0),0))</f>
      </c>
    </row>
    <row r="632" spans="10:11" x14ac:dyDescent="0.25">
      <c r="J632" s="40">
        <f>IF($A632="","",$A632-WEEKDAY($A632,1)+1)</f>
      </c>
      <c r="K632" s="42">
        <f>IF($A632="","",YEAR($A632)&amp;"Q"&amp;ROUNDUP(IFERROR(MONTH($A632)/3,0),0))</f>
      </c>
    </row>
    <row r="633" spans="10:11" x14ac:dyDescent="0.25">
      <c r="J633" s="40">
        <f>IF($A633="","",$A633-WEEKDAY($A633,1)+1)</f>
      </c>
      <c r="K633" s="42">
        <f>IF($A633="","",YEAR($A633)&amp;"Q"&amp;ROUNDUP(IFERROR(MONTH($A633)/3,0),0))</f>
      </c>
    </row>
    <row r="634" spans="10:11" x14ac:dyDescent="0.25">
      <c r="J634" s="40">
        <f>IF($A634="","",$A634-WEEKDAY($A634,1)+1)</f>
      </c>
      <c r="K634" s="42">
        <f>IF($A634="","",YEAR($A634)&amp;"Q"&amp;ROUNDUP(IFERROR(MONTH($A634)/3,0),0))</f>
      </c>
    </row>
    <row r="635" spans="10:11" x14ac:dyDescent="0.25">
      <c r="J635" s="40">
        <f>IF($A635="","",$A635-WEEKDAY($A635,1)+1)</f>
      </c>
      <c r="K635" s="42">
        <f>IF($A635="","",YEAR($A635)&amp;"Q"&amp;ROUNDUP(IFERROR(MONTH($A635)/3,0),0))</f>
      </c>
    </row>
    <row r="636" spans="10:11" x14ac:dyDescent="0.25">
      <c r="J636" s="40">
        <f>IF($A636="","",$A636-WEEKDAY($A636,1)+1)</f>
      </c>
      <c r="K636" s="42">
        <f>IF($A636="","",YEAR($A636)&amp;"Q"&amp;ROUNDUP(IFERROR(MONTH($A636)/3,0),0))</f>
      </c>
    </row>
    <row r="637" spans="10:11" x14ac:dyDescent="0.25">
      <c r="J637" s="40">
        <f>IF($A637="","",$A637-WEEKDAY($A637,1)+1)</f>
      </c>
      <c r="K637" s="42">
        <f>IF($A637="","",YEAR($A637)&amp;"Q"&amp;ROUNDUP(IFERROR(MONTH($A637)/3,0),0))</f>
      </c>
    </row>
    <row r="638" spans="10:11" x14ac:dyDescent="0.25">
      <c r="J638" s="40">
        <f>IF($A638="","",$A638-WEEKDAY($A638,1)+1)</f>
      </c>
      <c r="K638" s="42">
        <f>IF($A638="","",YEAR($A638)&amp;"Q"&amp;ROUNDUP(IFERROR(MONTH($A638)/3,0),0))</f>
      </c>
    </row>
    <row r="639" spans="10:11" x14ac:dyDescent="0.25">
      <c r="J639" s="40">
        <f>IF($A639="","",$A639-WEEKDAY($A639,1)+1)</f>
      </c>
      <c r="K639" s="42">
        <f>IF($A639="","",YEAR($A639)&amp;"Q"&amp;ROUNDUP(IFERROR(MONTH($A639)/3,0),0))</f>
      </c>
    </row>
    <row r="640" spans="10:11" x14ac:dyDescent="0.25">
      <c r="J640" s="40">
        <f>IF($A640="","",$A640-WEEKDAY($A640,1)+1)</f>
      </c>
      <c r="K640" s="42">
        <f>IF($A640="","",YEAR($A640)&amp;"Q"&amp;ROUNDUP(IFERROR(MONTH($A640)/3,0),0))</f>
      </c>
    </row>
    <row r="641" spans="10:11" x14ac:dyDescent="0.25">
      <c r="J641" s="40">
        <f>IF($A641="","",$A641-WEEKDAY($A641,1)+1)</f>
      </c>
      <c r="K641" s="42">
        <f>IF($A641="","",YEAR($A641)&amp;"Q"&amp;ROUNDUP(IFERROR(MONTH($A641)/3,0),0))</f>
      </c>
    </row>
    <row r="642" spans="10:11" x14ac:dyDescent="0.25">
      <c r="J642" s="40">
        <f>IF($A642="","",$A642-WEEKDAY($A642,1)+1)</f>
      </c>
      <c r="K642" s="42">
        <f>IF($A642="","",YEAR($A642)&amp;"Q"&amp;ROUNDUP(IFERROR(MONTH($A642)/3,0),0))</f>
      </c>
    </row>
    <row r="643" spans="10:11" x14ac:dyDescent="0.25">
      <c r="J643" s="40">
        <f>IF($A643="","",$A643-WEEKDAY($A643,1)+1)</f>
      </c>
      <c r="K643" s="42">
        <f>IF($A643="","",YEAR($A643)&amp;"Q"&amp;ROUNDUP(IFERROR(MONTH($A643)/3,0),0))</f>
      </c>
    </row>
    <row r="644" spans="10:11" x14ac:dyDescent="0.25">
      <c r="J644" s="40">
        <f>IF($A644="","",$A644-WEEKDAY($A644,1)+1)</f>
      </c>
      <c r="K644" s="42">
        <f>IF($A644="","",YEAR($A644)&amp;"Q"&amp;ROUNDUP(IFERROR(MONTH($A644)/3,0),0))</f>
      </c>
    </row>
    <row r="645" spans="10:11" x14ac:dyDescent="0.25">
      <c r="J645" s="40">
        <f>IF($A645="","",$A645-WEEKDAY($A645,1)+1)</f>
      </c>
      <c r="K645" s="42">
        <f>IF($A645="","",YEAR($A645)&amp;"Q"&amp;ROUNDUP(IFERROR(MONTH($A645)/3,0),0))</f>
      </c>
    </row>
    <row r="646" spans="10:11" x14ac:dyDescent="0.25">
      <c r="J646" s="40">
        <f>IF($A646="","",$A646-WEEKDAY($A646,1)+1)</f>
      </c>
      <c r="K646" s="42">
        <f>IF($A646="","",YEAR($A646)&amp;"Q"&amp;ROUNDUP(IFERROR(MONTH($A646)/3,0),0))</f>
      </c>
    </row>
    <row r="647" spans="10:11" x14ac:dyDescent="0.25">
      <c r="J647" s="40">
        <f>IF($A647="","",$A647-WEEKDAY($A647,1)+1)</f>
      </c>
      <c r="K647" s="42">
        <f>IF($A647="","",YEAR($A647)&amp;"Q"&amp;ROUNDUP(IFERROR(MONTH($A647)/3,0),0))</f>
      </c>
    </row>
    <row r="648" spans="10:11" x14ac:dyDescent="0.25">
      <c r="J648" s="40">
        <f>IF($A648="","",$A648-WEEKDAY($A648,1)+1)</f>
      </c>
      <c r="K648" s="42">
        <f>IF($A648="","",YEAR($A648)&amp;"Q"&amp;ROUNDUP(IFERROR(MONTH($A648)/3,0),0))</f>
      </c>
    </row>
    <row r="649" spans="10:11" x14ac:dyDescent="0.25">
      <c r="J649" s="40">
        <f>IF($A649="","",$A649-WEEKDAY($A649,1)+1)</f>
      </c>
      <c r="K649" s="42">
        <f>IF($A649="","",YEAR($A649)&amp;"Q"&amp;ROUNDUP(IFERROR(MONTH($A649)/3,0),0))</f>
      </c>
    </row>
    <row r="650" spans="10:11" x14ac:dyDescent="0.25">
      <c r="J650" s="40">
        <f>IF($A650="","",$A650-WEEKDAY($A650,1)+1)</f>
      </c>
      <c r="K650" s="42">
        <f>IF($A650="","",YEAR($A650)&amp;"Q"&amp;ROUNDUP(IFERROR(MONTH($A650)/3,0),0))</f>
      </c>
    </row>
    <row r="651" spans="10:11" x14ac:dyDescent="0.25">
      <c r="J651" s="40">
        <f>IF($A651="","",$A651-WEEKDAY($A651,1)+1)</f>
      </c>
      <c r="K651" s="42">
        <f>IF($A651="","",YEAR($A651)&amp;"Q"&amp;ROUNDUP(IFERROR(MONTH($A651)/3,0),0))</f>
      </c>
    </row>
    <row r="652" spans="10:11" x14ac:dyDescent="0.25">
      <c r="J652" s="40">
        <f>IF($A652="","",$A652-WEEKDAY($A652,1)+1)</f>
      </c>
      <c r="K652" s="42">
        <f>IF($A652="","",YEAR($A652)&amp;"Q"&amp;ROUNDUP(IFERROR(MONTH($A652)/3,0),0))</f>
      </c>
    </row>
    <row r="653" spans="10:11" x14ac:dyDescent="0.25">
      <c r="J653" s="40">
        <f>IF($A653="","",$A653-WEEKDAY($A653,1)+1)</f>
      </c>
      <c r="K653" s="42">
        <f>IF($A653="","",YEAR($A653)&amp;"Q"&amp;ROUNDUP(IFERROR(MONTH($A653)/3,0),0))</f>
      </c>
    </row>
    <row r="654" spans="10:11" x14ac:dyDescent="0.25">
      <c r="J654" s="40">
        <f>IF($A654="","",$A654-WEEKDAY($A654,1)+1)</f>
      </c>
      <c r="K654" s="42">
        <f>IF($A654="","",YEAR($A654)&amp;"Q"&amp;ROUNDUP(IFERROR(MONTH($A654)/3,0),0))</f>
      </c>
    </row>
    <row r="655" spans="10:11" x14ac:dyDescent="0.25">
      <c r="J655" s="40">
        <f>IF($A655="","",$A655-WEEKDAY($A655,1)+1)</f>
      </c>
      <c r="K655" s="42">
        <f>IF($A655="","",YEAR($A655)&amp;"Q"&amp;ROUNDUP(IFERROR(MONTH($A655)/3,0),0))</f>
      </c>
    </row>
    <row r="656" spans="10:11" x14ac:dyDescent="0.25">
      <c r="J656" s="40">
        <f>IF($A656="","",$A656-WEEKDAY($A656,1)+1)</f>
      </c>
      <c r="K656" s="42">
        <f>IF($A656="","",YEAR($A656)&amp;"Q"&amp;ROUNDUP(IFERROR(MONTH($A656)/3,0),0))</f>
      </c>
    </row>
    <row r="657" spans="10:11" x14ac:dyDescent="0.25">
      <c r="J657" s="40">
        <f>IF($A657="","",$A657-WEEKDAY($A657,1)+1)</f>
      </c>
      <c r="K657" s="42">
        <f>IF($A657="","",YEAR($A657)&amp;"Q"&amp;ROUNDUP(IFERROR(MONTH($A657)/3,0),0))</f>
      </c>
    </row>
    <row r="658" spans="10:11" x14ac:dyDescent="0.25">
      <c r="J658" s="40">
        <f>IF($A658="","",$A658-WEEKDAY($A658,1)+1)</f>
      </c>
      <c r="K658" s="42">
        <f>IF($A658="","",YEAR($A658)&amp;"Q"&amp;ROUNDUP(IFERROR(MONTH($A658)/3,0),0))</f>
      </c>
    </row>
    <row r="659" spans="10:11" x14ac:dyDescent="0.25">
      <c r="J659" s="40">
        <f>IF($A659="","",$A659-WEEKDAY($A659,1)+1)</f>
      </c>
      <c r="K659" s="42">
        <f>IF($A659="","",YEAR($A659)&amp;"Q"&amp;ROUNDUP(IFERROR(MONTH($A659)/3,0),0))</f>
      </c>
    </row>
    <row r="660" spans="10:11" x14ac:dyDescent="0.25">
      <c r="J660" s="40">
        <f>IF($A660="","",$A660-WEEKDAY($A660,1)+1)</f>
      </c>
      <c r="K660" s="42">
        <f>IF($A660="","",YEAR($A660)&amp;"Q"&amp;ROUNDUP(IFERROR(MONTH($A660)/3,0),0))</f>
      </c>
    </row>
    <row r="661" spans="10:11" x14ac:dyDescent="0.25">
      <c r="J661" s="40">
        <f>IF($A661="","",$A661-WEEKDAY($A661,1)+1)</f>
      </c>
      <c r="K661" s="42">
        <f>IF($A661="","",YEAR($A661)&amp;"Q"&amp;ROUNDUP(IFERROR(MONTH($A661)/3,0),0))</f>
      </c>
    </row>
    <row r="662" spans="10:11" x14ac:dyDescent="0.25">
      <c r="J662" s="40">
        <f>IF($A662="","",$A662-WEEKDAY($A662,1)+1)</f>
      </c>
      <c r="K662" s="42">
        <f>IF($A662="","",YEAR($A662)&amp;"Q"&amp;ROUNDUP(IFERROR(MONTH($A662)/3,0),0))</f>
      </c>
    </row>
    <row r="663" spans="10:11" x14ac:dyDescent="0.25">
      <c r="J663" s="40">
        <f>IF($A663="","",$A663-WEEKDAY($A663,1)+1)</f>
      </c>
      <c r="K663" s="42">
        <f>IF($A663="","",YEAR($A663)&amp;"Q"&amp;ROUNDUP(IFERROR(MONTH($A663)/3,0),0))</f>
      </c>
    </row>
    <row r="664" spans="10:11" x14ac:dyDescent="0.25">
      <c r="J664" s="40">
        <f>IF($A664="","",$A664-WEEKDAY($A664,1)+1)</f>
      </c>
      <c r="K664" s="42">
        <f>IF($A664="","",YEAR($A664)&amp;"Q"&amp;ROUNDUP(IFERROR(MONTH($A664)/3,0),0))</f>
      </c>
    </row>
    <row r="665" spans="10:11" x14ac:dyDescent="0.25">
      <c r="J665" s="40">
        <f>IF($A665="","",$A665-WEEKDAY($A665,1)+1)</f>
      </c>
      <c r="K665" s="42">
        <f>IF($A665="","",YEAR($A665)&amp;"Q"&amp;ROUNDUP(IFERROR(MONTH($A665)/3,0),0))</f>
      </c>
    </row>
    <row r="666" spans="10:11" x14ac:dyDescent="0.25">
      <c r="J666" s="40">
        <f>IF($A666="","",$A666-WEEKDAY($A666,1)+1)</f>
      </c>
      <c r="K666" s="42">
        <f>IF($A666="","",YEAR($A666)&amp;"Q"&amp;ROUNDUP(IFERROR(MONTH($A666)/3,0),0))</f>
      </c>
    </row>
    <row r="667" spans="10:11" x14ac:dyDescent="0.25">
      <c r="J667" s="40">
        <f>IF($A667="","",$A667-WEEKDAY($A667,1)+1)</f>
      </c>
      <c r="K667" s="42">
        <f>IF($A667="","",YEAR($A667)&amp;"Q"&amp;ROUNDUP(IFERROR(MONTH($A667)/3,0),0))</f>
      </c>
    </row>
    <row r="668" spans="10:11" x14ac:dyDescent="0.25">
      <c r="J668" s="40">
        <f>IF($A668="","",$A668-WEEKDAY($A668,1)+1)</f>
      </c>
      <c r="K668" s="42">
        <f>IF($A668="","",YEAR($A668)&amp;"Q"&amp;ROUNDUP(IFERROR(MONTH($A668)/3,0),0))</f>
      </c>
    </row>
    <row r="669" spans="10:11" x14ac:dyDescent="0.25">
      <c r="J669" s="40">
        <f>IF($A669="","",$A669-WEEKDAY($A669,1)+1)</f>
      </c>
      <c r="K669" s="42">
        <f>IF($A669="","",YEAR($A669)&amp;"Q"&amp;ROUNDUP(IFERROR(MONTH($A669)/3,0),0))</f>
      </c>
    </row>
    <row r="670" spans="10:11" x14ac:dyDescent="0.25">
      <c r="J670" s="40">
        <f>IF($A670="","",$A670-WEEKDAY($A670,1)+1)</f>
      </c>
      <c r="K670" s="42">
        <f>IF($A670="","",YEAR($A670)&amp;"Q"&amp;ROUNDUP(IFERROR(MONTH($A670)/3,0),0))</f>
      </c>
    </row>
    <row r="671" spans="10:11" x14ac:dyDescent="0.25">
      <c r="J671" s="40">
        <f>IF($A671="","",$A671-WEEKDAY($A671,1)+1)</f>
      </c>
      <c r="K671" s="42">
        <f>IF($A671="","",YEAR($A671)&amp;"Q"&amp;ROUNDUP(IFERROR(MONTH($A671)/3,0),0))</f>
      </c>
    </row>
    <row r="672" spans="10:11" x14ac:dyDescent="0.25">
      <c r="J672" s="40">
        <f>IF($A672="","",$A672-WEEKDAY($A672,1)+1)</f>
      </c>
      <c r="K672" s="42">
        <f>IF($A672="","",YEAR($A672)&amp;"Q"&amp;ROUNDUP(IFERROR(MONTH($A672)/3,0),0))</f>
      </c>
    </row>
    <row r="673" spans="10:11" x14ac:dyDescent="0.25">
      <c r="J673" s="40">
        <f>IF($A673="","",$A673-WEEKDAY($A673,1)+1)</f>
      </c>
      <c r="K673" s="42">
        <f>IF($A673="","",YEAR($A673)&amp;"Q"&amp;ROUNDUP(IFERROR(MONTH($A673)/3,0),0))</f>
      </c>
    </row>
    <row r="674" spans="10:11" x14ac:dyDescent="0.25">
      <c r="J674" s="40">
        <f>IF($A674="","",$A674-WEEKDAY($A674,1)+1)</f>
      </c>
      <c r="K674" s="42">
        <f>IF($A674="","",YEAR($A674)&amp;"Q"&amp;ROUNDUP(IFERROR(MONTH($A674)/3,0),0))</f>
      </c>
    </row>
    <row r="675" spans="10:11" x14ac:dyDescent="0.25">
      <c r="J675" s="40">
        <f>IF($A675="","",$A675-WEEKDAY($A675,1)+1)</f>
      </c>
      <c r="K675" s="42">
        <f>IF($A675="","",YEAR($A675)&amp;"Q"&amp;ROUNDUP(IFERROR(MONTH($A675)/3,0),0))</f>
      </c>
    </row>
    <row r="676" spans="10:11" x14ac:dyDescent="0.25">
      <c r="J676" s="40">
        <f>IF($A676="","",$A676-WEEKDAY($A676,1)+1)</f>
      </c>
      <c r="K676" s="42">
        <f>IF($A676="","",YEAR($A676)&amp;"Q"&amp;ROUNDUP(IFERROR(MONTH($A676)/3,0),0))</f>
      </c>
    </row>
    <row r="677" spans="10:11" x14ac:dyDescent="0.25">
      <c r="J677" s="40">
        <f>IF($A677="","",$A677-WEEKDAY($A677,1)+1)</f>
      </c>
      <c r="K677" s="42">
        <f>IF($A677="","",YEAR($A677)&amp;"Q"&amp;ROUNDUP(IFERROR(MONTH($A677)/3,0),0))</f>
      </c>
    </row>
    <row r="678" spans="10:11" x14ac:dyDescent="0.25">
      <c r="J678" s="40">
        <f>IF($A678="","",$A678-WEEKDAY($A678,1)+1)</f>
      </c>
      <c r="K678" s="42">
        <f>IF($A678="","",YEAR($A678)&amp;"Q"&amp;ROUNDUP(IFERROR(MONTH($A678)/3,0),0))</f>
      </c>
    </row>
    <row r="679" spans="10:11" x14ac:dyDescent="0.25">
      <c r="J679" s="40">
        <f>IF($A679="","",$A679-WEEKDAY($A679,1)+1)</f>
      </c>
      <c r="K679" s="42">
        <f>IF($A679="","",YEAR($A679)&amp;"Q"&amp;ROUNDUP(IFERROR(MONTH($A679)/3,0),0))</f>
      </c>
    </row>
    <row r="680" spans="10:11" x14ac:dyDescent="0.25">
      <c r="J680" s="40">
        <f>IF($A680="","",$A680-WEEKDAY($A680,1)+1)</f>
      </c>
      <c r="K680" s="42">
        <f>IF($A680="","",YEAR($A680)&amp;"Q"&amp;ROUNDUP(IFERROR(MONTH($A680)/3,0),0))</f>
      </c>
    </row>
    <row r="681" spans="10:11" x14ac:dyDescent="0.25">
      <c r="J681" s="40">
        <f>IF($A681="","",$A681-WEEKDAY($A681,1)+1)</f>
      </c>
      <c r="K681" s="42">
        <f>IF($A681="","",YEAR($A681)&amp;"Q"&amp;ROUNDUP(IFERROR(MONTH($A681)/3,0),0))</f>
      </c>
    </row>
    <row r="682" spans="10:11" x14ac:dyDescent="0.25">
      <c r="J682" s="40">
        <f>IF($A682="","",$A682-WEEKDAY($A682,1)+1)</f>
      </c>
      <c r="K682" s="42">
        <f>IF($A682="","",YEAR($A682)&amp;"Q"&amp;ROUNDUP(IFERROR(MONTH($A682)/3,0),0))</f>
      </c>
    </row>
    <row r="683" spans="10:11" x14ac:dyDescent="0.25">
      <c r="J683" s="40">
        <f>IF($A683="","",$A683-WEEKDAY($A683,1)+1)</f>
      </c>
      <c r="K683" s="42">
        <f>IF($A683="","",YEAR($A683)&amp;"Q"&amp;ROUNDUP(IFERROR(MONTH($A683)/3,0),0))</f>
      </c>
    </row>
    <row r="684" spans="10:11" x14ac:dyDescent="0.25">
      <c r="J684" s="40">
        <f>IF($A684="","",$A684-WEEKDAY($A684,1)+1)</f>
      </c>
      <c r="K684" s="42">
        <f>IF($A684="","",YEAR($A684)&amp;"Q"&amp;ROUNDUP(IFERROR(MONTH($A684)/3,0),0))</f>
      </c>
    </row>
    <row r="685" spans="10:11" x14ac:dyDescent="0.25">
      <c r="J685" s="40">
        <f>IF($A685="","",$A685-WEEKDAY($A685,1)+1)</f>
      </c>
      <c r="K685" s="42">
        <f>IF($A685="","",YEAR($A685)&amp;"Q"&amp;ROUNDUP(IFERROR(MONTH($A685)/3,0),0))</f>
      </c>
    </row>
    <row r="686" spans="10:11" x14ac:dyDescent="0.25">
      <c r="J686" s="40">
        <f>IF($A686="","",$A686-WEEKDAY($A686,1)+1)</f>
      </c>
      <c r="K686" s="42">
        <f>IF($A686="","",YEAR($A686)&amp;"Q"&amp;ROUNDUP(IFERROR(MONTH($A686)/3,0),0))</f>
      </c>
    </row>
    <row r="687" spans="10:11" x14ac:dyDescent="0.25">
      <c r="J687" s="40">
        <f>IF($A687="","",$A687-WEEKDAY($A687,1)+1)</f>
      </c>
      <c r="K687" s="42">
        <f>IF($A687="","",YEAR($A687)&amp;"Q"&amp;ROUNDUP(IFERROR(MONTH($A687)/3,0),0))</f>
      </c>
    </row>
    <row r="688" spans="10:11" x14ac:dyDescent="0.25">
      <c r="J688" s="40">
        <f>IF($A688="","",$A688-WEEKDAY($A688,1)+1)</f>
      </c>
      <c r="K688" s="42">
        <f>IF($A688="","",YEAR($A688)&amp;"Q"&amp;ROUNDUP(IFERROR(MONTH($A688)/3,0),0))</f>
      </c>
    </row>
    <row r="689" spans="10:11" x14ac:dyDescent="0.25">
      <c r="J689" s="40">
        <f>IF($A689="","",$A689-WEEKDAY($A689,1)+1)</f>
      </c>
      <c r="K689" s="42">
        <f>IF($A689="","",YEAR($A689)&amp;"Q"&amp;ROUNDUP(IFERROR(MONTH($A689)/3,0),0))</f>
      </c>
    </row>
    <row r="690" spans="10:11" x14ac:dyDescent="0.25">
      <c r="J690" s="40">
        <f>IF($A690="","",$A690-WEEKDAY($A690,1)+1)</f>
      </c>
      <c r="K690" s="42">
        <f>IF($A690="","",YEAR($A690)&amp;"Q"&amp;ROUNDUP(IFERROR(MONTH($A690)/3,0),0))</f>
      </c>
    </row>
    <row r="691" spans="10:11" x14ac:dyDescent="0.25">
      <c r="J691" s="40">
        <f>IF($A691="","",$A691-WEEKDAY($A691,1)+1)</f>
      </c>
      <c r="K691" s="42">
        <f>IF($A691="","",YEAR($A691)&amp;"Q"&amp;ROUNDUP(IFERROR(MONTH($A691)/3,0),0))</f>
      </c>
    </row>
    <row r="692" spans="10:11" x14ac:dyDescent="0.25">
      <c r="J692" s="40">
        <f>IF($A692="","",$A692-WEEKDAY($A692,1)+1)</f>
      </c>
      <c r="K692" s="42">
        <f>IF($A692="","",YEAR($A692)&amp;"Q"&amp;ROUNDUP(IFERROR(MONTH($A692)/3,0),0))</f>
      </c>
    </row>
    <row r="693" spans="10:11" x14ac:dyDescent="0.25">
      <c r="J693" s="40">
        <f>IF($A693="","",$A693-WEEKDAY($A693,1)+1)</f>
      </c>
      <c r="K693" s="42">
        <f>IF($A693="","",YEAR($A693)&amp;"Q"&amp;ROUNDUP(IFERROR(MONTH($A693)/3,0),0))</f>
      </c>
    </row>
    <row r="694" spans="10:11" x14ac:dyDescent="0.25">
      <c r="J694" s="40">
        <f>IF($A694="","",$A694-WEEKDAY($A694,1)+1)</f>
      </c>
      <c r="K694" s="42">
        <f>IF($A694="","",YEAR($A694)&amp;"Q"&amp;ROUNDUP(IFERROR(MONTH($A694)/3,0),0))</f>
      </c>
    </row>
    <row r="695" spans="10:11" x14ac:dyDescent="0.25">
      <c r="J695" s="40">
        <f>IF($A695="","",$A695-WEEKDAY($A695,1)+1)</f>
      </c>
      <c r="K695" s="42">
        <f>IF($A695="","",YEAR($A695)&amp;"Q"&amp;ROUNDUP(IFERROR(MONTH($A695)/3,0),0))</f>
      </c>
    </row>
    <row r="696" spans="10:11" x14ac:dyDescent="0.25">
      <c r="J696" s="40">
        <f>IF($A696="","",$A696-WEEKDAY($A696,1)+1)</f>
      </c>
      <c r="K696" s="42">
        <f>IF($A696="","",YEAR($A696)&amp;"Q"&amp;ROUNDUP(IFERROR(MONTH($A696)/3,0),0))</f>
      </c>
    </row>
    <row r="697" spans="10:11" x14ac:dyDescent="0.25">
      <c r="J697" s="40">
        <f>IF($A697="","",$A697-WEEKDAY($A697,1)+1)</f>
      </c>
      <c r="K697" s="42">
        <f>IF($A697="","",YEAR($A697)&amp;"Q"&amp;ROUNDUP(IFERROR(MONTH($A697)/3,0),0))</f>
      </c>
    </row>
    <row r="698" spans="10:11" x14ac:dyDescent="0.25">
      <c r="J698" s="40">
        <f>IF($A698="","",$A698-WEEKDAY($A698,1)+1)</f>
      </c>
      <c r="K698" s="42">
        <f>IF($A698="","",YEAR($A698)&amp;"Q"&amp;ROUNDUP(IFERROR(MONTH($A698)/3,0),0))</f>
      </c>
    </row>
    <row r="699" spans="10:11" x14ac:dyDescent="0.25">
      <c r="J699" s="40">
        <f>IF($A699="","",$A699-WEEKDAY($A699,1)+1)</f>
      </c>
      <c r="K699" s="42">
        <f>IF($A699="","",YEAR($A699)&amp;"Q"&amp;ROUNDUP(IFERROR(MONTH($A699)/3,0),0))</f>
      </c>
    </row>
    <row r="700" spans="10:11" x14ac:dyDescent="0.25">
      <c r="J700" s="40">
        <f>IF($A700="","",$A700-WEEKDAY($A700,1)+1)</f>
      </c>
      <c r="K700" s="42">
        <f>IF($A700="","",YEAR($A700)&amp;"Q"&amp;ROUNDUP(IFERROR(MONTH($A700)/3,0),0))</f>
      </c>
    </row>
    <row r="701" spans="10:11" x14ac:dyDescent="0.25">
      <c r="J701" s="40">
        <f>IF($A701="","",$A701-WEEKDAY($A701,1)+1)</f>
      </c>
      <c r="K701" s="42">
        <f>IF($A701="","",YEAR($A701)&amp;"Q"&amp;ROUNDUP(IFERROR(MONTH($A701)/3,0),0))</f>
      </c>
    </row>
    <row r="702" spans="10:11" x14ac:dyDescent="0.25">
      <c r="J702" s="40">
        <f>IF($A702="","",$A702-WEEKDAY($A702,1)+1)</f>
      </c>
      <c r="K702" s="42">
        <f>IF($A702="","",YEAR($A702)&amp;"Q"&amp;ROUNDUP(IFERROR(MONTH($A702)/3,0),0))</f>
      </c>
    </row>
    <row r="703" spans="10:11" x14ac:dyDescent="0.25">
      <c r="J703" s="40">
        <f>IF($A703="","",$A703-WEEKDAY($A703,1)+1)</f>
      </c>
      <c r="K703" s="42">
        <f>IF($A703="","",YEAR($A703)&amp;"Q"&amp;ROUNDUP(IFERROR(MONTH($A703)/3,0),0))</f>
      </c>
    </row>
    <row r="704" spans="10:11" x14ac:dyDescent="0.25">
      <c r="J704" s="40">
        <f>IF($A704="","",$A704-WEEKDAY($A704,1)+1)</f>
      </c>
      <c r="K704" s="42">
        <f>IF($A704="","",YEAR($A704)&amp;"Q"&amp;ROUNDUP(IFERROR(MONTH($A704)/3,0),0))</f>
      </c>
    </row>
    <row r="705" spans="10:11" x14ac:dyDescent="0.25">
      <c r="J705" s="40">
        <f>IF($A705="","",$A705-WEEKDAY($A705,1)+1)</f>
      </c>
      <c r="K705" s="42">
        <f>IF($A705="","",YEAR($A705)&amp;"Q"&amp;ROUNDUP(IFERROR(MONTH($A705)/3,0),0))</f>
      </c>
    </row>
    <row r="706" spans="10:11" x14ac:dyDescent="0.25">
      <c r="J706" s="40">
        <f>IF($A706="","",$A706-WEEKDAY($A706,1)+1)</f>
      </c>
      <c r="K706" s="42">
        <f>IF($A706="","",YEAR($A706)&amp;"Q"&amp;ROUNDUP(IFERROR(MONTH($A706)/3,0),0))</f>
      </c>
    </row>
    <row r="707" spans="10:11" x14ac:dyDescent="0.25">
      <c r="J707" s="40">
        <f>IF($A707="","",$A707-WEEKDAY($A707,1)+1)</f>
      </c>
      <c r="K707" s="42">
        <f>IF($A707="","",YEAR($A707)&amp;"Q"&amp;ROUNDUP(IFERROR(MONTH($A707)/3,0),0))</f>
      </c>
    </row>
    <row r="708" spans="10:11" x14ac:dyDescent="0.25">
      <c r="J708" s="40">
        <f>IF($A708="","",$A708-WEEKDAY($A708,1)+1)</f>
      </c>
      <c r="K708" s="42">
        <f>IF($A708="","",YEAR($A708)&amp;"Q"&amp;ROUNDUP(IFERROR(MONTH($A708)/3,0),0))</f>
      </c>
    </row>
    <row r="709" spans="10:11" x14ac:dyDescent="0.25">
      <c r="J709" s="40">
        <f>IF($A709="","",$A709-WEEKDAY($A709,1)+1)</f>
      </c>
      <c r="K709" s="42">
        <f>IF($A709="","",YEAR($A709)&amp;"Q"&amp;ROUNDUP(IFERROR(MONTH($A709)/3,0),0))</f>
      </c>
    </row>
    <row r="710" spans="10:11" x14ac:dyDescent="0.25">
      <c r="J710" s="40">
        <f>IF($A710="","",$A710-WEEKDAY($A710,1)+1)</f>
      </c>
      <c r="K710" s="42">
        <f>IF($A710="","",YEAR($A710)&amp;"Q"&amp;ROUNDUP(IFERROR(MONTH($A710)/3,0),0))</f>
      </c>
    </row>
    <row r="711" spans="10:11" x14ac:dyDescent="0.25">
      <c r="J711" s="40">
        <f>IF($A711="","",$A711-WEEKDAY($A711,1)+1)</f>
      </c>
      <c r="K711" s="42">
        <f>IF($A711="","",YEAR($A711)&amp;"Q"&amp;ROUNDUP(IFERROR(MONTH($A711)/3,0),0))</f>
      </c>
    </row>
    <row r="712" spans="10:11" x14ac:dyDescent="0.25">
      <c r="J712" s="40">
        <f>IF($A712="","",$A712-WEEKDAY($A712,1)+1)</f>
      </c>
      <c r="K712" s="42">
        <f>IF($A712="","",YEAR($A712)&amp;"Q"&amp;ROUNDUP(IFERROR(MONTH($A712)/3,0),0))</f>
      </c>
    </row>
    <row r="713" spans="10:11" x14ac:dyDescent="0.25">
      <c r="J713" s="40">
        <f>IF($A713="","",$A713-WEEKDAY($A713,1)+1)</f>
      </c>
      <c r="K713" s="42">
        <f>IF($A713="","",YEAR($A713)&amp;"Q"&amp;ROUNDUP(IFERROR(MONTH($A713)/3,0),0))</f>
      </c>
    </row>
    <row r="714" spans="10:11" x14ac:dyDescent="0.25">
      <c r="J714" s="40">
        <f>IF($A714="","",$A714-WEEKDAY($A714,1)+1)</f>
      </c>
      <c r="K714" s="42">
        <f>IF($A714="","",YEAR($A714)&amp;"Q"&amp;ROUNDUP(IFERROR(MONTH($A714)/3,0),0))</f>
      </c>
    </row>
    <row r="715" spans="10:11" x14ac:dyDescent="0.25">
      <c r="J715" s="40">
        <f>IF($A715="","",$A715-WEEKDAY($A715,1)+1)</f>
      </c>
      <c r="K715" s="42">
        <f>IF($A715="","",YEAR($A715)&amp;"Q"&amp;ROUNDUP(IFERROR(MONTH($A715)/3,0),0))</f>
      </c>
    </row>
    <row r="716" spans="10:11" x14ac:dyDescent="0.25">
      <c r="J716" s="40">
        <f>IF($A716="","",$A716-WEEKDAY($A716,1)+1)</f>
      </c>
      <c r="K716" s="42">
        <f>IF($A716="","",YEAR($A716)&amp;"Q"&amp;ROUNDUP(IFERROR(MONTH($A716)/3,0),0))</f>
      </c>
    </row>
    <row r="717" spans="10:11" x14ac:dyDescent="0.25">
      <c r="J717" s="40">
        <f>IF($A717="","",$A717-WEEKDAY($A717,1)+1)</f>
      </c>
      <c r="K717" s="42">
        <f>IF($A717="","",YEAR($A717)&amp;"Q"&amp;ROUNDUP(IFERROR(MONTH($A717)/3,0),0))</f>
      </c>
    </row>
    <row r="718" spans="10:11" x14ac:dyDescent="0.25">
      <c r="J718" s="40">
        <f>IF($A718="","",$A718-WEEKDAY($A718,1)+1)</f>
      </c>
      <c r="K718" s="42">
        <f>IF($A718="","",YEAR($A718)&amp;"Q"&amp;ROUNDUP(IFERROR(MONTH($A718)/3,0),0))</f>
      </c>
    </row>
    <row r="719" spans="10:11" x14ac:dyDescent="0.25">
      <c r="J719" s="40">
        <f>IF($A719="","",$A719-WEEKDAY($A719,1)+1)</f>
      </c>
      <c r="K719" s="42">
        <f>IF($A719="","",YEAR($A719)&amp;"Q"&amp;ROUNDUP(IFERROR(MONTH($A719)/3,0),0))</f>
      </c>
    </row>
    <row r="720" spans="10:11" x14ac:dyDescent="0.25">
      <c r="J720" s="40">
        <f>IF($A720="","",$A720-WEEKDAY($A720,1)+1)</f>
      </c>
      <c r="K720" s="42">
        <f>IF($A720="","",YEAR($A720)&amp;"Q"&amp;ROUNDUP(IFERROR(MONTH($A720)/3,0),0))</f>
      </c>
    </row>
    <row r="721" spans="10:11" x14ac:dyDescent="0.25">
      <c r="J721" s="40">
        <f>IF($A721="","",$A721-WEEKDAY($A721,1)+1)</f>
      </c>
      <c r="K721" s="42">
        <f>IF($A721="","",YEAR($A721)&amp;"Q"&amp;ROUNDUP(IFERROR(MONTH($A721)/3,0),0))</f>
      </c>
    </row>
    <row r="722" spans="10:11" x14ac:dyDescent="0.25">
      <c r="J722" s="40">
        <f>IF($A722="","",$A722-WEEKDAY($A722,1)+1)</f>
      </c>
      <c r="K722" s="42">
        <f>IF($A722="","",YEAR($A722)&amp;"Q"&amp;ROUNDUP(IFERROR(MONTH($A722)/3,0),0))</f>
      </c>
    </row>
    <row r="723" spans="10:11" x14ac:dyDescent="0.25">
      <c r="J723" s="40">
        <f>IF($A723="","",$A723-WEEKDAY($A723,1)+1)</f>
      </c>
      <c r="K723" s="42">
        <f>IF($A723="","",YEAR($A723)&amp;"Q"&amp;ROUNDUP(IFERROR(MONTH($A723)/3,0),0))</f>
      </c>
    </row>
    <row r="724" spans="10:11" x14ac:dyDescent="0.25">
      <c r="J724" s="40">
        <f>IF($A724="","",$A724-WEEKDAY($A724,1)+1)</f>
      </c>
      <c r="K724" s="42">
        <f>IF($A724="","",YEAR($A724)&amp;"Q"&amp;ROUNDUP(IFERROR(MONTH($A724)/3,0),0))</f>
      </c>
    </row>
    <row r="725" spans="10:11" x14ac:dyDescent="0.25">
      <c r="J725" s="40">
        <f>IF($A725="","",$A725-WEEKDAY($A725,1)+1)</f>
      </c>
      <c r="K725" s="42">
        <f>IF($A725="","",YEAR($A725)&amp;"Q"&amp;ROUNDUP(IFERROR(MONTH($A725)/3,0),0))</f>
      </c>
    </row>
    <row r="726" spans="10:11" x14ac:dyDescent="0.25">
      <c r="J726" s="40">
        <f>IF($A726="","",$A726-WEEKDAY($A726,1)+1)</f>
      </c>
      <c r="K726" s="42">
        <f>IF($A726="","",YEAR($A726)&amp;"Q"&amp;ROUNDUP(IFERROR(MONTH($A726)/3,0),0))</f>
      </c>
    </row>
    <row r="727" spans="10:11" x14ac:dyDescent="0.25">
      <c r="J727" s="40">
        <f>IF($A727="","",$A727-WEEKDAY($A727,1)+1)</f>
      </c>
      <c r="K727" s="42">
        <f>IF($A727="","",YEAR($A727)&amp;"Q"&amp;ROUNDUP(IFERROR(MONTH($A727)/3,0),0))</f>
      </c>
    </row>
    <row r="728" spans="10:11" x14ac:dyDescent="0.25">
      <c r="J728" s="40">
        <f>IF($A728="","",$A728-WEEKDAY($A728,1)+1)</f>
      </c>
      <c r="K728" s="42">
        <f>IF($A728="","",YEAR($A728)&amp;"Q"&amp;ROUNDUP(IFERROR(MONTH($A728)/3,0),0))</f>
      </c>
    </row>
    <row r="729" spans="10:11" x14ac:dyDescent="0.25">
      <c r="J729" s="40">
        <f>IF($A729="","",$A729-WEEKDAY($A729,1)+1)</f>
      </c>
      <c r="K729" s="42">
        <f>IF($A729="","",YEAR($A729)&amp;"Q"&amp;ROUNDUP(IFERROR(MONTH($A729)/3,0),0))</f>
      </c>
    </row>
    <row r="730" spans="10:11" x14ac:dyDescent="0.25">
      <c r="J730" s="40">
        <f>IF($A730="","",$A730-WEEKDAY($A730,1)+1)</f>
      </c>
      <c r="K730" s="42">
        <f>IF($A730="","",YEAR($A730)&amp;"Q"&amp;ROUNDUP(IFERROR(MONTH($A730)/3,0),0))</f>
      </c>
    </row>
    <row r="731" spans="10:11" x14ac:dyDescent="0.25">
      <c r="J731" s="40">
        <f>IF($A731="","",$A731-WEEKDAY($A731,1)+1)</f>
      </c>
      <c r="K731" s="42">
        <f>IF($A731="","",YEAR($A731)&amp;"Q"&amp;ROUNDUP(IFERROR(MONTH($A731)/3,0),0))</f>
      </c>
    </row>
    <row r="732" spans="10:11" x14ac:dyDescent="0.25">
      <c r="J732" s="40">
        <f>IF($A732="","",$A732-WEEKDAY($A732,1)+1)</f>
      </c>
      <c r="K732" s="42">
        <f>IF($A732="","",YEAR($A732)&amp;"Q"&amp;ROUNDUP(IFERROR(MONTH($A732)/3,0),0))</f>
      </c>
    </row>
    <row r="733" spans="10:11" x14ac:dyDescent="0.25">
      <c r="J733" s="40">
        <f>IF($A733="","",$A733-WEEKDAY($A733,1)+1)</f>
      </c>
      <c r="K733" s="42">
        <f>IF($A733="","",YEAR($A733)&amp;"Q"&amp;ROUNDUP(IFERROR(MONTH($A733)/3,0),0))</f>
      </c>
    </row>
    <row r="734" spans="10:11" x14ac:dyDescent="0.25">
      <c r="J734" s="40">
        <f>IF($A734="","",$A734-WEEKDAY($A734,1)+1)</f>
      </c>
      <c r="K734" s="42">
        <f>IF($A734="","",YEAR($A734)&amp;"Q"&amp;ROUNDUP(IFERROR(MONTH($A734)/3,0),0))</f>
      </c>
    </row>
    <row r="735" spans="10:11" x14ac:dyDescent="0.25">
      <c r="J735" s="40">
        <f>IF($A735="","",$A735-WEEKDAY($A735,1)+1)</f>
      </c>
      <c r="K735" s="42">
        <f>IF($A735="","",YEAR($A735)&amp;"Q"&amp;ROUNDUP(IFERROR(MONTH($A735)/3,0),0))</f>
      </c>
    </row>
    <row r="736" spans="10:11" x14ac:dyDescent="0.25">
      <c r="J736" s="40">
        <f>IF($A736="","",$A736-WEEKDAY($A736,1)+1)</f>
      </c>
      <c r="K736" s="42">
        <f>IF($A736="","",YEAR($A736)&amp;"Q"&amp;ROUNDUP(IFERROR(MONTH($A736)/3,0),0))</f>
      </c>
    </row>
    <row r="737" spans="10:11" x14ac:dyDescent="0.25">
      <c r="J737" s="40">
        <f>IF($A737="","",$A737-WEEKDAY($A737,1)+1)</f>
      </c>
      <c r="K737" s="42">
        <f>IF($A737="","",YEAR($A737)&amp;"Q"&amp;ROUNDUP(IFERROR(MONTH($A737)/3,0),0))</f>
      </c>
    </row>
    <row r="738" spans="10:11" x14ac:dyDescent="0.25">
      <c r="J738" s="40">
        <f>IF($A738="","",$A738-WEEKDAY($A738,1)+1)</f>
      </c>
      <c r="K738" s="42">
        <f>IF($A738="","",YEAR($A738)&amp;"Q"&amp;ROUNDUP(IFERROR(MONTH($A738)/3,0),0))</f>
      </c>
    </row>
    <row r="739" spans="10:11" x14ac:dyDescent="0.25">
      <c r="J739" s="40">
        <f>IF($A739="","",$A739-WEEKDAY($A739,1)+1)</f>
      </c>
      <c r="K739" s="42">
        <f>IF($A739="","",YEAR($A739)&amp;"Q"&amp;ROUNDUP(IFERROR(MONTH($A739)/3,0),0))</f>
      </c>
    </row>
    <row r="740" spans="10:11" x14ac:dyDescent="0.25">
      <c r="J740" s="40">
        <f>IF($A740="","",$A740-WEEKDAY($A740,1)+1)</f>
      </c>
      <c r="K740" s="42">
        <f>IF($A740="","",YEAR($A740)&amp;"Q"&amp;ROUNDUP(IFERROR(MONTH($A740)/3,0),0))</f>
      </c>
    </row>
    <row r="741" spans="10:11" x14ac:dyDescent="0.25">
      <c r="J741" s="40">
        <f>IF($A741="","",$A741-WEEKDAY($A741,1)+1)</f>
      </c>
      <c r="K741" s="42">
        <f>IF($A741="","",YEAR($A741)&amp;"Q"&amp;ROUNDUP(IFERROR(MONTH($A741)/3,0),0))</f>
      </c>
    </row>
    <row r="742" spans="10:11" x14ac:dyDescent="0.25">
      <c r="J742" s="40">
        <f>IF($A742="","",$A742-WEEKDAY($A742,1)+1)</f>
      </c>
      <c r="K742" s="42">
        <f>IF($A742="","",YEAR($A742)&amp;"Q"&amp;ROUNDUP(IFERROR(MONTH($A742)/3,0),0))</f>
      </c>
    </row>
    <row r="743" spans="10:11" x14ac:dyDescent="0.25">
      <c r="J743" s="40">
        <f>IF($A743="","",$A743-WEEKDAY($A743,1)+1)</f>
      </c>
      <c r="K743" s="42">
        <f>IF($A743="","",YEAR($A743)&amp;"Q"&amp;ROUNDUP(IFERROR(MONTH($A743)/3,0),0))</f>
      </c>
    </row>
    <row r="744" spans="10:11" x14ac:dyDescent="0.25">
      <c r="J744" s="40">
        <f>IF($A744="","",$A744-WEEKDAY($A744,1)+1)</f>
      </c>
      <c r="K744" s="42">
        <f>IF($A744="","",YEAR($A744)&amp;"Q"&amp;ROUNDUP(IFERROR(MONTH($A744)/3,0),0))</f>
      </c>
    </row>
    <row r="745" spans="10:11" x14ac:dyDescent="0.25">
      <c r="J745" s="40">
        <f>IF($A745="","",$A745-WEEKDAY($A745,1)+1)</f>
      </c>
      <c r="K745" s="42">
        <f>IF($A745="","",YEAR($A745)&amp;"Q"&amp;ROUNDUP(IFERROR(MONTH($A745)/3,0),0))</f>
      </c>
    </row>
    <row r="746" spans="10:11" x14ac:dyDescent="0.25">
      <c r="J746" s="40">
        <f>IF($A746="","",$A746-WEEKDAY($A746,1)+1)</f>
      </c>
      <c r="K746" s="42">
        <f>IF($A746="","",YEAR($A746)&amp;"Q"&amp;ROUNDUP(IFERROR(MONTH($A746)/3,0),0))</f>
      </c>
    </row>
    <row r="747" spans="10:11" x14ac:dyDescent="0.25">
      <c r="J747" s="40">
        <f>IF($A747="","",$A747-WEEKDAY($A747,1)+1)</f>
      </c>
      <c r="K747" s="42">
        <f>IF($A747="","",YEAR($A747)&amp;"Q"&amp;ROUNDUP(IFERROR(MONTH($A747)/3,0),0))</f>
      </c>
    </row>
    <row r="748" spans="10:11" x14ac:dyDescent="0.25">
      <c r="J748" s="40">
        <f>IF($A748="","",$A748-WEEKDAY($A748,1)+1)</f>
      </c>
      <c r="K748" s="42">
        <f>IF($A748="","",YEAR($A748)&amp;"Q"&amp;ROUNDUP(IFERROR(MONTH($A748)/3,0),0))</f>
      </c>
    </row>
    <row r="749" spans="10:11" x14ac:dyDescent="0.25">
      <c r="J749" s="40">
        <f>IF($A749="","",$A749-WEEKDAY($A749,1)+1)</f>
      </c>
      <c r="K749" s="42">
        <f>IF($A749="","",YEAR($A749)&amp;"Q"&amp;ROUNDUP(IFERROR(MONTH($A749)/3,0),0))</f>
      </c>
    </row>
    <row r="750" spans="10:11" x14ac:dyDescent="0.25">
      <c r="J750" s="40">
        <f>IF($A750="","",$A750-WEEKDAY($A750,1)+1)</f>
      </c>
      <c r="K750" s="42">
        <f>IF($A750="","",YEAR($A750)&amp;"Q"&amp;ROUNDUP(IFERROR(MONTH($A750)/3,0),0))</f>
      </c>
    </row>
    <row r="751" spans="10:11" x14ac:dyDescent="0.25">
      <c r="J751" s="40">
        <f>IF($A751="","",$A751-WEEKDAY($A751,1)+1)</f>
      </c>
      <c r="K751" s="42">
        <f>IF($A751="","",YEAR($A751)&amp;"Q"&amp;ROUNDUP(IFERROR(MONTH($A751)/3,0),0))</f>
      </c>
    </row>
    <row r="752" spans="10:11" x14ac:dyDescent="0.25">
      <c r="J752" s="40">
        <f>IF($A752="","",$A752-WEEKDAY($A752,1)+1)</f>
      </c>
      <c r="K752" s="42">
        <f>IF($A752="","",YEAR($A752)&amp;"Q"&amp;ROUNDUP(IFERROR(MONTH($A752)/3,0),0))</f>
      </c>
    </row>
    <row r="753" spans="10:11" x14ac:dyDescent="0.25">
      <c r="J753" s="40">
        <f>IF($A753="","",$A753-WEEKDAY($A753,1)+1)</f>
      </c>
      <c r="K753" s="42">
        <f>IF($A753="","",YEAR($A753)&amp;"Q"&amp;ROUNDUP(IFERROR(MONTH($A753)/3,0),0))</f>
      </c>
    </row>
    <row r="754" spans="10:11" x14ac:dyDescent="0.25">
      <c r="J754" s="40">
        <f>IF($A754="","",$A754-WEEKDAY($A754,1)+1)</f>
      </c>
      <c r="K754" s="42">
        <f>IF($A754="","",YEAR($A754)&amp;"Q"&amp;ROUNDUP(IFERROR(MONTH($A754)/3,0),0))</f>
      </c>
    </row>
    <row r="755" spans="10:11" x14ac:dyDescent="0.25">
      <c r="J755" s="40">
        <f>IF($A755="","",$A755-WEEKDAY($A755,1)+1)</f>
      </c>
      <c r="K755" s="42">
        <f>IF($A755="","",YEAR($A755)&amp;"Q"&amp;ROUNDUP(IFERROR(MONTH($A755)/3,0),0))</f>
      </c>
    </row>
    <row r="756" spans="10:11" x14ac:dyDescent="0.25">
      <c r="J756" s="40">
        <f>IF($A756="","",$A756-WEEKDAY($A756,1)+1)</f>
      </c>
      <c r="K756" s="42">
        <f>IF($A756="","",YEAR($A756)&amp;"Q"&amp;ROUNDUP(IFERROR(MONTH($A756)/3,0),0))</f>
      </c>
    </row>
    <row r="757" spans="10:11" x14ac:dyDescent="0.25">
      <c r="J757" s="40">
        <f>IF($A757="","",$A757-WEEKDAY($A757,1)+1)</f>
      </c>
      <c r="K757" s="42">
        <f>IF($A757="","",YEAR($A757)&amp;"Q"&amp;ROUNDUP(IFERROR(MONTH($A757)/3,0),0))</f>
      </c>
    </row>
    <row r="758" spans="10:11" x14ac:dyDescent="0.25">
      <c r="J758" s="40">
        <f>IF($A758="","",$A758-WEEKDAY($A758,1)+1)</f>
      </c>
      <c r="K758" s="42">
        <f>IF($A758="","",YEAR($A758)&amp;"Q"&amp;ROUNDUP(IFERROR(MONTH($A758)/3,0),0))</f>
      </c>
    </row>
    <row r="759" spans="10:11" x14ac:dyDescent="0.25">
      <c r="J759" s="40">
        <f>IF($A759="","",$A759-WEEKDAY($A759,1)+1)</f>
      </c>
      <c r="K759" s="42">
        <f>IF($A759="","",YEAR($A759)&amp;"Q"&amp;ROUNDUP(IFERROR(MONTH($A759)/3,0),0))</f>
      </c>
    </row>
    <row r="760" spans="10:11" x14ac:dyDescent="0.25">
      <c r="J760" s="40">
        <f>IF($A760="","",$A760-WEEKDAY($A760,1)+1)</f>
      </c>
      <c r="K760" s="42">
        <f>IF($A760="","",YEAR($A760)&amp;"Q"&amp;ROUNDUP(IFERROR(MONTH($A760)/3,0),0))</f>
      </c>
    </row>
    <row r="761" spans="10:11" x14ac:dyDescent="0.25">
      <c r="J761" s="40">
        <f>IF($A761="","",$A761-WEEKDAY($A761,1)+1)</f>
      </c>
      <c r="K761" s="42">
        <f>IF($A761="","",YEAR($A761)&amp;"Q"&amp;ROUNDUP(IFERROR(MONTH($A761)/3,0),0))</f>
      </c>
    </row>
    <row r="762" spans="10:11" x14ac:dyDescent="0.25">
      <c r="J762" s="40">
        <f>IF($A762="","",$A762-WEEKDAY($A762,1)+1)</f>
      </c>
      <c r="K762" s="42">
        <f>IF($A762="","",YEAR($A762)&amp;"Q"&amp;ROUNDUP(IFERROR(MONTH($A762)/3,0),0))</f>
      </c>
    </row>
    <row r="763" spans="10:11" x14ac:dyDescent="0.25">
      <c r="J763" s="40">
        <f>IF($A763="","",$A763-WEEKDAY($A763,1)+1)</f>
      </c>
      <c r="K763" s="42">
        <f>IF($A763="","",YEAR($A763)&amp;"Q"&amp;ROUNDUP(IFERROR(MONTH($A763)/3,0),0))</f>
      </c>
    </row>
    <row r="764" spans="10:11" x14ac:dyDescent="0.25">
      <c r="J764" s="40">
        <f>IF($A764="","",$A764-WEEKDAY($A764,1)+1)</f>
      </c>
      <c r="K764" s="42">
        <f>IF($A764="","",YEAR($A764)&amp;"Q"&amp;ROUNDUP(IFERROR(MONTH($A764)/3,0),0))</f>
      </c>
    </row>
    <row r="765" spans="10:11" x14ac:dyDescent="0.25">
      <c r="J765" s="40">
        <f>IF($A765="","",$A765-WEEKDAY($A765,1)+1)</f>
      </c>
      <c r="K765" s="42">
        <f>IF($A765="","",YEAR($A765)&amp;"Q"&amp;ROUNDUP(IFERROR(MONTH($A765)/3,0),0))</f>
      </c>
    </row>
    <row r="766" spans="10:11" x14ac:dyDescent="0.25">
      <c r="J766" s="40">
        <f>IF($A766="","",$A766-WEEKDAY($A766,1)+1)</f>
      </c>
      <c r="K766" s="42">
        <f>IF($A766="","",YEAR($A766)&amp;"Q"&amp;ROUNDUP(IFERROR(MONTH($A766)/3,0),0))</f>
      </c>
    </row>
    <row r="767" spans="10:11" x14ac:dyDescent="0.25">
      <c r="J767" s="40">
        <f>IF($A767="","",$A767-WEEKDAY($A767,1)+1)</f>
      </c>
      <c r="K767" s="42">
        <f>IF($A767="","",YEAR($A767)&amp;"Q"&amp;ROUNDUP(IFERROR(MONTH($A767)/3,0),0))</f>
      </c>
    </row>
    <row r="768" spans="10:11" x14ac:dyDescent="0.25">
      <c r="J768" s="40">
        <f>IF($A768="","",$A768-WEEKDAY($A768,1)+1)</f>
      </c>
      <c r="K768" s="42">
        <f>IF($A768="","",YEAR($A768)&amp;"Q"&amp;ROUNDUP(IFERROR(MONTH($A768)/3,0),0))</f>
      </c>
    </row>
    <row r="769" spans="10:11" x14ac:dyDescent="0.25">
      <c r="J769" s="40">
        <f>IF($A769="","",$A769-WEEKDAY($A769,1)+1)</f>
      </c>
      <c r="K769" s="42">
        <f>IF($A769="","",YEAR($A769)&amp;"Q"&amp;ROUNDUP(IFERROR(MONTH($A769)/3,0),0))</f>
      </c>
    </row>
    <row r="770" spans="10:11" x14ac:dyDescent="0.25">
      <c r="J770" s="40">
        <f>IF($A770="","",$A770-WEEKDAY($A770,1)+1)</f>
      </c>
      <c r="K770" s="42">
        <f>IF($A770="","",YEAR($A770)&amp;"Q"&amp;ROUNDUP(IFERROR(MONTH($A770)/3,0),0))</f>
      </c>
    </row>
    <row r="771" spans="10:11" x14ac:dyDescent="0.25">
      <c r="J771" s="40">
        <f>IF($A771="","",$A771-WEEKDAY($A771,1)+1)</f>
      </c>
      <c r="K771" s="42">
        <f>IF($A771="","",YEAR($A771)&amp;"Q"&amp;ROUNDUP(IFERROR(MONTH($A771)/3,0),0))</f>
      </c>
    </row>
    <row r="772" spans="10:11" x14ac:dyDescent="0.25">
      <c r="J772" s="40">
        <f>IF($A772="","",$A772-WEEKDAY($A772,1)+1)</f>
      </c>
      <c r="K772" s="42">
        <f>IF($A772="","",YEAR($A772)&amp;"Q"&amp;ROUNDUP(IFERROR(MONTH($A772)/3,0),0))</f>
      </c>
    </row>
    <row r="773" spans="10:11" x14ac:dyDescent="0.25">
      <c r="J773" s="40">
        <f>IF($A773="","",$A773-WEEKDAY($A773,1)+1)</f>
      </c>
      <c r="K773" s="42">
        <f>IF($A773="","",YEAR($A773)&amp;"Q"&amp;ROUNDUP(IFERROR(MONTH($A773)/3,0),0))</f>
      </c>
    </row>
    <row r="774" spans="10:11" x14ac:dyDescent="0.25">
      <c r="J774" s="40">
        <f>IF($A774="","",$A774-WEEKDAY($A774,1)+1)</f>
      </c>
      <c r="K774" s="42">
        <f>IF($A774="","",YEAR($A774)&amp;"Q"&amp;ROUNDUP(IFERROR(MONTH($A774)/3,0),0))</f>
      </c>
    </row>
    <row r="775" spans="10:11" x14ac:dyDescent="0.25">
      <c r="J775" s="40">
        <f>IF($A775="","",$A775-WEEKDAY($A775,1)+1)</f>
      </c>
      <c r="K775" s="42">
        <f>IF($A775="","",YEAR($A775)&amp;"Q"&amp;ROUNDUP(IFERROR(MONTH($A775)/3,0),0))</f>
      </c>
    </row>
    <row r="776" spans="10:11" x14ac:dyDescent="0.25">
      <c r="J776" s="40">
        <f>IF($A776="","",$A776-WEEKDAY($A776,1)+1)</f>
      </c>
      <c r="K776" s="42">
        <f>IF($A776="","",YEAR($A776)&amp;"Q"&amp;ROUNDUP(IFERROR(MONTH($A776)/3,0),0))</f>
      </c>
    </row>
    <row r="777" spans="10:11" x14ac:dyDescent="0.25">
      <c r="J777" s="40">
        <f>IF($A777="","",$A777-WEEKDAY($A777,1)+1)</f>
      </c>
      <c r="K777" s="42">
        <f>IF($A777="","",YEAR($A777)&amp;"Q"&amp;ROUNDUP(IFERROR(MONTH($A777)/3,0),0))</f>
      </c>
    </row>
    <row r="778" spans="10:11" x14ac:dyDescent="0.25">
      <c r="J778" s="40">
        <f>IF($A778="","",$A778-WEEKDAY($A778,1)+1)</f>
      </c>
      <c r="K778" s="42">
        <f>IF($A778="","",YEAR($A778)&amp;"Q"&amp;ROUNDUP(IFERROR(MONTH($A778)/3,0),0))</f>
      </c>
    </row>
    <row r="779" spans="10:11" x14ac:dyDescent="0.25">
      <c r="J779" s="40">
        <f>IF($A779="","",$A779-WEEKDAY($A779,1)+1)</f>
      </c>
      <c r="K779" s="42">
        <f>IF($A779="","",YEAR($A779)&amp;"Q"&amp;ROUNDUP(IFERROR(MONTH($A779)/3,0),0))</f>
      </c>
    </row>
    <row r="780" spans="10:11" x14ac:dyDescent="0.25">
      <c r="J780" s="40">
        <f>IF($A780="","",$A780-WEEKDAY($A780,1)+1)</f>
      </c>
      <c r="K780" s="42">
        <f>IF($A780="","",YEAR($A780)&amp;"Q"&amp;ROUNDUP(IFERROR(MONTH($A780)/3,0),0))</f>
      </c>
    </row>
    <row r="781" spans="10:11" x14ac:dyDescent="0.25">
      <c r="J781" s="40">
        <f>IF($A781="","",$A781-WEEKDAY($A781,1)+1)</f>
      </c>
      <c r="K781" s="42">
        <f>IF($A781="","",YEAR($A781)&amp;"Q"&amp;ROUNDUP(IFERROR(MONTH($A781)/3,0),0))</f>
      </c>
    </row>
    <row r="782" spans="10:11" x14ac:dyDescent="0.25">
      <c r="J782" s="40">
        <f>IF($A782="","",$A782-WEEKDAY($A782,1)+1)</f>
      </c>
      <c r="K782" s="42">
        <f>IF($A782="","",YEAR($A782)&amp;"Q"&amp;ROUNDUP(IFERROR(MONTH($A782)/3,0),0))</f>
      </c>
    </row>
    <row r="783" spans="10:11" x14ac:dyDescent="0.25">
      <c r="J783" s="40">
        <f>IF($A783="","",$A783-WEEKDAY($A783,1)+1)</f>
      </c>
      <c r="K783" s="42">
        <f>IF($A783="","",YEAR($A783)&amp;"Q"&amp;ROUNDUP(IFERROR(MONTH($A783)/3,0),0))</f>
      </c>
    </row>
    <row r="784" spans="10:11" x14ac:dyDescent="0.25">
      <c r="J784" s="40">
        <f>IF($A784="","",$A784-WEEKDAY($A784,1)+1)</f>
      </c>
      <c r="K784" s="42">
        <f>IF($A784="","",YEAR($A784)&amp;"Q"&amp;ROUNDUP(IFERROR(MONTH($A784)/3,0),0))</f>
      </c>
    </row>
    <row r="785" spans="10:11" x14ac:dyDescent="0.25">
      <c r="J785" s="40">
        <f>IF($A785="","",$A785-WEEKDAY($A785,1)+1)</f>
      </c>
      <c r="K785" s="42">
        <f>IF($A785="","",YEAR($A785)&amp;"Q"&amp;ROUNDUP(IFERROR(MONTH($A785)/3,0),0))</f>
      </c>
    </row>
    <row r="786" spans="10:11" x14ac:dyDescent="0.25">
      <c r="J786" s="40">
        <f>IF($A786="","",$A786-WEEKDAY($A786,1)+1)</f>
      </c>
      <c r="K786" s="42">
        <f>IF($A786="","",YEAR($A786)&amp;"Q"&amp;ROUNDUP(IFERROR(MONTH($A786)/3,0),0))</f>
      </c>
    </row>
    <row r="787" spans="10:11" x14ac:dyDescent="0.25">
      <c r="J787" s="40">
        <f>IF($A787="","",$A787-WEEKDAY($A787,1)+1)</f>
      </c>
      <c r="K787" s="42">
        <f>IF($A787="","",YEAR($A787)&amp;"Q"&amp;ROUNDUP(IFERROR(MONTH($A787)/3,0),0))</f>
      </c>
    </row>
    <row r="788" spans="10:11" x14ac:dyDescent="0.25">
      <c r="J788" s="40">
        <f>IF($A788="","",$A788-WEEKDAY($A788,1)+1)</f>
      </c>
      <c r="K788" s="42">
        <f>IF($A788="","",YEAR($A788)&amp;"Q"&amp;ROUNDUP(IFERROR(MONTH($A788)/3,0),0))</f>
      </c>
    </row>
    <row r="789" spans="10:11" x14ac:dyDescent="0.25">
      <c r="J789" s="40">
        <f>IF($A789="","",$A789-WEEKDAY($A789,1)+1)</f>
      </c>
      <c r="K789" s="42">
        <f>IF($A789="","",YEAR($A789)&amp;"Q"&amp;ROUNDUP(IFERROR(MONTH($A789)/3,0),0))</f>
      </c>
    </row>
    <row r="790" spans="10:11" x14ac:dyDescent="0.25">
      <c r="J790" s="40">
        <f>IF($A790="","",$A790-WEEKDAY($A790,1)+1)</f>
      </c>
      <c r="K790" s="42">
        <f>IF($A790="","",YEAR($A790)&amp;"Q"&amp;ROUNDUP(IFERROR(MONTH($A790)/3,0),0))</f>
      </c>
    </row>
    <row r="791" spans="10:11" x14ac:dyDescent="0.25">
      <c r="J791" s="40">
        <f>IF($A791="","",$A791-WEEKDAY($A791,1)+1)</f>
      </c>
      <c r="K791" s="42">
        <f>IF($A791="","",YEAR($A791)&amp;"Q"&amp;ROUNDUP(IFERROR(MONTH($A791)/3,0),0))</f>
      </c>
    </row>
    <row r="792" spans="10:11" x14ac:dyDescent="0.25">
      <c r="J792" s="40">
        <f>IF($A792="","",$A792-WEEKDAY($A792,1)+1)</f>
      </c>
      <c r="K792" s="42">
        <f>IF($A792="","",YEAR($A792)&amp;"Q"&amp;ROUNDUP(IFERROR(MONTH($A792)/3,0),0))</f>
      </c>
    </row>
    <row r="793" spans="10:11" x14ac:dyDescent="0.25">
      <c r="J793" s="40">
        <f>IF($A793="","",$A793-WEEKDAY($A793,1)+1)</f>
      </c>
      <c r="K793" s="42">
        <f>IF($A793="","",YEAR($A793)&amp;"Q"&amp;ROUNDUP(IFERROR(MONTH($A793)/3,0),0))</f>
      </c>
    </row>
    <row r="794" spans="10:11" x14ac:dyDescent="0.25">
      <c r="J794" s="40">
        <f>IF($A794="","",$A794-WEEKDAY($A794,1)+1)</f>
      </c>
      <c r="K794" s="42">
        <f>IF($A794="","",YEAR($A794)&amp;"Q"&amp;ROUNDUP(IFERROR(MONTH($A794)/3,0),0))</f>
      </c>
    </row>
    <row r="795" spans="10:11" x14ac:dyDescent="0.25">
      <c r="J795" s="40">
        <f>IF($A795="","",$A795-WEEKDAY($A795,1)+1)</f>
      </c>
      <c r="K795" s="42">
        <f>IF($A795="","",YEAR($A795)&amp;"Q"&amp;ROUNDUP(IFERROR(MONTH($A795)/3,0),0))</f>
      </c>
    </row>
    <row r="796" spans="10:11" x14ac:dyDescent="0.25">
      <c r="J796" s="40">
        <f>IF($A796="","",$A796-WEEKDAY($A796,1)+1)</f>
      </c>
      <c r="K796" s="42">
        <f>IF($A796="","",YEAR($A796)&amp;"Q"&amp;ROUNDUP(IFERROR(MONTH($A796)/3,0),0))</f>
      </c>
    </row>
    <row r="797" spans="10:11" x14ac:dyDescent="0.25">
      <c r="J797" s="40">
        <f>IF($A797="","",$A797-WEEKDAY($A797,1)+1)</f>
      </c>
      <c r="K797" s="42">
        <f>IF($A797="","",YEAR($A797)&amp;"Q"&amp;ROUNDUP(IFERROR(MONTH($A797)/3,0),0))</f>
      </c>
    </row>
    <row r="798" spans="10:11" x14ac:dyDescent="0.25">
      <c r="J798" s="40">
        <f>IF($A798="","",$A798-WEEKDAY($A798,1)+1)</f>
      </c>
      <c r="K798" s="42">
        <f>IF($A798="","",YEAR($A798)&amp;"Q"&amp;ROUNDUP(IFERROR(MONTH($A798)/3,0),0))</f>
      </c>
    </row>
    <row r="799" spans="10:11" x14ac:dyDescent="0.25">
      <c r="J799" s="40">
        <f>IF($A799="","",$A799-WEEKDAY($A799,1)+1)</f>
      </c>
      <c r="K799" s="42">
        <f>IF($A799="","",YEAR($A799)&amp;"Q"&amp;ROUNDUP(IFERROR(MONTH($A799)/3,0),0))</f>
      </c>
    </row>
    <row r="800" spans="10:11" x14ac:dyDescent="0.25">
      <c r="J800" s="40">
        <f>IF($A800="","",$A800-WEEKDAY($A800,1)+1)</f>
      </c>
      <c r="K800" s="42">
        <f>IF($A800="","",YEAR($A800)&amp;"Q"&amp;ROUNDUP(IFERROR(MONTH($A800)/3,0),0))</f>
      </c>
    </row>
    <row r="801" spans="10:11" x14ac:dyDescent="0.25">
      <c r="J801" s="40">
        <f>IF($A801="","",$A801-WEEKDAY($A801,1)+1)</f>
      </c>
      <c r="K801" s="42">
        <f>IF($A801="","",YEAR($A801)&amp;"Q"&amp;ROUNDUP(IFERROR(MONTH($A801)/3,0),0))</f>
      </c>
    </row>
    <row r="802" spans="10:11" x14ac:dyDescent="0.25">
      <c r="J802" s="40">
        <f>IF($A802="","",$A802-WEEKDAY($A802,1)+1)</f>
      </c>
      <c r="K802" s="42">
        <f>IF($A802="","",YEAR($A802)&amp;"Q"&amp;ROUNDUP(IFERROR(MONTH($A802)/3,0),0))</f>
      </c>
    </row>
    <row r="803" spans="10:11" x14ac:dyDescent="0.25">
      <c r="J803" s="40">
        <f>IF($A803="","",$A803-WEEKDAY($A803,1)+1)</f>
      </c>
      <c r="K803" s="42">
        <f>IF($A803="","",YEAR($A803)&amp;"Q"&amp;ROUNDUP(IFERROR(MONTH($A803)/3,0),0))</f>
      </c>
    </row>
    <row r="804" spans="10:11" x14ac:dyDescent="0.25">
      <c r="J804" s="40">
        <f>IF($A804="","",$A804-WEEKDAY($A804,1)+1)</f>
      </c>
      <c r="K804" s="42">
        <f>IF($A804="","",YEAR($A804)&amp;"Q"&amp;ROUNDUP(IFERROR(MONTH($A804)/3,0),0))</f>
      </c>
    </row>
    <row r="805" spans="10:11" x14ac:dyDescent="0.25">
      <c r="J805" s="40">
        <f>IF($A805="","",$A805-WEEKDAY($A805,1)+1)</f>
      </c>
      <c r="K805" s="42">
        <f>IF($A805="","",YEAR($A805)&amp;"Q"&amp;ROUNDUP(IFERROR(MONTH($A805)/3,0),0))</f>
      </c>
    </row>
    <row r="806" spans="10:11" x14ac:dyDescent="0.25">
      <c r="J806" s="40">
        <f>IF($A806="","",$A806-WEEKDAY($A806,1)+1)</f>
      </c>
      <c r="K806" s="42">
        <f>IF($A806="","",YEAR($A806)&amp;"Q"&amp;ROUNDUP(IFERROR(MONTH($A806)/3,0),0))</f>
      </c>
    </row>
    <row r="807" spans="10:11" x14ac:dyDescent="0.25">
      <c r="J807" s="40">
        <f>IF($A807="","",$A807-WEEKDAY($A807,1)+1)</f>
      </c>
      <c r="K807" s="42">
        <f>IF($A807="","",YEAR($A807)&amp;"Q"&amp;ROUNDUP(IFERROR(MONTH($A807)/3,0),0))</f>
      </c>
    </row>
    <row r="808" spans="10:11" x14ac:dyDescent="0.25">
      <c r="J808" s="40">
        <f>IF($A808="","",$A808-WEEKDAY($A808,1)+1)</f>
      </c>
      <c r="K808" s="42">
        <f>IF($A808="","",YEAR($A808)&amp;"Q"&amp;ROUNDUP(IFERROR(MONTH($A808)/3,0),0))</f>
      </c>
    </row>
    <row r="809" spans="10:11" x14ac:dyDescent="0.25">
      <c r="J809" s="40">
        <f>IF($A809="","",$A809-WEEKDAY($A809,1)+1)</f>
      </c>
      <c r="K809" s="42">
        <f>IF($A809="","",YEAR($A809)&amp;"Q"&amp;ROUNDUP(IFERROR(MONTH($A809)/3,0),0))</f>
      </c>
    </row>
    <row r="810" spans="10:11" x14ac:dyDescent="0.25">
      <c r="J810" s="40">
        <f>IF($A810="","",$A810-WEEKDAY($A810,1)+1)</f>
      </c>
      <c r="K810" s="42">
        <f>IF($A810="","",YEAR($A810)&amp;"Q"&amp;ROUNDUP(IFERROR(MONTH($A810)/3,0),0))</f>
      </c>
    </row>
    <row r="811" spans="10:11" x14ac:dyDescent="0.25">
      <c r="J811" s="40">
        <f>IF($A811="","",$A811-WEEKDAY($A811,1)+1)</f>
      </c>
      <c r="K811" s="42">
        <f>IF($A811="","",YEAR($A811)&amp;"Q"&amp;ROUNDUP(IFERROR(MONTH($A811)/3,0),0))</f>
      </c>
    </row>
    <row r="812" spans="10:11" x14ac:dyDescent="0.25">
      <c r="J812" s="40">
        <f>IF($A812="","",$A812-WEEKDAY($A812,1)+1)</f>
      </c>
      <c r="K812" s="42">
        <f>IF($A812="","",YEAR($A812)&amp;"Q"&amp;ROUNDUP(IFERROR(MONTH($A812)/3,0),0))</f>
      </c>
    </row>
    <row r="813" spans="10:11" x14ac:dyDescent="0.25">
      <c r="J813" s="40">
        <f>IF($A813="","",$A813-WEEKDAY($A813,1)+1)</f>
      </c>
      <c r="K813" s="42">
        <f>IF($A813="","",YEAR($A813)&amp;"Q"&amp;ROUNDUP(IFERROR(MONTH($A813)/3,0),0))</f>
      </c>
    </row>
    <row r="814" spans="10:11" x14ac:dyDescent="0.25">
      <c r="J814" s="40">
        <f>IF($A814="","",$A814-WEEKDAY($A814,1)+1)</f>
      </c>
      <c r="K814" s="42">
        <f>IF($A814="","",YEAR($A814)&amp;"Q"&amp;ROUNDUP(IFERROR(MONTH($A814)/3,0),0))</f>
      </c>
    </row>
    <row r="815" spans="10:11" x14ac:dyDescent="0.25">
      <c r="J815" s="40">
        <f>IF($A815="","",$A815-WEEKDAY($A815,1)+1)</f>
      </c>
      <c r="K815" s="42">
        <f>IF($A815="","",YEAR($A815)&amp;"Q"&amp;ROUNDUP(IFERROR(MONTH($A815)/3,0),0))</f>
      </c>
    </row>
    <row r="816" spans="10:11" x14ac:dyDescent="0.25">
      <c r="J816" s="40">
        <f>IF($A816="","",$A816-WEEKDAY($A816,1)+1)</f>
      </c>
      <c r="K816" s="42">
        <f>IF($A816="","",YEAR($A816)&amp;"Q"&amp;ROUNDUP(IFERROR(MONTH($A816)/3,0),0))</f>
      </c>
    </row>
    <row r="817" spans="10:11" x14ac:dyDescent="0.25">
      <c r="J817" s="40">
        <f>IF($A817="","",$A817-WEEKDAY($A817,1)+1)</f>
      </c>
      <c r="K817" s="42">
        <f>IF($A817="","",YEAR($A817)&amp;"Q"&amp;ROUNDUP(IFERROR(MONTH($A817)/3,0),0))</f>
      </c>
    </row>
    <row r="818" spans="10:11" x14ac:dyDescent="0.25">
      <c r="J818" s="40">
        <f>IF($A818="","",$A818-WEEKDAY($A818,1)+1)</f>
      </c>
      <c r="K818" s="42">
        <f>IF($A818="","",YEAR($A818)&amp;"Q"&amp;ROUNDUP(IFERROR(MONTH($A818)/3,0),0))</f>
      </c>
    </row>
    <row r="819" spans="10:11" x14ac:dyDescent="0.25">
      <c r="J819" s="40">
        <f>IF($A819="","",$A819-WEEKDAY($A819,1)+1)</f>
      </c>
      <c r="K819" s="42">
        <f>IF($A819="","",YEAR($A819)&amp;"Q"&amp;ROUNDUP(IFERROR(MONTH($A819)/3,0),0))</f>
      </c>
    </row>
    <row r="820" spans="10:11" x14ac:dyDescent="0.25">
      <c r="J820" s="40">
        <f>IF($A820="","",$A820-WEEKDAY($A820,1)+1)</f>
      </c>
      <c r="K820" s="42">
        <f>IF($A820="","",YEAR($A820)&amp;"Q"&amp;ROUNDUP(IFERROR(MONTH($A820)/3,0),0))</f>
      </c>
    </row>
    <row r="821" spans="10:11" x14ac:dyDescent="0.25">
      <c r="J821" s="40">
        <f>IF($A821="","",$A821-WEEKDAY($A821,1)+1)</f>
      </c>
      <c r="K821" s="42">
        <f>IF($A821="","",YEAR($A821)&amp;"Q"&amp;ROUNDUP(IFERROR(MONTH($A821)/3,0),0))</f>
      </c>
    </row>
    <row r="822" spans="10:11" x14ac:dyDescent="0.25">
      <c r="J822" s="40">
        <f>IF($A822="","",$A822-WEEKDAY($A822,1)+1)</f>
      </c>
      <c r="K822" s="42">
        <f>IF($A822="","",YEAR($A822)&amp;"Q"&amp;ROUNDUP(IFERROR(MONTH($A822)/3,0),0))</f>
      </c>
    </row>
    <row r="823" spans="10:11" x14ac:dyDescent="0.25">
      <c r="J823" s="40">
        <f>IF($A823="","",$A823-WEEKDAY($A823,1)+1)</f>
      </c>
      <c r="K823" s="42">
        <f>IF($A823="","",YEAR($A823)&amp;"Q"&amp;ROUNDUP(IFERROR(MONTH($A823)/3,0),0))</f>
      </c>
    </row>
    <row r="824" spans="10:11" x14ac:dyDescent="0.25">
      <c r="J824" s="40">
        <f>IF($A824="","",$A824-WEEKDAY($A824,1)+1)</f>
      </c>
      <c r="K824" s="42">
        <f>IF($A824="","",YEAR($A824)&amp;"Q"&amp;ROUNDUP(IFERROR(MONTH($A824)/3,0),0))</f>
      </c>
    </row>
    <row r="825" spans="10:11" x14ac:dyDescent="0.25">
      <c r="J825" s="40">
        <f>IF($A825="","",$A825-WEEKDAY($A825,1)+1)</f>
      </c>
      <c r="K825" s="42">
        <f>IF($A825="","",YEAR($A825)&amp;"Q"&amp;ROUNDUP(IFERROR(MONTH($A825)/3,0),0))</f>
      </c>
    </row>
    <row r="826" spans="10:11" x14ac:dyDescent="0.25">
      <c r="J826" s="40">
        <f>IF($A826="","",$A826-WEEKDAY($A826,1)+1)</f>
      </c>
      <c r="K826" s="42">
        <f>IF($A826="","",YEAR($A826)&amp;"Q"&amp;ROUNDUP(IFERROR(MONTH($A826)/3,0),0))</f>
      </c>
    </row>
    <row r="827" spans="10:11" x14ac:dyDescent="0.25">
      <c r="J827" s="40">
        <f>IF($A827="","",$A827-WEEKDAY($A827,1)+1)</f>
      </c>
      <c r="K827" s="42">
        <f>IF($A827="","",YEAR($A827)&amp;"Q"&amp;ROUNDUP(IFERROR(MONTH($A827)/3,0),0))</f>
      </c>
    </row>
    <row r="828" spans="10:11" x14ac:dyDescent="0.25">
      <c r="J828" s="40">
        <f>IF($A828="","",$A828-WEEKDAY($A828,1)+1)</f>
      </c>
      <c r="K828" s="42">
        <f>IF($A828="","",YEAR($A828)&amp;"Q"&amp;ROUNDUP(IFERROR(MONTH($A828)/3,0),0))</f>
      </c>
    </row>
    <row r="829" spans="10:11" x14ac:dyDescent="0.25">
      <c r="J829" s="40">
        <f>IF($A829="","",$A829-WEEKDAY($A829,1)+1)</f>
      </c>
      <c r="K829" s="42">
        <f>IF($A829="","",YEAR($A829)&amp;"Q"&amp;ROUNDUP(IFERROR(MONTH($A829)/3,0),0))</f>
      </c>
    </row>
    <row r="830" spans="10:11" x14ac:dyDescent="0.25">
      <c r="J830" s="40">
        <f>IF($A830="","",$A830-WEEKDAY($A830,1)+1)</f>
      </c>
      <c r="K830" s="42">
        <f>IF($A830="","",YEAR($A830)&amp;"Q"&amp;ROUNDUP(IFERROR(MONTH($A830)/3,0),0))</f>
      </c>
    </row>
    <row r="831" spans="10:11" x14ac:dyDescent="0.25">
      <c r="J831" s="40">
        <f>IF($A831="","",$A831-WEEKDAY($A831,1)+1)</f>
      </c>
      <c r="K831" s="42">
        <f>IF($A831="","",YEAR($A831)&amp;"Q"&amp;ROUNDUP(IFERROR(MONTH($A831)/3,0),0))</f>
      </c>
    </row>
    <row r="832" spans="10:11" x14ac:dyDescent="0.25">
      <c r="J832" s="40">
        <f>IF($A832="","",$A832-WEEKDAY($A832,1)+1)</f>
      </c>
      <c r="K832" s="42">
        <f>IF($A832="","",YEAR($A832)&amp;"Q"&amp;ROUNDUP(IFERROR(MONTH($A832)/3,0),0))</f>
      </c>
    </row>
    <row r="833" spans="10:11" x14ac:dyDescent="0.25">
      <c r="J833" s="40">
        <f>IF($A833="","",$A833-WEEKDAY($A833,1)+1)</f>
      </c>
      <c r="K833" s="42">
        <f>IF($A833="","",YEAR($A833)&amp;"Q"&amp;ROUNDUP(IFERROR(MONTH($A833)/3,0),0))</f>
      </c>
    </row>
    <row r="834" spans="10:11" x14ac:dyDescent="0.25">
      <c r="J834" s="40">
        <f>IF($A834="","",$A834-WEEKDAY($A834,1)+1)</f>
      </c>
      <c r="K834" s="42">
        <f>IF($A834="","",YEAR($A834)&amp;"Q"&amp;ROUNDUP(IFERROR(MONTH($A834)/3,0),0))</f>
      </c>
    </row>
    <row r="835" spans="10:11" x14ac:dyDescent="0.25">
      <c r="J835" s="40">
        <f>IF($A835="","",$A835-WEEKDAY($A835,1)+1)</f>
      </c>
      <c r="K835" s="42">
        <f>IF($A835="","",YEAR($A835)&amp;"Q"&amp;ROUNDUP(IFERROR(MONTH($A835)/3,0),0))</f>
      </c>
    </row>
    <row r="836" spans="10:11" x14ac:dyDescent="0.25">
      <c r="J836" s="40">
        <f>IF($A836="","",$A836-WEEKDAY($A836,1)+1)</f>
      </c>
      <c r="K836" s="42">
        <f>IF($A836="","",YEAR($A836)&amp;"Q"&amp;ROUNDUP(IFERROR(MONTH($A836)/3,0),0))</f>
      </c>
    </row>
    <row r="837" spans="10:11" x14ac:dyDescent="0.25">
      <c r="J837" s="40">
        <f>IF($A837="","",$A837-WEEKDAY($A837,1)+1)</f>
      </c>
      <c r="K837" s="42">
        <f>IF($A837="","",YEAR($A837)&amp;"Q"&amp;ROUNDUP(IFERROR(MONTH($A837)/3,0),0))</f>
      </c>
    </row>
    <row r="838" spans="10:11" x14ac:dyDescent="0.25">
      <c r="J838" s="40">
        <f>IF($A838="","",$A838-WEEKDAY($A838,1)+1)</f>
      </c>
      <c r="K838" s="42">
        <f>IF($A838="","",YEAR($A838)&amp;"Q"&amp;ROUNDUP(IFERROR(MONTH($A838)/3,0),0))</f>
      </c>
    </row>
    <row r="839" spans="10:11" x14ac:dyDescent="0.25">
      <c r="J839" s="40">
        <f>IF($A839="","",$A839-WEEKDAY($A839,1)+1)</f>
      </c>
      <c r="K839" s="42">
        <f>IF($A839="","",YEAR($A839)&amp;"Q"&amp;ROUNDUP(IFERROR(MONTH($A839)/3,0),0))</f>
      </c>
    </row>
    <row r="840" spans="10:11" x14ac:dyDescent="0.25">
      <c r="J840" s="40">
        <f>IF($A840="","",$A840-WEEKDAY($A840,1)+1)</f>
      </c>
      <c r="K840" s="42">
        <f>IF($A840="","",YEAR($A840)&amp;"Q"&amp;ROUNDUP(IFERROR(MONTH($A840)/3,0),0))</f>
      </c>
    </row>
    <row r="841" spans="10:11" x14ac:dyDescent="0.25">
      <c r="J841" s="40">
        <f>IF($A841="","",$A841-WEEKDAY($A841,1)+1)</f>
      </c>
      <c r="K841" s="42">
        <f>IF($A841="","",YEAR($A841)&amp;"Q"&amp;ROUNDUP(IFERROR(MONTH($A841)/3,0),0))</f>
      </c>
    </row>
    <row r="842" spans="10:11" x14ac:dyDescent="0.25">
      <c r="J842" s="40">
        <f>IF($A842="","",$A842-WEEKDAY($A842,1)+1)</f>
      </c>
      <c r="K842" s="42">
        <f>IF($A842="","",YEAR($A842)&amp;"Q"&amp;ROUNDUP(IFERROR(MONTH($A842)/3,0),0))</f>
      </c>
    </row>
    <row r="843" spans="10:11" x14ac:dyDescent="0.25">
      <c r="J843" s="40">
        <f>IF($A843="","",$A843-WEEKDAY($A843,1)+1)</f>
      </c>
      <c r="K843" s="42">
        <f>IF($A843="","",YEAR($A843)&amp;"Q"&amp;ROUNDUP(IFERROR(MONTH($A843)/3,0),0))</f>
      </c>
    </row>
    <row r="844" spans="10:11" x14ac:dyDescent="0.25">
      <c r="J844" s="40">
        <f>IF($A844="","",$A844-WEEKDAY($A844,1)+1)</f>
      </c>
      <c r="K844" s="42">
        <f>IF($A844="","",YEAR($A844)&amp;"Q"&amp;ROUNDUP(IFERROR(MONTH($A844)/3,0),0))</f>
      </c>
    </row>
    <row r="845" spans="10:11" x14ac:dyDescent="0.25">
      <c r="J845" s="40">
        <f>IF($A845="","",$A845-WEEKDAY($A845,1)+1)</f>
      </c>
      <c r="K845" s="42">
        <f>IF($A845="","",YEAR($A845)&amp;"Q"&amp;ROUNDUP(IFERROR(MONTH($A845)/3,0),0))</f>
      </c>
    </row>
    <row r="846" spans="10:11" x14ac:dyDescent="0.25">
      <c r="J846" s="40">
        <f>IF($A846="","",$A846-WEEKDAY($A846,1)+1)</f>
      </c>
      <c r="K846" s="42">
        <f>IF($A846="","",YEAR($A846)&amp;"Q"&amp;ROUNDUP(IFERROR(MONTH($A846)/3,0),0))</f>
      </c>
    </row>
    <row r="847" spans="10:11" x14ac:dyDescent="0.25">
      <c r="J847" s="40">
        <f>IF($A847="","",$A847-WEEKDAY($A847,1)+1)</f>
      </c>
      <c r="K847" s="42">
        <f>IF($A847="","",YEAR($A847)&amp;"Q"&amp;ROUNDUP(IFERROR(MONTH($A847)/3,0),0))</f>
      </c>
    </row>
    <row r="848" spans="10:11" x14ac:dyDescent="0.25">
      <c r="J848" s="40">
        <f>IF($A848="","",$A848-WEEKDAY($A848,1)+1)</f>
      </c>
      <c r="K848" s="42">
        <f>IF($A848="","",YEAR($A848)&amp;"Q"&amp;ROUNDUP(IFERROR(MONTH($A848)/3,0),0))</f>
      </c>
    </row>
    <row r="849" spans="10:11" x14ac:dyDescent="0.25">
      <c r="J849" s="40">
        <f>IF($A849="","",$A849-WEEKDAY($A849,1)+1)</f>
      </c>
      <c r="K849" s="42">
        <f>IF($A849="","",YEAR($A849)&amp;"Q"&amp;ROUNDUP(IFERROR(MONTH($A849)/3,0),0))</f>
      </c>
    </row>
    <row r="850" spans="10:11" x14ac:dyDescent="0.25">
      <c r="J850" s="40">
        <f>IF($A850="","",$A850-WEEKDAY($A850,1)+1)</f>
      </c>
      <c r="K850" s="42">
        <f>IF($A850="","",YEAR($A850)&amp;"Q"&amp;ROUNDUP(IFERROR(MONTH($A850)/3,0),0))</f>
      </c>
    </row>
    <row r="851" spans="10:11" x14ac:dyDescent="0.25">
      <c r="J851" s="40">
        <f>IF($A851="","",$A851-WEEKDAY($A851,1)+1)</f>
      </c>
      <c r="K851" s="42">
        <f>IF($A851="","",YEAR($A851)&amp;"Q"&amp;ROUNDUP(IFERROR(MONTH($A851)/3,0),0))</f>
      </c>
    </row>
    <row r="852" spans="10:11" x14ac:dyDescent="0.25">
      <c r="J852" s="40">
        <f>IF($A852="","",$A852-WEEKDAY($A852,1)+1)</f>
      </c>
      <c r="K852" s="42">
        <f>IF($A852="","",YEAR($A852)&amp;"Q"&amp;ROUNDUP(IFERROR(MONTH($A852)/3,0),0))</f>
      </c>
    </row>
    <row r="853" spans="10:11" x14ac:dyDescent="0.25">
      <c r="J853" s="40">
        <f>IF($A853="","",$A853-WEEKDAY($A853,1)+1)</f>
      </c>
      <c r="K853" s="42">
        <f>IF($A853="","",YEAR($A853)&amp;"Q"&amp;ROUNDUP(IFERROR(MONTH($A853)/3,0),0))</f>
      </c>
    </row>
    <row r="854" spans="10:11" x14ac:dyDescent="0.25">
      <c r="J854" s="40">
        <f>IF($A854="","",$A854-WEEKDAY($A854,1)+1)</f>
      </c>
      <c r="K854" s="42">
        <f>IF($A854="","",YEAR($A854)&amp;"Q"&amp;ROUNDUP(IFERROR(MONTH($A854)/3,0),0))</f>
      </c>
    </row>
    <row r="855" spans="10:11" x14ac:dyDescent="0.25">
      <c r="J855" s="40">
        <f>IF($A855="","",$A855-WEEKDAY($A855,1)+1)</f>
      </c>
      <c r="K855" s="42">
        <f>IF($A855="","",YEAR($A855)&amp;"Q"&amp;ROUNDUP(IFERROR(MONTH($A855)/3,0),0))</f>
      </c>
    </row>
    <row r="856" spans="10:11" x14ac:dyDescent="0.25">
      <c r="J856" s="40">
        <f>IF($A856="","",$A856-WEEKDAY($A856,1)+1)</f>
      </c>
      <c r="K856" s="42">
        <f>IF($A856="","",YEAR($A856)&amp;"Q"&amp;ROUNDUP(IFERROR(MONTH($A856)/3,0),0))</f>
      </c>
    </row>
    <row r="857" spans="10:11" x14ac:dyDescent="0.25">
      <c r="J857" s="40">
        <f>IF($A857="","",$A857-WEEKDAY($A857,1)+1)</f>
      </c>
      <c r="K857" s="42">
        <f>IF($A857="","",YEAR($A857)&amp;"Q"&amp;ROUNDUP(IFERROR(MONTH($A857)/3,0),0))</f>
      </c>
    </row>
    <row r="858" spans="10:11" x14ac:dyDescent="0.25">
      <c r="J858" s="40">
        <f>IF($A858="","",$A858-WEEKDAY($A858,1)+1)</f>
      </c>
      <c r="K858" s="42">
        <f>IF($A858="","",YEAR($A858)&amp;"Q"&amp;ROUNDUP(IFERROR(MONTH($A858)/3,0),0))</f>
      </c>
    </row>
    <row r="859" spans="10:11" x14ac:dyDescent="0.25">
      <c r="J859" s="40">
        <f>IF($A859="","",$A859-WEEKDAY($A859,1)+1)</f>
      </c>
      <c r="K859" s="42">
        <f>IF($A859="","",YEAR($A859)&amp;"Q"&amp;ROUNDUP(IFERROR(MONTH($A859)/3,0),0))</f>
      </c>
    </row>
    <row r="860" spans="10:11" x14ac:dyDescent="0.25">
      <c r="J860" s="40">
        <f>IF($A860="","",$A860-WEEKDAY($A860,1)+1)</f>
      </c>
      <c r="K860" s="42">
        <f>IF($A860="","",YEAR($A860)&amp;"Q"&amp;ROUNDUP(IFERROR(MONTH($A860)/3,0),0))</f>
      </c>
    </row>
    <row r="861" spans="10:11" x14ac:dyDescent="0.25">
      <c r="J861" s="40">
        <f>IF($A861="","",$A861-WEEKDAY($A861,1)+1)</f>
      </c>
      <c r="K861" s="42">
        <f>IF($A861="","",YEAR($A861)&amp;"Q"&amp;ROUNDUP(IFERROR(MONTH($A861)/3,0),0))</f>
      </c>
    </row>
    <row r="862" spans="10:11" x14ac:dyDescent="0.25">
      <c r="J862" s="40">
        <f>IF($A862="","",$A862-WEEKDAY($A862,1)+1)</f>
      </c>
      <c r="K862" s="42">
        <f>IF($A862="","",YEAR($A862)&amp;"Q"&amp;ROUNDUP(IFERROR(MONTH($A862)/3,0),0))</f>
      </c>
    </row>
    <row r="863" spans="10:11" x14ac:dyDescent="0.25">
      <c r="J863" s="40">
        <f>IF($A863="","",$A863-WEEKDAY($A863,1)+1)</f>
      </c>
      <c r="K863" s="42">
        <f>IF($A863="","",YEAR($A863)&amp;"Q"&amp;ROUNDUP(IFERROR(MONTH($A863)/3,0),0))</f>
      </c>
    </row>
    <row r="864" spans="10:11" x14ac:dyDescent="0.25">
      <c r="J864" s="40">
        <f>IF($A864="","",$A864-WEEKDAY($A864,1)+1)</f>
      </c>
      <c r="K864" s="42">
        <f>IF($A864="","",YEAR($A864)&amp;"Q"&amp;ROUNDUP(IFERROR(MONTH($A864)/3,0),0))</f>
      </c>
    </row>
    <row r="865" spans="10:11" x14ac:dyDescent="0.25">
      <c r="J865" s="40">
        <f>IF($A865="","",$A865-WEEKDAY($A865,1)+1)</f>
      </c>
      <c r="K865" s="42">
        <f>IF($A865="","",YEAR($A865)&amp;"Q"&amp;ROUNDUP(IFERROR(MONTH($A865)/3,0),0))</f>
      </c>
    </row>
    <row r="866" spans="10:11" x14ac:dyDescent="0.25">
      <c r="J866" s="40">
        <f>IF($A866="","",$A866-WEEKDAY($A866,1)+1)</f>
      </c>
      <c r="K866" s="42">
        <f>IF($A866="","",YEAR($A866)&amp;"Q"&amp;ROUNDUP(IFERROR(MONTH($A866)/3,0),0))</f>
      </c>
    </row>
    <row r="867" spans="10:11" x14ac:dyDescent="0.25">
      <c r="J867" s="40">
        <f>IF($A867="","",$A867-WEEKDAY($A867,1)+1)</f>
      </c>
      <c r="K867" s="42">
        <f>IF($A867="","",YEAR($A867)&amp;"Q"&amp;ROUNDUP(IFERROR(MONTH($A867)/3,0),0))</f>
      </c>
    </row>
    <row r="868" spans="10:11" x14ac:dyDescent="0.25">
      <c r="J868" s="40">
        <f>IF($A868="","",$A868-WEEKDAY($A868,1)+1)</f>
      </c>
      <c r="K868" s="42">
        <f>IF($A868="","",YEAR($A868)&amp;"Q"&amp;ROUNDUP(IFERROR(MONTH($A868)/3,0),0))</f>
      </c>
    </row>
    <row r="869" spans="10:11" x14ac:dyDescent="0.25">
      <c r="J869" s="40">
        <f>IF($A869="","",$A869-WEEKDAY($A869,1)+1)</f>
      </c>
      <c r="K869" s="42">
        <f>IF($A869="","",YEAR($A869)&amp;"Q"&amp;ROUNDUP(IFERROR(MONTH($A869)/3,0),0))</f>
      </c>
    </row>
    <row r="870" spans="10:11" x14ac:dyDescent="0.25">
      <c r="J870" s="40">
        <f>IF($A870="","",$A870-WEEKDAY($A870,1)+1)</f>
      </c>
      <c r="K870" s="42">
        <f>IF($A870="","",YEAR($A870)&amp;"Q"&amp;ROUNDUP(IFERROR(MONTH($A870)/3,0),0))</f>
      </c>
    </row>
    <row r="871" spans="10:11" x14ac:dyDescent="0.25">
      <c r="J871" s="40">
        <f>IF($A871="","",$A871-WEEKDAY($A871,1)+1)</f>
      </c>
      <c r="K871" s="42">
        <f>IF($A871="","",YEAR($A871)&amp;"Q"&amp;ROUNDUP(IFERROR(MONTH($A871)/3,0),0))</f>
      </c>
    </row>
    <row r="872" spans="10:11" x14ac:dyDescent="0.25">
      <c r="J872" s="40">
        <f>IF($A872="","",$A872-WEEKDAY($A872,1)+1)</f>
      </c>
      <c r="K872" s="42">
        <f>IF($A872="","",YEAR($A872)&amp;"Q"&amp;ROUNDUP(IFERROR(MONTH($A872)/3,0),0))</f>
      </c>
    </row>
    <row r="873" spans="10:11" x14ac:dyDescent="0.25">
      <c r="J873" s="40">
        <f>IF($A873="","",$A873-WEEKDAY($A873,1)+1)</f>
      </c>
      <c r="K873" s="42">
        <f>IF($A873="","",YEAR($A873)&amp;"Q"&amp;ROUNDUP(IFERROR(MONTH($A873)/3,0),0))</f>
      </c>
    </row>
    <row r="874" spans="10:11" x14ac:dyDescent="0.25">
      <c r="J874" s="40">
        <f>IF($A874="","",$A874-WEEKDAY($A874,1)+1)</f>
      </c>
      <c r="K874" s="42">
        <f>IF($A874="","",YEAR($A874)&amp;"Q"&amp;ROUNDUP(IFERROR(MONTH($A874)/3,0),0))</f>
      </c>
    </row>
    <row r="875" spans="10:11" x14ac:dyDescent="0.25">
      <c r="J875" s="40">
        <f>IF($A875="","",$A875-WEEKDAY($A875,1)+1)</f>
      </c>
      <c r="K875" s="42">
        <f>IF($A875="","",YEAR($A875)&amp;"Q"&amp;ROUNDUP(IFERROR(MONTH($A875)/3,0),0))</f>
      </c>
    </row>
    <row r="876" spans="10:11" x14ac:dyDescent="0.25">
      <c r="J876" s="40">
        <f>IF($A876="","",$A876-WEEKDAY($A876,1)+1)</f>
      </c>
      <c r="K876" s="42">
        <f>IF($A876="","",YEAR($A876)&amp;"Q"&amp;ROUNDUP(IFERROR(MONTH($A876)/3,0),0))</f>
      </c>
    </row>
    <row r="877" spans="10:11" x14ac:dyDescent="0.25">
      <c r="J877" s="40">
        <f>IF($A877="","",$A877-WEEKDAY($A877,1)+1)</f>
      </c>
      <c r="K877" s="42">
        <f>IF($A877="","",YEAR($A877)&amp;"Q"&amp;ROUNDUP(IFERROR(MONTH($A877)/3,0),0))</f>
      </c>
    </row>
    <row r="878" spans="10:11" x14ac:dyDescent="0.25">
      <c r="J878" s="40">
        <f>IF($A878="","",$A878-WEEKDAY($A878,1)+1)</f>
      </c>
      <c r="K878" s="42">
        <f>IF($A878="","",YEAR($A878)&amp;"Q"&amp;ROUNDUP(IFERROR(MONTH($A878)/3,0),0))</f>
      </c>
    </row>
    <row r="879" spans="10:11" x14ac:dyDescent="0.25">
      <c r="J879" s="40">
        <f>IF($A879="","",$A879-WEEKDAY($A879,1)+1)</f>
      </c>
      <c r="K879" s="42">
        <f>IF($A879="","",YEAR($A879)&amp;"Q"&amp;ROUNDUP(IFERROR(MONTH($A879)/3,0),0))</f>
      </c>
    </row>
    <row r="880" spans="10:11" x14ac:dyDescent="0.25">
      <c r="J880" s="40">
        <f>IF($A880="","",$A880-WEEKDAY($A880,1)+1)</f>
      </c>
      <c r="K880" s="42">
        <f>IF($A880="","",YEAR($A880)&amp;"Q"&amp;ROUNDUP(IFERROR(MONTH($A880)/3,0),0))</f>
      </c>
    </row>
    <row r="881" spans="10:11" x14ac:dyDescent="0.25">
      <c r="J881" s="40">
        <f>IF($A881="","",$A881-WEEKDAY($A881,1)+1)</f>
      </c>
      <c r="K881" s="42">
        <f>IF($A881="","",YEAR($A881)&amp;"Q"&amp;ROUNDUP(IFERROR(MONTH($A881)/3,0),0))</f>
      </c>
    </row>
    <row r="882" spans="10:11" x14ac:dyDescent="0.25">
      <c r="J882" s="40">
        <f>IF($A882="","",$A882-WEEKDAY($A882,1)+1)</f>
      </c>
      <c r="K882" s="42">
        <f>IF($A882="","",YEAR($A882)&amp;"Q"&amp;ROUNDUP(IFERROR(MONTH($A882)/3,0),0))</f>
      </c>
    </row>
    <row r="883" spans="10:11" x14ac:dyDescent="0.25">
      <c r="J883" s="40">
        <f>IF($A883="","",$A883-WEEKDAY($A883,1)+1)</f>
      </c>
      <c r="K883" s="42">
        <f>IF($A883="","",YEAR($A883)&amp;"Q"&amp;ROUNDUP(IFERROR(MONTH($A883)/3,0),0))</f>
      </c>
    </row>
    <row r="884" spans="10:11" x14ac:dyDescent="0.25">
      <c r="J884" s="40">
        <f>IF($A884="","",$A884-WEEKDAY($A884,1)+1)</f>
      </c>
      <c r="K884" s="42">
        <f>IF($A884="","",YEAR($A884)&amp;"Q"&amp;ROUNDUP(IFERROR(MONTH($A884)/3,0),0))</f>
      </c>
    </row>
    <row r="885" spans="10:11" x14ac:dyDescent="0.25">
      <c r="J885" s="40">
        <f>IF($A885="","",$A885-WEEKDAY($A885,1)+1)</f>
      </c>
      <c r="K885" s="42">
        <f>IF($A885="","",YEAR($A885)&amp;"Q"&amp;ROUNDUP(IFERROR(MONTH($A885)/3,0),0))</f>
      </c>
    </row>
    <row r="886" spans="10:11" x14ac:dyDescent="0.25">
      <c r="J886" s="40">
        <f>IF($A886="","",$A886-WEEKDAY($A886,1)+1)</f>
      </c>
      <c r="K886" s="42">
        <f>IF($A886="","",YEAR($A886)&amp;"Q"&amp;ROUNDUP(IFERROR(MONTH($A886)/3,0),0))</f>
      </c>
    </row>
    <row r="887" spans="10:11" x14ac:dyDescent="0.25">
      <c r="J887" s="40">
        <f>IF($A887="","",$A887-WEEKDAY($A887,1)+1)</f>
      </c>
      <c r="K887" s="42">
        <f>IF($A887="","",YEAR($A887)&amp;"Q"&amp;ROUNDUP(IFERROR(MONTH($A887)/3,0),0))</f>
      </c>
    </row>
    <row r="888" spans="10:11" x14ac:dyDescent="0.25">
      <c r="J888" s="40">
        <f>IF($A888="","",$A888-WEEKDAY($A888,1)+1)</f>
      </c>
      <c r="K888" s="42">
        <f>IF($A888="","",YEAR($A888)&amp;"Q"&amp;ROUNDUP(IFERROR(MONTH($A888)/3,0),0))</f>
      </c>
    </row>
    <row r="889" spans="10:11" x14ac:dyDescent="0.25">
      <c r="J889" s="40">
        <f>IF($A889="","",$A889-WEEKDAY($A889,1)+1)</f>
      </c>
      <c r="K889" s="42">
        <f>IF($A889="","",YEAR($A889)&amp;"Q"&amp;ROUNDUP(IFERROR(MONTH($A889)/3,0),0))</f>
      </c>
    </row>
    <row r="890" spans="10:11" x14ac:dyDescent="0.25">
      <c r="J890" s="40">
        <f>IF($A890="","",$A890-WEEKDAY($A890,1)+1)</f>
      </c>
      <c r="K890" s="42">
        <f>IF($A890="","",YEAR($A890)&amp;"Q"&amp;ROUNDUP(IFERROR(MONTH($A890)/3,0),0))</f>
      </c>
    </row>
    <row r="891" spans="10:11" x14ac:dyDescent="0.25">
      <c r="J891" s="40">
        <f>IF($A891="","",$A891-WEEKDAY($A891,1)+1)</f>
      </c>
      <c r="K891" s="42">
        <f>IF($A891="","",YEAR($A891)&amp;"Q"&amp;ROUNDUP(IFERROR(MONTH($A891)/3,0),0))</f>
      </c>
    </row>
    <row r="892" spans="10:11" x14ac:dyDescent="0.25">
      <c r="J892" s="40">
        <f>IF($A892="","",$A892-WEEKDAY($A892,1)+1)</f>
      </c>
      <c r="K892" s="42">
        <f>IF($A892="","",YEAR($A892)&amp;"Q"&amp;ROUNDUP(IFERROR(MONTH($A892)/3,0),0))</f>
      </c>
    </row>
    <row r="893" spans="10:11" x14ac:dyDescent="0.25">
      <c r="J893" s="40">
        <f>IF($A893="","",$A893-WEEKDAY($A893,1)+1)</f>
      </c>
      <c r="K893" s="42">
        <f>IF($A893="","",YEAR($A893)&amp;"Q"&amp;ROUNDUP(IFERROR(MONTH($A893)/3,0),0))</f>
      </c>
    </row>
    <row r="894" spans="10:11" x14ac:dyDescent="0.25">
      <c r="J894" s="40">
        <f>IF($A894="","",$A894-WEEKDAY($A894,1)+1)</f>
      </c>
      <c r="K894" s="42">
        <f>IF($A894="","",YEAR($A894)&amp;"Q"&amp;ROUNDUP(IFERROR(MONTH($A894)/3,0),0))</f>
      </c>
    </row>
    <row r="895" spans="10:11" x14ac:dyDescent="0.25">
      <c r="J895" s="40">
        <f>IF($A895="","",$A895-WEEKDAY($A895,1)+1)</f>
      </c>
      <c r="K895" s="42">
        <f>IF($A895="","",YEAR($A895)&amp;"Q"&amp;ROUNDUP(IFERROR(MONTH($A895)/3,0),0))</f>
      </c>
    </row>
    <row r="896" spans="10:11" x14ac:dyDescent="0.25">
      <c r="J896" s="40">
        <f>IF($A896="","",$A896-WEEKDAY($A896,1)+1)</f>
      </c>
      <c r="K896" s="42">
        <f>IF($A896="","",YEAR($A896)&amp;"Q"&amp;ROUNDUP(IFERROR(MONTH($A896)/3,0),0))</f>
      </c>
    </row>
    <row r="897" spans="10:11" x14ac:dyDescent="0.25">
      <c r="J897" s="40">
        <f>IF($A897="","",$A897-WEEKDAY($A897,1)+1)</f>
      </c>
      <c r="K897" s="42">
        <f>IF($A897="","",YEAR($A897)&amp;"Q"&amp;ROUNDUP(IFERROR(MONTH($A897)/3,0),0))</f>
      </c>
    </row>
    <row r="898" spans="10:11" x14ac:dyDescent="0.25">
      <c r="J898" s="40">
        <f>IF($A898="","",$A898-WEEKDAY($A898,1)+1)</f>
      </c>
      <c r="K898" s="42">
        <f>IF($A898="","",YEAR($A898)&amp;"Q"&amp;ROUNDUP(IFERROR(MONTH($A898)/3,0),0))</f>
      </c>
    </row>
    <row r="899" spans="10:11" x14ac:dyDescent="0.25">
      <c r="J899" s="40">
        <f>IF($A899="","",$A899-WEEKDAY($A899,1)+1)</f>
      </c>
      <c r="K899" s="42">
        <f>IF($A899="","",YEAR($A899)&amp;"Q"&amp;ROUNDUP(IFERROR(MONTH($A899)/3,0),0))</f>
      </c>
    </row>
    <row r="900" spans="10:11" x14ac:dyDescent="0.25">
      <c r="J900" s="40">
        <f>IF($A900="","",$A900-WEEKDAY($A900,1)+1)</f>
      </c>
      <c r="K900" s="42">
        <f>IF($A900="","",YEAR($A900)&amp;"Q"&amp;ROUNDUP(IFERROR(MONTH($A900)/3,0),0))</f>
      </c>
    </row>
    <row r="901" spans="10:11" x14ac:dyDescent="0.25">
      <c r="J901" s="40">
        <f>IF($A901="","",$A901-WEEKDAY($A901,1)+1)</f>
      </c>
      <c r="K901" s="42">
        <f>IF($A901="","",YEAR($A901)&amp;"Q"&amp;ROUNDUP(IFERROR(MONTH($A901)/3,0),0))</f>
      </c>
    </row>
    <row r="902" spans="10:11" x14ac:dyDescent="0.25">
      <c r="J902" s="40">
        <f>IF($A902="","",$A902-WEEKDAY($A902,1)+1)</f>
      </c>
      <c r="K902" s="42">
        <f>IF($A902="","",YEAR($A902)&amp;"Q"&amp;ROUNDUP(IFERROR(MONTH($A902)/3,0),0))</f>
      </c>
    </row>
    <row r="903" spans="10:11" x14ac:dyDescent="0.25">
      <c r="J903" s="40">
        <f>IF($A903="","",$A903-WEEKDAY($A903,1)+1)</f>
      </c>
      <c r="K903" s="42">
        <f>IF($A903="","",YEAR($A903)&amp;"Q"&amp;ROUNDUP(IFERROR(MONTH($A903)/3,0),0))</f>
      </c>
    </row>
    <row r="904" spans="10:11" x14ac:dyDescent="0.25">
      <c r="J904" s="40">
        <f>IF($A904="","",$A904-WEEKDAY($A904,1)+1)</f>
      </c>
      <c r="K904" s="42">
        <f>IF($A904="","",YEAR($A904)&amp;"Q"&amp;ROUNDUP(IFERROR(MONTH($A904)/3,0),0))</f>
      </c>
    </row>
    <row r="905" spans="10:11" x14ac:dyDescent="0.25">
      <c r="J905" s="40">
        <f>IF($A905="","",$A905-WEEKDAY($A905,1)+1)</f>
      </c>
      <c r="K905" s="42">
        <f>IF($A905="","",YEAR($A905)&amp;"Q"&amp;ROUNDUP(IFERROR(MONTH($A905)/3,0),0))</f>
      </c>
    </row>
    <row r="906" spans="10:11" x14ac:dyDescent="0.25">
      <c r="J906" s="40">
        <f>IF($A906="","",$A906-WEEKDAY($A906,1)+1)</f>
      </c>
      <c r="K906" s="42">
        <f>IF($A906="","",YEAR($A906)&amp;"Q"&amp;ROUNDUP(IFERROR(MONTH($A906)/3,0),0))</f>
      </c>
    </row>
    <row r="907" spans="10:11" x14ac:dyDescent="0.25">
      <c r="J907" s="40">
        <f>IF($A907="","",$A907-WEEKDAY($A907,1)+1)</f>
      </c>
      <c r="K907" s="42">
        <f>IF($A907="","",YEAR($A907)&amp;"Q"&amp;ROUNDUP(IFERROR(MONTH($A907)/3,0),0))</f>
      </c>
    </row>
    <row r="908" spans="10:11" x14ac:dyDescent="0.25">
      <c r="J908" s="40">
        <f>IF($A908="","",$A908-WEEKDAY($A908,1)+1)</f>
      </c>
      <c r="K908" s="42">
        <f>IF($A908="","",YEAR($A908)&amp;"Q"&amp;ROUNDUP(IFERROR(MONTH($A908)/3,0),0))</f>
      </c>
    </row>
    <row r="909" spans="10:11" x14ac:dyDescent="0.25">
      <c r="J909" s="40">
        <f>IF($A909="","",$A909-WEEKDAY($A909,1)+1)</f>
      </c>
      <c r="K909" s="42">
        <f>IF($A909="","",YEAR($A909)&amp;"Q"&amp;ROUNDUP(IFERROR(MONTH($A909)/3,0),0))</f>
      </c>
    </row>
    <row r="910" spans="10:11" x14ac:dyDescent="0.25">
      <c r="J910" s="40">
        <f>IF($A910="","",$A910-WEEKDAY($A910,1)+1)</f>
      </c>
      <c r="K910" s="42">
        <f>IF($A910="","",YEAR($A910)&amp;"Q"&amp;ROUNDUP(IFERROR(MONTH($A910)/3,0),0))</f>
      </c>
    </row>
    <row r="911" spans="10:11" x14ac:dyDescent="0.25">
      <c r="J911" s="40">
        <f>IF($A911="","",$A911-WEEKDAY($A911,1)+1)</f>
      </c>
      <c r="K911" s="42">
        <f>IF($A911="","",YEAR($A911)&amp;"Q"&amp;ROUNDUP(IFERROR(MONTH($A911)/3,0),0))</f>
      </c>
    </row>
    <row r="912" spans="10:11" x14ac:dyDescent="0.25">
      <c r="J912" s="40">
        <f>IF($A912="","",$A912-WEEKDAY($A912,1)+1)</f>
      </c>
      <c r="K912" s="42">
        <f>IF($A912="","",YEAR($A912)&amp;"Q"&amp;ROUNDUP(IFERROR(MONTH($A912)/3,0),0))</f>
      </c>
    </row>
    <row r="913" spans="10:11" x14ac:dyDescent="0.25">
      <c r="J913" s="40">
        <f>IF($A913="","",$A913-WEEKDAY($A913,1)+1)</f>
      </c>
      <c r="K913" s="42">
        <f>IF($A913="","",YEAR($A913)&amp;"Q"&amp;ROUNDUP(IFERROR(MONTH($A913)/3,0),0))</f>
      </c>
    </row>
    <row r="914" spans="10:11" x14ac:dyDescent="0.25">
      <c r="J914" s="40">
        <f>IF($A914="","",$A914-WEEKDAY($A914,1)+1)</f>
      </c>
      <c r="K914" s="42">
        <f>IF($A914="","",YEAR($A914)&amp;"Q"&amp;ROUNDUP(IFERROR(MONTH($A914)/3,0),0))</f>
      </c>
    </row>
    <row r="915" spans="10:11" x14ac:dyDescent="0.25">
      <c r="J915" s="40">
        <f>IF($A915="","",$A915-WEEKDAY($A915,1)+1)</f>
      </c>
      <c r="K915" s="42">
        <f>IF($A915="","",YEAR($A915)&amp;"Q"&amp;ROUNDUP(IFERROR(MONTH($A915)/3,0),0))</f>
      </c>
    </row>
    <row r="916" spans="10:11" x14ac:dyDescent="0.25">
      <c r="J916" s="40">
        <f>IF($A916="","",$A916-WEEKDAY($A916,1)+1)</f>
      </c>
      <c r="K916" s="42">
        <f>IF($A916="","",YEAR($A916)&amp;"Q"&amp;ROUNDUP(IFERROR(MONTH($A916)/3,0),0))</f>
      </c>
    </row>
    <row r="917" spans="10:11" x14ac:dyDescent="0.25">
      <c r="J917" s="40">
        <f>IF($A917="","",$A917-WEEKDAY($A917,1)+1)</f>
      </c>
      <c r="K917" s="42">
        <f>IF($A917="","",YEAR($A917)&amp;"Q"&amp;ROUNDUP(IFERROR(MONTH($A917)/3,0),0))</f>
      </c>
    </row>
    <row r="918" spans="10:11" x14ac:dyDescent="0.25">
      <c r="J918" s="40">
        <f>IF($A918="","",$A918-WEEKDAY($A918,1)+1)</f>
      </c>
      <c r="K918" s="42">
        <f>IF($A918="","",YEAR($A918)&amp;"Q"&amp;ROUNDUP(IFERROR(MONTH($A918)/3,0),0))</f>
      </c>
    </row>
    <row r="919" spans="10:11" x14ac:dyDescent="0.25">
      <c r="J919" s="40">
        <f>IF($A919="","",$A919-WEEKDAY($A919,1)+1)</f>
      </c>
      <c r="K919" s="42">
        <f>IF($A919="","",YEAR($A919)&amp;"Q"&amp;ROUNDUP(IFERROR(MONTH($A919)/3,0),0))</f>
      </c>
    </row>
    <row r="920" spans="10:11" x14ac:dyDescent="0.25">
      <c r="J920" s="40">
        <f>IF($A920="","",$A920-WEEKDAY($A920,1)+1)</f>
      </c>
      <c r="K920" s="42">
        <f>IF($A920="","",YEAR($A920)&amp;"Q"&amp;ROUNDUP(IFERROR(MONTH($A920)/3,0),0))</f>
      </c>
    </row>
    <row r="921" spans="10:11" x14ac:dyDescent="0.25">
      <c r="J921" s="40">
        <f>IF($A921="","",$A921-WEEKDAY($A921,1)+1)</f>
      </c>
      <c r="K921" s="42">
        <f>IF($A921="","",YEAR($A921)&amp;"Q"&amp;ROUNDUP(IFERROR(MONTH($A921)/3,0),0))</f>
      </c>
    </row>
    <row r="922" spans="10:11" x14ac:dyDescent="0.25">
      <c r="J922" s="40">
        <f>IF($A922="","",$A922-WEEKDAY($A922,1)+1)</f>
      </c>
      <c r="K922" s="42">
        <f>IF($A922="","",YEAR($A922)&amp;"Q"&amp;ROUNDUP(IFERROR(MONTH($A922)/3,0),0))</f>
      </c>
    </row>
    <row r="923" spans="10:11" x14ac:dyDescent="0.25">
      <c r="J923" s="40">
        <f>IF($A923="","",$A923-WEEKDAY($A923,1)+1)</f>
      </c>
      <c r="K923" s="42">
        <f>IF($A923="","",YEAR($A923)&amp;"Q"&amp;ROUNDUP(IFERROR(MONTH($A923)/3,0),0))</f>
      </c>
    </row>
    <row r="924" spans="10:11" x14ac:dyDescent="0.25">
      <c r="J924" s="40">
        <f>IF($A924="","",$A924-WEEKDAY($A924,1)+1)</f>
      </c>
      <c r="K924" s="42">
        <f>IF($A924="","",YEAR($A924)&amp;"Q"&amp;ROUNDUP(IFERROR(MONTH($A924)/3,0),0))</f>
      </c>
    </row>
    <row r="925" spans="10:11" x14ac:dyDescent="0.25">
      <c r="J925" s="40">
        <f>IF($A925="","",$A925-WEEKDAY($A925,1)+1)</f>
      </c>
      <c r="K925" s="42">
        <f>IF($A925="","",YEAR($A925)&amp;"Q"&amp;ROUNDUP(IFERROR(MONTH($A925)/3,0),0))</f>
      </c>
    </row>
    <row r="926" spans="10:11" x14ac:dyDescent="0.25">
      <c r="J926" s="40">
        <f>IF($A926="","",$A926-WEEKDAY($A926,1)+1)</f>
      </c>
      <c r="K926" s="42">
        <f>IF($A926="","",YEAR($A926)&amp;"Q"&amp;ROUNDUP(IFERROR(MONTH($A926)/3,0),0))</f>
      </c>
    </row>
    <row r="927" spans="10:11" x14ac:dyDescent="0.25">
      <c r="J927" s="40">
        <f>IF($A927="","",$A927-WEEKDAY($A927,1)+1)</f>
      </c>
      <c r="K927" s="42">
        <f>IF($A927="","",YEAR($A927)&amp;"Q"&amp;ROUNDUP(IFERROR(MONTH($A927)/3,0),0))</f>
      </c>
    </row>
    <row r="928" spans="10:11" x14ac:dyDescent="0.25">
      <c r="J928" s="40">
        <f>IF($A928="","",$A928-WEEKDAY($A928,1)+1)</f>
      </c>
      <c r="K928" s="42">
        <f>IF($A928="","",YEAR($A928)&amp;"Q"&amp;ROUNDUP(IFERROR(MONTH($A928)/3,0),0))</f>
      </c>
    </row>
    <row r="929" spans="10:11" x14ac:dyDescent="0.25">
      <c r="J929" s="40">
        <f>IF($A929="","",$A929-WEEKDAY($A929,1)+1)</f>
      </c>
      <c r="K929" s="42">
        <f>IF($A929="","",YEAR($A929)&amp;"Q"&amp;ROUNDUP(IFERROR(MONTH($A929)/3,0),0))</f>
      </c>
    </row>
    <row r="930" spans="10:11" x14ac:dyDescent="0.25">
      <c r="J930" s="40">
        <f>IF($A930="","",$A930-WEEKDAY($A930,1)+1)</f>
      </c>
      <c r="K930" s="42">
        <f>IF($A930="","",YEAR($A930)&amp;"Q"&amp;ROUNDUP(IFERROR(MONTH($A930)/3,0),0))</f>
      </c>
    </row>
    <row r="931" spans="10:11" x14ac:dyDescent="0.25">
      <c r="J931" s="40">
        <f>IF($A931="","",$A931-WEEKDAY($A931,1)+1)</f>
      </c>
      <c r="K931" s="42">
        <f>IF($A931="","",YEAR($A931)&amp;"Q"&amp;ROUNDUP(IFERROR(MONTH($A931)/3,0),0))</f>
      </c>
    </row>
    <row r="932" spans="10:11" x14ac:dyDescent="0.25">
      <c r="J932" s="40">
        <f>IF($A932="","",$A932-WEEKDAY($A932,1)+1)</f>
      </c>
      <c r="K932" s="42">
        <f>IF($A932="","",YEAR($A932)&amp;"Q"&amp;ROUNDUP(IFERROR(MONTH($A932)/3,0),0))</f>
      </c>
    </row>
    <row r="933" spans="10:11" x14ac:dyDescent="0.25">
      <c r="J933" s="40">
        <f>IF($A933="","",$A933-WEEKDAY($A933,1)+1)</f>
      </c>
      <c r="K933" s="42">
        <f>IF($A933="","",YEAR($A933)&amp;"Q"&amp;ROUNDUP(IFERROR(MONTH($A933)/3,0),0))</f>
      </c>
    </row>
    <row r="934" spans="10:11" x14ac:dyDescent="0.25">
      <c r="J934" s="40">
        <f>IF($A934="","",$A934-WEEKDAY($A934,1)+1)</f>
      </c>
      <c r="K934" s="42">
        <f>IF($A934="","",YEAR($A934)&amp;"Q"&amp;ROUNDUP(IFERROR(MONTH($A934)/3,0),0))</f>
      </c>
    </row>
    <row r="935" spans="10:11" x14ac:dyDescent="0.25">
      <c r="J935" s="40">
        <f>IF($A935="","",$A935-WEEKDAY($A935,1)+1)</f>
      </c>
      <c r="K935" s="42">
        <f>IF($A935="","",YEAR($A935)&amp;"Q"&amp;ROUNDUP(IFERROR(MONTH($A935)/3,0),0))</f>
      </c>
    </row>
    <row r="936" spans="10:11" x14ac:dyDescent="0.25">
      <c r="J936" s="40">
        <f>IF($A936="","",$A936-WEEKDAY($A936,1)+1)</f>
      </c>
      <c r="K936" s="42">
        <f>IF($A936="","",YEAR($A936)&amp;"Q"&amp;ROUNDUP(IFERROR(MONTH($A936)/3,0),0))</f>
      </c>
    </row>
    <row r="937" spans="10:11" x14ac:dyDescent="0.25">
      <c r="J937" s="40">
        <f>IF($A937="","",$A937-WEEKDAY($A937,1)+1)</f>
      </c>
      <c r="K937" s="42">
        <f>IF($A937="","",YEAR($A937)&amp;"Q"&amp;ROUNDUP(IFERROR(MONTH($A937)/3,0),0))</f>
      </c>
    </row>
    <row r="938" spans="10:11" x14ac:dyDescent="0.25">
      <c r="J938" s="40">
        <f>IF($A938="","",$A938-WEEKDAY($A938,1)+1)</f>
      </c>
      <c r="K938" s="42">
        <f>IF($A938="","",YEAR($A938)&amp;"Q"&amp;ROUNDUP(IFERROR(MONTH($A938)/3,0),0))</f>
      </c>
    </row>
    <row r="939" spans="10:11" x14ac:dyDescent="0.25">
      <c r="J939" s="40">
        <f>IF($A939="","",$A939-WEEKDAY($A939,1)+1)</f>
      </c>
      <c r="K939" s="42">
        <f>IF($A939="","",YEAR($A939)&amp;"Q"&amp;ROUNDUP(IFERROR(MONTH($A939)/3,0),0))</f>
      </c>
    </row>
    <row r="940" spans="10:11" x14ac:dyDescent="0.25">
      <c r="J940" s="40">
        <f>IF($A940="","",$A940-WEEKDAY($A940,1)+1)</f>
      </c>
      <c r="K940" s="42">
        <f>IF($A940="","",YEAR($A940)&amp;"Q"&amp;ROUNDUP(IFERROR(MONTH($A940)/3,0),0))</f>
      </c>
    </row>
    <row r="941" spans="10:11" x14ac:dyDescent="0.25">
      <c r="J941" s="40">
        <f>IF($A941="","",$A941-WEEKDAY($A941,1)+1)</f>
      </c>
      <c r="K941" s="42">
        <f>IF($A941="","",YEAR($A941)&amp;"Q"&amp;ROUNDUP(IFERROR(MONTH($A941)/3,0),0))</f>
      </c>
    </row>
    <row r="942" spans="10:11" x14ac:dyDescent="0.25">
      <c r="J942" s="40">
        <f>IF($A942="","",$A942-WEEKDAY($A942,1)+1)</f>
      </c>
      <c r="K942" s="42">
        <f>IF($A942="","",YEAR($A942)&amp;"Q"&amp;ROUNDUP(IFERROR(MONTH($A942)/3,0),0))</f>
      </c>
    </row>
    <row r="943" spans="10:11" x14ac:dyDescent="0.25">
      <c r="J943" s="40">
        <f>IF($A943="","",$A943-WEEKDAY($A943,1)+1)</f>
      </c>
      <c r="K943" s="42">
        <f>IF($A943="","",YEAR($A943)&amp;"Q"&amp;ROUNDUP(IFERROR(MONTH($A943)/3,0),0))</f>
      </c>
    </row>
    <row r="944" spans="10:11" x14ac:dyDescent="0.25">
      <c r="J944" s="40">
        <f>IF($A944="","",$A944-WEEKDAY($A944,1)+1)</f>
      </c>
      <c r="K944" s="42">
        <f>IF($A944="","",YEAR($A944)&amp;"Q"&amp;ROUNDUP(IFERROR(MONTH($A944)/3,0),0))</f>
      </c>
    </row>
    <row r="945" spans="10:11" x14ac:dyDescent="0.25">
      <c r="J945" s="40">
        <f>IF($A945="","",$A945-WEEKDAY($A945,1)+1)</f>
      </c>
      <c r="K945" s="42">
        <f>IF($A945="","",YEAR($A945)&amp;"Q"&amp;ROUNDUP(IFERROR(MONTH($A945)/3,0),0))</f>
      </c>
    </row>
    <row r="946" spans="10:11" x14ac:dyDescent="0.25">
      <c r="J946" s="40">
        <f>IF($A946="","",$A946-WEEKDAY($A946,1)+1)</f>
      </c>
      <c r="K946" s="42">
        <f>IF($A946="","",YEAR($A946)&amp;"Q"&amp;ROUNDUP(IFERROR(MONTH($A946)/3,0),0))</f>
      </c>
    </row>
    <row r="947" spans="10:11" x14ac:dyDescent="0.25">
      <c r="J947" s="40">
        <f>IF($A947="","",$A947-WEEKDAY($A947,1)+1)</f>
      </c>
      <c r="K947" s="42">
        <f>IF($A947="","",YEAR($A947)&amp;"Q"&amp;ROUNDUP(IFERROR(MONTH($A947)/3,0),0))</f>
      </c>
    </row>
    <row r="948" spans="10:11" x14ac:dyDescent="0.25">
      <c r="J948" s="40">
        <f>IF($A948="","",$A948-WEEKDAY($A948,1)+1)</f>
      </c>
      <c r="K948" s="42">
        <f>IF($A948="","",YEAR($A948)&amp;"Q"&amp;ROUNDUP(IFERROR(MONTH($A948)/3,0),0))</f>
      </c>
    </row>
    <row r="949" spans="10:11" x14ac:dyDescent="0.25">
      <c r="J949" s="40">
        <f>IF($A949="","",$A949-WEEKDAY($A949,1)+1)</f>
      </c>
      <c r="K949" s="42">
        <f>IF($A949="","",YEAR($A949)&amp;"Q"&amp;ROUNDUP(IFERROR(MONTH($A949)/3,0),0))</f>
      </c>
    </row>
    <row r="950" spans="10:11" x14ac:dyDescent="0.25">
      <c r="J950" s="40">
        <f>IF($A950="","",$A950-WEEKDAY($A950,1)+1)</f>
      </c>
      <c r="K950" s="42">
        <f>IF($A950="","",YEAR($A950)&amp;"Q"&amp;ROUNDUP(IFERROR(MONTH($A950)/3,0),0))</f>
      </c>
    </row>
    <row r="951" spans="10:11" x14ac:dyDescent="0.25">
      <c r="J951" s="40">
        <f>IF($A951="","",$A951-WEEKDAY($A951,1)+1)</f>
      </c>
      <c r="K951" s="42">
        <f>IF($A951="","",YEAR($A951)&amp;"Q"&amp;ROUNDUP(IFERROR(MONTH($A951)/3,0),0))</f>
      </c>
    </row>
    <row r="952" spans="10:11" x14ac:dyDescent="0.25">
      <c r="J952" s="40">
        <f>IF($A952="","",$A952-WEEKDAY($A952,1)+1)</f>
      </c>
      <c r="K952" s="42">
        <f>IF($A952="","",YEAR($A952)&amp;"Q"&amp;ROUNDUP(IFERROR(MONTH($A952)/3,0),0))</f>
      </c>
    </row>
    <row r="953" spans="10:11" x14ac:dyDescent="0.25">
      <c r="J953" s="40">
        <f>IF($A953="","",$A953-WEEKDAY($A953,1)+1)</f>
      </c>
      <c r="K953" s="42">
        <f>IF($A953="","",YEAR($A953)&amp;"Q"&amp;ROUNDUP(IFERROR(MONTH($A953)/3,0),0))</f>
      </c>
    </row>
    <row r="954" spans="10:11" x14ac:dyDescent="0.25">
      <c r="J954" s="40">
        <f>IF($A954="","",$A954-WEEKDAY($A954,1)+1)</f>
      </c>
      <c r="K954" s="42">
        <f>IF($A954="","",YEAR($A954)&amp;"Q"&amp;ROUNDUP(IFERROR(MONTH($A954)/3,0),0))</f>
      </c>
    </row>
    <row r="955" spans="10:11" x14ac:dyDescent="0.25">
      <c r="J955" s="40">
        <f>IF($A955="","",$A955-WEEKDAY($A955,1)+1)</f>
      </c>
      <c r="K955" s="42">
        <f>IF($A955="","",YEAR($A955)&amp;"Q"&amp;ROUNDUP(IFERROR(MONTH($A955)/3,0),0))</f>
      </c>
    </row>
    <row r="956" spans="10:11" x14ac:dyDescent="0.25">
      <c r="J956" s="40">
        <f>IF($A956="","",$A956-WEEKDAY($A956,1)+1)</f>
      </c>
      <c r="K956" s="42">
        <f>IF($A956="","",YEAR($A956)&amp;"Q"&amp;ROUNDUP(IFERROR(MONTH($A956)/3,0),0))</f>
      </c>
    </row>
    <row r="957" spans="10:11" x14ac:dyDescent="0.25">
      <c r="J957" s="40">
        <f>IF($A957="","",$A957-WEEKDAY($A957,1)+1)</f>
      </c>
      <c r="K957" s="42">
        <f>IF($A957="","",YEAR($A957)&amp;"Q"&amp;ROUNDUP(IFERROR(MONTH($A957)/3,0),0))</f>
      </c>
    </row>
    <row r="958" spans="10:11" x14ac:dyDescent="0.25">
      <c r="J958" s="40">
        <f>IF($A958="","",$A958-WEEKDAY($A958,1)+1)</f>
      </c>
      <c r="K958" s="42">
        <f>IF($A958="","",YEAR($A958)&amp;"Q"&amp;ROUNDUP(IFERROR(MONTH($A958)/3,0),0))</f>
      </c>
    </row>
    <row r="959" spans="10:11" x14ac:dyDescent="0.25">
      <c r="J959" s="40">
        <f>IF($A959="","",$A959-WEEKDAY($A959,1)+1)</f>
      </c>
      <c r="K959" s="42">
        <f>IF($A959="","",YEAR($A959)&amp;"Q"&amp;ROUNDUP(IFERROR(MONTH($A959)/3,0),0))</f>
      </c>
    </row>
    <row r="960" spans="10:11" x14ac:dyDescent="0.25">
      <c r="J960" s="40">
        <f>IF($A960="","",$A960-WEEKDAY($A960,1)+1)</f>
      </c>
      <c r="K960" s="42">
        <f>IF($A960="","",YEAR($A960)&amp;"Q"&amp;ROUNDUP(IFERROR(MONTH($A960)/3,0),0))</f>
      </c>
    </row>
    <row r="961" spans="10:11" x14ac:dyDescent="0.25">
      <c r="J961" s="40">
        <f>IF($A961="","",$A961-WEEKDAY($A961,1)+1)</f>
      </c>
      <c r="K961" s="42">
        <f>IF($A961="","",YEAR($A961)&amp;"Q"&amp;ROUNDUP(IFERROR(MONTH($A961)/3,0),0))</f>
      </c>
    </row>
    <row r="962" spans="10:11" x14ac:dyDescent="0.25">
      <c r="J962" s="40">
        <f>IF($A962="","",$A962-WEEKDAY($A962,1)+1)</f>
      </c>
      <c r="K962" s="42">
        <f>IF($A962="","",YEAR($A962)&amp;"Q"&amp;ROUNDUP(IFERROR(MONTH($A962)/3,0),0))</f>
      </c>
    </row>
    <row r="963" spans="10:11" x14ac:dyDescent="0.25">
      <c r="J963" s="40">
        <f>IF($A963="","",$A963-WEEKDAY($A963,1)+1)</f>
      </c>
      <c r="K963" s="42">
        <f>IF($A963="","",YEAR($A963)&amp;"Q"&amp;ROUNDUP(IFERROR(MONTH($A963)/3,0),0))</f>
      </c>
    </row>
    <row r="964" spans="10:11" x14ac:dyDescent="0.25">
      <c r="J964" s="40">
        <f>IF($A964="","",$A964-WEEKDAY($A964,1)+1)</f>
      </c>
      <c r="K964" s="42">
        <f>IF($A964="","",YEAR($A964)&amp;"Q"&amp;ROUNDUP(IFERROR(MONTH($A964)/3,0),0))</f>
      </c>
    </row>
    <row r="965" spans="10:11" x14ac:dyDescent="0.25">
      <c r="J965" s="40">
        <f>IF($A965="","",$A965-WEEKDAY($A965,1)+1)</f>
      </c>
      <c r="K965" s="42">
        <f>IF($A965="","",YEAR($A965)&amp;"Q"&amp;ROUNDUP(IFERROR(MONTH($A965)/3,0),0))</f>
      </c>
    </row>
    <row r="966" spans="10:11" x14ac:dyDescent="0.25">
      <c r="J966" s="40">
        <f>IF($A966="","",$A966-WEEKDAY($A966,1)+1)</f>
      </c>
      <c r="K966" s="42">
        <f>IF($A966="","",YEAR($A966)&amp;"Q"&amp;ROUNDUP(IFERROR(MONTH($A966)/3,0),0))</f>
      </c>
    </row>
    <row r="967" spans="10:11" x14ac:dyDescent="0.25">
      <c r="J967" s="40">
        <f>IF($A967="","",$A967-WEEKDAY($A967,1)+1)</f>
      </c>
      <c r="K967" s="42">
        <f>IF($A967="","",YEAR($A967)&amp;"Q"&amp;ROUNDUP(IFERROR(MONTH($A967)/3,0),0))</f>
      </c>
    </row>
    <row r="968" spans="10:11" x14ac:dyDescent="0.25">
      <c r="J968" s="40">
        <f>IF($A968="","",$A968-WEEKDAY($A968,1)+1)</f>
      </c>
      <c r="K968" s="42">
        <f>IF($A968="","",YEAR($A968)&amp;"Q"&amp;ROUNDUP(IFERROR(MONTH($A968)/3,0),0))</f>
      </c>
    </row>
    <row r="969" spans="10:11" x14ac:dyDescent="0.25">
      <c r="J969" s="40">
        <f>IF($A969="","",$A969-WEEKDAY($A969,1)+1)</f>
      </c>
      <c r="K969" s="42">
        <f>IF($A969="","",YEAR($A969)&amp;"Q"&amp;ROUNDUP(IFERROR(MONTH($A969)/3,0),0))</f>
      </c>
    </row>
    <row r="970" spans="10:11" x14ac:dyDescent="0.25">
      <c r="J970" s="40">
        <f>IF($A970="","",$A970-WEEKDAY($A970,1)+1)</f>
      </c>
      <c r="K970" s="42">
        <f>IF($A970="","",YEAR($A970)&amp;"Q"&amp;ROUNDUP(IFERROR(MONTH($A970)/3,0),0))</f>
      </c>
    </row>
    <row r="971" spans="10:11" x14ac:dyDescent="0.25">
      <c r="J971" s="40">
        <f>IF($A971="","",$A971-WEEKDAY($A971,1)+1)</f>
      </c>
      <c r="K971" s="42">
        <f>IF($A971="","",YEAR($A971)&amp;"Q"&amp;ROUNDUP(IFERROR(MONTH($A971)/3,0),0))</f>
      </c>
    </row>
    <row r="972" spans="10:11" x14ac:dyDescent="0.25">
      <c r="J972" s="40">
        <f>IF($A972="","",$A972-WEEKDAY($A972,1)+1)</f>
      </c>
      <c r="K972" s="42">
        <f>IF($A972="","",YEAR($A972)&amp;"Q"&amp;ROUNDUP(IFERROR(MONTH($A972)/3,0),0))</f>
      </c>
    </row>
    <row r="973" spans="10:11" x14ac:dyDescent="0.25">
      <c r="J973" s="40">
        <f>IF($A973="","",$A973-WEEKDAY($A973,1)+1)</f>
      </c>
      <c r="K973" s="42">
        <f>IF($A973="","",YEAR($A973)&amp;"Q"&amp;ROUNDUP(IFERROR(MONTH($A973)/3,0),0))</f>
      </c>
    </row>
    <row r="974" spans="10:11" x14ac:dyDescent="0.25">
      <c r="J974" s="40">
        <f>IF($A974="","",$A974-WEEKDAY($A974,1)+1)</f>
      </c>
      <c r="K974" s="42">
        <f>IF($A974="","",YEAR($A974)&amp;"Q"&amp;ROUNDUP(IFERROR(MONTH($A974)/3,0),0))</f>
      </c>
    </row>
    <row r="975" spans="10:11" x14ac:dyDescent="0.25">
      <c r="J975" s="40">
        <f>IF($A975="","",$A975-WEEKDAY($A975,1)+1)</f>
      </c>
      <c r="K975" s="42">
        <f>IF($A975="","",YEAR($A975)&amp;"Q"&amp;ROUNDUP(IFERROR(MONTH($A975)/3,0),0))</f>
      </c>
    </row>
    <row r="976" spans="10:11" x14ac:dyDescent="0.25">
      <c r="J976" s="40">
        <f>IF($A976="","",$A976-WEEKDAY($A976,1)+1)</f>
      </c>
      <c r="K976" s="42">
        <f>IF($A976="","",YEAR($A976)&amp;"Q"&amp;ROUNDUP(IFERROR(MONTH($A976)/3,0),0))</f>
      </c>
    </row>
    <row r="977" spans="10:11" x14ac:dyDescent="0.25">
      <c r="J977" s="40">
        <f>IF($A977="","",$A977-WEEKDAY($A977,1)+1)</f>
      </c>
      <c r="K977" s="42">
        <f>IF($A977="","",YEAR($A977)&amp;"Q"&amp;ROUNDUP(IFERROR(MONTH($A977)/3,0),0))</f>
      </c>
    </row>
    <row r="978" spans="10:11" x14ac:dyDescent="0.25">
      <c r="J978" s="40">
        <f>IF($A978="","",$A978-WEEKDAY($A978,1)+1)</f>
      </c>
      <c r="K978" s="42">
        <f>IF($A978="","",YEAR($A978)&amp;"Q"&amp;ROUNDUP(IFERROR(MONTH($A978)/3,0),0))</f>
      </c>
    </row>
    <row r="979" spans="10:11" x14ac:dyDescent="0.25">
      <c r="J979" s="40">
        <f>IF($A979="","",$A979-WEEKDAY($A979,1)+1)</f>
      </c>
      <c r="K979" s="42">
        <f>IF($A979="","",YEAR($A979)&amp;"Q"&amp;ROUNDUP(IFERROR(MONTH($A979)/3,0),0))</f>
      </c>
    </row>
    <row r="980" spans="10:11" x14ac:dyDescent="0.25">
      <c r="J980" s="40">
        <f>IF($A980="","",$A980-WEEKDAY($A980,1)+1)</f>
      </c>
      <c r="K980" s="42">
        <f>IF($A980="","",YEAR($A980)&amp;"Q"&amp;ROUNDUP(IFERROR(MONTH($A980)/3,0),0))</f>
      </c>
    </row>
    <row r="981" spans="10:11" x14ac:dyDescent="0.25">
      <c r="J981" s="40">
        <f>IF($A981="","",$A981-WEEKDAY($A981,1)+1)</f>
      </c>
      <c r="K981" s="42">
        <f>IF($A981="","",YEAR($A981)&amp;"Q"&amp;ROUNDUP(IFERROR(MONTH($A981)/3,0),0))</f>
      </c>
    </row>
    <row r="982" spans="10:11" x14ac:dyDescent="0.25">
      <c r="J982" s="40">
        <f>IF($A982="","",$A982-WEEKDAY($A982,1)+1)</f>
      </c>
      <c r="K982" s="42">
        <f>IF($A982="","",YEAR($A982)&amp;"Q"&amp;ROUNDUP(IFERROR(MONTH($A982)/3,0),0))</f>
      </c>
    </row>
    <row r="983" spans="10:11" x14ac:dyDescent="0.25">
      <c r="J983" s="40">
        <f>IF($A983="","",$A983-WEEKDAY($A983,1)+1)</f>
      </c>
      <c r="K983" s="42">
        <f>IF($A983="","",YEAR($A983)&amp;"Q"&amp;ROUNDUP(IFERROR(MONTH($A983)/3,0),0))</f>
      </c>
    </row>
    <row r="984" spans="10:11" x14ac:dyDescent="0.25">
      <c r="J984" s="40">
        <f>IF($A984="","",$A984-WEEKDAY($A984,1)+1)</f>
      </c>
      <c r="K984" s="42">
        <f>IF($A984="","",YEAR($A984)&amp;"Q"&amp;ROUNDUP(IFERROR(MONTH($A984)/3,0),0))</f>
      </c>
    </row>
    <row r="985" spans="10:11" x14ac:dyDescent="0.25">
      <c r="J985" s="40">
        <f>IF($A985="","",$A985-WEEKDAY($A985,1)+1)</f>
      </c>
      <c r="K985" s="42">
        <f>IF($A985="","",YEAR($A985)&amp;"Q"&amp;ROUNDUP(IFERROR(MONTH($A985)/3,0),0))</f>
      </c>
    </row>
    <row r="986" spans="10:11" x14ac:dyDescent="0.25">
      <c r="J986" s="40">
        <f>IF($A986="","",$A986-WEEKDAY($A986,1)+1)</f>
      </c>
      <c r="K986" s="42">
        <f>IF($A986="","",YEAR($A986)&amp;"Q"&amp;ROUNDUP(IFERROR(MONTH($A986)/3,0),0))</f>
      </c>
    </row>
    <row r="987" spans="10:11" x14ac:dyDescent="0.25">
      <c r="J987" s="40">
        <f>IF($A987="","",$A987-WEEKDAY($A987,1)+1)</f>
      </c>
      <c r="K987" s="42">
        <f>IF($A987="","",YEAR($A987)&amp;"Q"&amp;ROUNDUP(IFERROR(MONTH($A987)/3,0),0))</f>
      </c>
    </row>
    <row r="988" spans="10:11" x14ac:dyDescent="0.25">
      <c r="J988" s="40">
        <f>IF($A988="","",$A988-WEEKDAY($A988,1)+1)</f>
      </c>
      <c r="K988" s="42">
        <f>IF($A988="","",YEAR($A988)&amp;"Q"&amp;ROUNDUP(IFERROR(MONTH($A988)/3,0),0))</f>
      </c>
    </row>
    <row r="989" spans="10:11" x14ac:dyDescent="0.25">
      <c r="J989" s="40">
        <f>IF($A989="","",$A989-WEEKDAY($A989,1)+1)</f>
      </c>
      <c r="K989" s="42">
        <f>IF($A989="","",YEAR($A989)&amp;"Q"&amp;ROUNDUP(IFERROR(MONTH($A989)/3,0),0))</f>
      </c>
    </row>
    <row r="990" spans="10:11" x14ac:dyDescent="0.25">
      <c r="J990" s="40">
        <f>IF($A990="","",$A990-WEEKDAY($A990,1)+1)</f>
      </c>
      <c r="K990" s="42">
        <f>IF($A990="","",YEAR($A990)&amp;"Q"&amp;ROUNDUP(IFERROR(MONTH($A990)/3,0),0))</f>
      </c>
    </row>
    <row r="991" spans="10:11" x14ac:dyDescent="0.25">
      <c r="J991" s="40">
        <f>IF($A991="","",$A991-WEEKDAY($A991,1)+1)</f>
      </c>
      <c r="K991" s="42">
        <f>IF($A991="","",YEAR($A991)&amp;"Q"&amp;ROUNDUP(IFERROR(MONTH($A991)/3,0),0))</f>
      </c>
    </row>
    <row r="992" spans="10:11" x14ac:dyDescent="0.25">
      <c r="J992" s="40">
        <f>IF($A992="","",$A992-WEEKDAY($A992,1)+1)</f>
      </c>
      <c r="K992" s="42">
        <f>IF($A992="","",YEAR($A992)&amp;"Q"&amp;ROUNDUP(IFERROR(MONTH($A992)/3,0),0))</f>
      </c>
    </row>
    <row r="993" spans="10:11" x14ac:dyDescent="0.25">
      <c r="J993" s="40">
        <f>IF($A993="","",$A993-WEEKDAY($A993,1)+1)</f>
      </c>
      <c r="K993" s="42">
        <f>IF($A993="","",YEAR($A993)&amp;"Q"&amp;ROUNDUP(IFERROR(MONTH($A993)/3,0),0))</f>
      </c>
    </row>
    <row r="994" spans="10:11" x14ac:dyDescent="0.25">
      <c r="J994" s="40">
        <f>IF($A994="","",$A994-WEEKDAY($A994,1)+1)</f>
      </c>
      <c r="K994" s="42">
        <f>IF($A994="","",YEAR($A994)&amp;"Q"&amp;ROUNDUP(IFERROR(MONTH($A994)/3,0),0))</f>
      </c>
    </row>
    <row r="995" spans="10:11" x14ac:dyDescent="0.25">
      <c r="J995" s="40">
        <f>IF($A995="","",$A995-WEEKDAY($A995,1)+1)</f>
      </c>
      <c r="K995" s="42">
        <f>IF($A995="","",YEAR($A995)&amp;"Q"&amp;ROUNDUP(IFERROR(MONTH($A995)/3,0),0))</f>
      </c>
    </row>
    <row r="996" spans="10:11" x14ac:dyDescent="0.25">
      <c r="J996" s="40">
        <f>IF($A996="","",$A996-WEEKDAY($A996,1)+1)</f>
      </c>
      <c r="K996" s="42">
        <f>IF($A996="","",YEAR($A996)&amp;"Q"&amp;ROUNDUP(IFERROR(MONTH($A996)/3,0),0))</f>
      </c>
    </row>
    <row r="997" spans="10:11" x14ac:dyDescent="0.25">
      <c r="J997" s="40">
        <f>IF($A997="","",$A997-WEEKDAY($A997,1)+1)</f>
      </c>
      <c r="K997" s="42">
        <f>IF($A997="","",YEAR($A997)&amp;"Q"&amp;ROUNDUP(IFERROR(MONTH($A997)/3,0),0))</f>
      </c>
    </row>
    <row r="998" spans="10:11" x14ac:dyDescent="0.25">
      <c r="J998" s="40">
        <f>IF($A998="","",$A998-WEEKDAY($A998,1)+1)</f>
      </c>
      <c r="K998" s="42">
        <f>IF($A998="","",YEAR($A998)&amp;"Q"&amp;ROUNDUP(IFERROR(MONTH($A998)/3,0),0))</f>
      </c>
    </row>
    <row r="999" spans="10:11" x14ac:dyDescent="0.25">
      <c r="J999" s="40">
        <f>IF($A999="","",$A999-WEEKDAY($A999,1)+1)</f>
      </c>
      <c r="K999" s="42">
        <f>IF($A999="","",YEAR($A999)&amp;"Q"&amp;ROUNDUP(IFERROR(MONTH($A999)/3,0),0))</f>
      </c>
    </row>
    <row r="1000" spans="10:11" x14ac:dyDescent="0.25">
      <c r="J1000" s="40">
        <f>IF($A1000="","",$A1000-WEEKDAY($A1000,1)+1)</f>
      </c>
      <c r="K1000" s="42">
        <f>IF($A1000="","",YEAR($A1000)&amp;"Q"&amp;ROUNDUP(IFERROR(MONTH($A1000)/3,0),0))</f>
      </c>
    </row>
    <row r="1001" spans="10:11" x14ac:dyDescent="0.25">
      <c r="J1001" s="40">
        <f>IF($A1001="","",$A1001-WEEKDAY($A1001,1)+1)</f>
      </c>
      <c r="K1001" s="42">
        <f>IF($A1001="","",YEAR($A1001)&amp;"Q"&amp;ROUNDUP(IFERROR(MONTH($A1001)/3,0),0))</f>
      </c>
    </row>
    <row r="1002" spans="10:11" x14ac:dyDescent="0.25">
      <c r="J1002" s="40">
        <f>IF($A1002="","",$A1002-WEEKDAY($A1002,1)+1)</f>
      </c>
      <c r="K1002" s="42">
        <f>IF($A1002="","",YEAR($A1002)&amp;"Q"&amp;ROUNDUP(IFERROR(MONTH($A1002)/3,0),0))</f>
      </c>
    </row>
  </sheetData>
  <dataValidations count="3">
    <dataValidation type="list" allowBlank="1" showErrorMessage="1" errorStyle="stop" errorTitle="목록에서 고르세요 / Pick from the list" error="세금 시트의 T2125 목록에서 고르세요" sqref="E3:E1002">
      <formula1>'세금 Tax'!$A$31:$A$53</formula1>
    </dataValidation>
    <dataValidation type="list" allowBlank="1" showErrorMessage="1" errorStyle="stop" errorTitle="목록에서 고르세요 / Pick from the list" error="허용 / allowed: CARD,DEBIT,CASH,ETRANSFER,CHEQUE,OTHER" sqref="F3:F1002">
      <formula1>"CARD,DEBIT,CASH,ETRANSFER,CHEQUE,OTHER"</formula1>
    </dataValidation>
    <dataValidation type="list" allowBlank="1" showErrorMessage="1" errorStyle="stop" errorTitle="목록에서 고르세요 / Pick from the list" error="허용 / allowed: Y,N" sqref="G3:G1002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H1002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2" style="26" customWidth="1"/>
    <col min="2" max="3" width="20" style="5" customWidth="1"/>
    <col min="4" max="4" width="26" style="5" customWidth="1"/>
    <col min="5" max="5" width="11" style="5" customWidth="1"/>
    <col min="6" max="6" width="11" style="87" customWidth="1"/>
    <col min="7" max="7" width="30" style="5" customWidth="1"/>
    <col min="8" max="8" width="8" style="5" customWidth="1"/>
  </cols>
  <sheetData>
    <row r="1" ht="32" customHeight="1" spans="1:8" x14ac:dyDescent="0.25">
      <c r="A1" s="28" t="s">
        <v>482</v>
      </c>
      <c r="B1" s="3" t="s">
        <v>922</v>
      </c>
      <c r="C1" s="3" t="s">
        <v>923</v>
      </c>
      <c r="D1" s="3" t="s">
        <v>924</v>
      </c>
      <c r="E1" s="3" t="s">
        <v>925</v>
      </c>
      <c r="F1" s="88" t="s">
        <v>926</v>
      </c>
      <c r="G1" s="3" t="s">
        <v>487</v>
      </c>
      <c r="H1" s="20" t="s">
        <v>927</v>
      </c>
    </row>
    <row r="2" spans="1:8" x14ac:dyDescent="0.25">
      <c r="A2" s="30">
        <v>46309</v>
      </c>
      <c r="B2" s="31" t="s">
        <v>928</v>
      </c>
      <c r="C2" s="31" t="s">
        <v>532</v>
      </c>
      <c r="D2" s="31" t="s">
        <v>929</v>
      </c>
      <c r="E2" s="31" t="s">
        <v>549</v>
      </c>
      <c r="F2" s="89">
        <v>12</v>
      </c>
      <c r="G2" s="31" t="s">
        <v>495</v>
      </c>
      <c r="H2" s="31" t="s">
        <v>537</v>
      </c>
    </row>
    <row r="3" spans="8:8" x14ac:dyDescent="0.25">
      <c r="H3" s="42">
        <f>IF($A3="","",YEAR($A3))</f>
      </c>
    </row>
    <row r="4" spans="8:8" x14ac:dyDescent="0.25">
      <c r="H4" s="42">
        <f>IF($A4="","",YEAR($A4))</f>
      </c>
    </row>
    <row r="5" spans="8:8" x14ac:dyDescent="0.25">
      <c r="H5" s="42">
        <f>IF($A5="","",YEAR($A5))</f>
      </c>
    </row>
    <row r="6" spans="8:8" x14ac:dyDescent="0.25">
      <c r="H6" s="42">
        <f>IF($A6="","",YEAR($A6))</f>
      </c>
    </row>
    <row r="7" spans="8:8" x14ac:dyDescent="0.25">
      <c r="H7" s="42">
        <f>IF($A7="","",YEAR($A7))</f>
      </c>
    </row>
    <row r="8" spans="8:8" x14ac:dyDescent="0.25">
      <c r="H8" s="42">
        <f>IF($A8="","",YEAR($A8))</f>
      </c>
    </row>
    <row r="9" spans="8:8" x14ac:dyDescent="0.25">
      <c r="H9" s="42">
        <f>IF($A9="","",YEAR($A9))</f>
      </c>
    </row>
    <row r="10" spans="8:8" x14ac:dyDescent="0.25">
      <c r="H10" s="42">
        <f>IF($A10="","",YEAR($A10))</f>
      </c>
    </row>
    <row r="11" spans="8:8" x14ac:dyDescent="0.25">
      <c r="H11" s="42">
        <f>IF($A11="","",YEAR($A11))</f>
      </c>
    </row>
    <row r="12" spans="8:8" x14ac:dyDescent="0.25">
      <c r="H12" s="42">
        <f>IF($A12="","",YEAR($A12))</f>
      </c>
    </row>
    <row r="13" spans="8:8" x14ac:dyDescent="0.25">
      <c r="H13" s="42">
        <f>IF($A13="","",YEAR($A13))</f>
      </c>
    </row>
    <row r="14" spans="8:8" x14ac:dyDescent="0.25">
      <c r="H14" s="42">
        <f>IF($A14="","",YEAR($A14))</f>
      </c>
    </row>
    <row r="15" spans="8:8" x14ac:dyDescent="0.25">
      <c r="H15" s="42">
        <f>IF($A15="","",YEAR($A15))</f>
      </c>
    </row>
    <row r="16" spans="8:8" x14ac:dyDescent="0.25">
      <c r="H16" s="42">
        <f>IF($A16="","",YEAR($A16))</f>
      </c>
    </row>
    <row r="17" spans="8:8" x14ac:dyDescent="0.25">
      <c r="H17" s="42">
        <f>IF($A17="","",YEAR($A17))</f>
      </c>
    </row>
    <row r="18" spans="8:8" x14ac:dyDescent="0.25">
      <c r="H18" s="42">
        <f>IF($A18="","",YEAR($A18))</f>
      </c>
    </row>
    <row r="19" spans="8:8" x14ac:dyDescent="0.25">
      <c r="H19" s="42">
        <f>IF($A19="","",YEAR($A19))</f>
      </c>
    </row>
    <row r="20" spans="8:8" x14ac:dyDescent="0.25">
      <c r="H20" s="42">
        <f>IF($A20="","",YEAR($A20))</f>
      </c>
    </row>
    <row r="21" spans="8:8" x14ac:dyDescent="0.25">
      <c r="H21" s="42">
        <f>IF($A21="","",YEAR($A21))</f>
      </c>
    </row>
    <row r="22" spans="8:8" x14ac:dyDescent="0.25">
      <c r="H22" s="42">
        <f>IF($A22="","",YEAR($A22))</f>
      </c>
    </row>
    <row r="23" spans="8:8" x14ac:dyDescent="0.25">
      <c r="H23" s="42">
        <f>IF($A23="","",YEAR($A23))</f>
      </c>
    </row>
    <row r="24" spans="8:8" x14ac:dyDescent="0.25">
      <c r="H24" s="42">
        <f>IF($A24="","",YEAR($A24))</f>
      </c>
    </row>
    <row r="25" spans="8:8" x14ac:dyDescent="0.25">
      <c r="H25" s="42">
        <f>IF($A25="","",YEAR($A25))</f>
      </c>
    </row>
    <row r="26" spans="8:8" x14ac:dyDescent="0.25">
      <c r="H26" s="42">
        <f>IF($A26="","",YEAR($A26))</f>
      </c>
    </row>
    <row r="27" spans="8:8" x14ac:dyDescent="0.25">
      <c r="H27" s="42">
        <f>IF($A27="","",YEAR($A27))</f>
      </c>
    </row>
    <row r="28" spans="8:8" x14ac:dyDescent="0.25">
      <c r="H28" s="42">
        <f>IF($A28="","",YEAR($A28))</f>
      </c>
    </row>
    <row r="29" spans="8:8" x14ac:dyDescent="0.25">
      <c r="H29" s="42">
        <f>IF($A29="","",YEAR($A29))</f>
      </c>
    </row>
    <row r="30" spans="8:8" x14ac:dyDescent="0.25">
      <c r="H30" s="42">
        <f>IF($A30="","",YEAR($A30))</f>
      </c>
    </row>
    <row r="31" spans="8:8" x14ac:dyDescent="0.25">
      <c r="H31" s="42">
        <f>IF($A31="","",YEAR($A31))</f>
      </c>
    </row>
    <row r="32" spans="8:8" x14ac:dyDescent="0.25">
      <c r="H32" s="42">
        <f>IF($A32="","",YEAR($A32))</f>
      </c>
    </row>
    <row r="33" spans="8:8" x14ac:dyDescent="0.25">
      <c r="H33" s="42">
        <f>IF($A33="","",YEAR($A33))</f>
      </c>
    </row>
    <row r="34" spans="8:8" x14ac:dyDescent="0.25">
      <c r="H34" s="42">
        <f>IF($A34="","",YEAR($A34))</f>
      </c>
    </row>
    <row r="35" spans="8:8" x14ac:dyDescent="0.25">
      <c r="H35" s="42">
        <f>IF($A35="","",YEAR($A35))</f>
      </c>
    </row>
    <row r="36" spans="8:8" x14ac:dyDescent="0.25">
      <c r="H36" s="42">
        <f>IF($A36="","",YEAR($A36))</f>
      </c>
    </row>
    <row r="37" spans="8:8" x14ac:dyDescent="0.25">
      <c r="H37" s="42">
        <f>IF($A37="","",YEAR($A37))</f>
      </c>
    </row>
    <row r="38" spans="8:8" x14ac:dyDescent="0.25">
      <c r="H38" s="42">
        <f>IF($A38="","",YEAR($A38))</f>
      </c>
    </row>
    <row r="39" spans="8:8" x14ac:dyDescent="0.25">
      <c r="H39" s="42">
        <f>IF($A39="","",YEAR($A39))</f>
      </c>
    </row>
    <row r="40" spans="8:8" x14ac:dyDescent="0.25">
      <c r="H40" s="42">
        <f>IF($A40="","",YEAR($A40))</f>
      </c>
    </row>
    <row r="41" spans="8:8" x14ac:dyDescent="0.25">
      <c r="H41" s="42">
        <f>IF($A41="","",YEAR($A41))</f>
      </c>
    </row>
    <row r="42" spans="8:8" x14ac:dyDescent="0.25">
      <c r="H42" s="42">
        <f>IF($A42="","",YEAR($A42))</f>
      </c>
    </row>
    <row r="43" spans="8:8" x14ac:dyDescent="0.25">
      <c r="H43" s="42">
        <f>IF($A43="","",YEAR($A43))</f>
      </c>
    </row>
    <row r="44" spans="8:8" x14ac:dyDescent="0.25">
      <c r="H44" s="42">
        <f>IF($A44="","",YEAR($A44))</f>
      </c>
    </row>
    <row r="45" spans="8:8" x14ac:dyDescent="0.25">
      <c r="H45" s="42">
        <f>IF($A45="","",YEAR($A45))</f>
      </c>
    </row>
    <row r="46" spans="8:8" x14ac:dyDescent="0.25">
      <c r="H46" s="42">
        <f>IF($A46="","",YEAR($A46))</f>
      </c>
    </row>
    <row r="47" spans="8:8" x14ac:dyDescent="0.25">
      <c r="H47" s="42">
        <f>IF($A47="","",YEAR($A47))</f>
      </c>
    </row>
    <row r="48" spans="8:8" x14ac:dyDescent="0.25">
      <c r="H48" s="42">
        <f>IF($A48="","",YEAR($A48))</f>
      </c>
    </row>
    <row r="49" spans="8:8" x14ac:dyDescent="0.25">
      <c r="H49" s="42">
        <f>IF($A49="","",YEAR($A49))</f>
      </c>
    </row>
    <row r="50" spans="8:8" x14ac:dyDescent="0.25">
      <c r="H50" s="42">
        <f>IF($A50="","",YEAR($A50))</f>
      </c>
    </row>
    <row r="51" spans="8:8" x14ac:dyDescent="0.25">
      <c r="H51" s="42">
        <f>IF($A51="","",YEAR($A51))</f>
      </c>
    </row>
    <row r="52" spans="8:8" x14ac:dyDescent="0.25">
      <c r="H52" s="42">
        <f>IF($A52="","",YEAR($A52))</f>
      </c>
    </row>
    <row r="53" spans="8:8" x14ac:dyDescent="0.25">
      <c r="H53" s="42">
        <f>IF($A53="","",YEAR($A53))</f>
      </c>
    </row>
    <row r="54" spans="8:8" x14ac:dyDescent="0.25">
      <c r="H54" s="42">
        <f>IF($A54="","",YEAR($A54))</f>
      </c>
    </row>
    <row r="55" spans="8:8" x14ac:dyDescent="0.25">
      <c r="H55" s="42">
        <f>IF($A55="","",YEAR($A55))</f>
      </c>
    </row>
    <row r="56" spans="8:8" x14ac:dyDescent="0.25">
      <c r="H56" s="42">
        <f>IF($A56="","",YEAR($A56))</f>
      </c>
    </row>
    <row r="57" spans="8:8" x14ac:dyDescent="0.25">
      <c r="H57" s="42">
        <f>IF($A57="","",YEAR($A57))</f>
      </c>
    </row>
    <row r="58" spans="8:8" x14ac:dyDescent="0.25">
      <c r="H58" s="42">
        <f>IF($A58="","",YEAR($A58))</f>
      </c>
    </row>
    <row r="59" spans="8:8" x14ac:dyDescent="0.25">
      <c r="H59" s="42">
        <f>IF($A59="","",YEAR($A59))</f>
      </c>
    </row>
    <row r="60" spans="8:8" x14ac:dyDescent="0.25">
      <c r="H60" s="42">
        <f>IF($A60="","",YEAR($A60))</f>
      </c>
    </row>
    <row r="61" spans="8:8" x14ac:dyDescent="0.25">
      <c r="H61" s="42">
        <f>IF($A61="","",YEAR($A61))</f>
      </c>
    </row>
    <row r="62" spans="8:8" x14ac:dyDescent="0.25">
      <c r="H62" s="42">
        <f>IF($A62="","",YEAR($A62))</f>
      </c>
    </row>
    <row r="63" spans="8:8" x14ac:dyDescent="0.25">
      <c r="H63" s="42">
        <f>IF($A63="","",YEAR($A63))</f>
      </c>
    </row>
    <row r="64" spans="8:8" x14ac:dyDescent="0.25">
      <c r="H64" s="42">
        <f>IF($A64="","",YEAR($A64))</f>
      </c>
    </row>
    <row r="65" spans="8:8" x14ac:dyDescent="0.25">
      <c r="H65" s="42">
        <f>IF($A65="","",YEAR($A65))</f>
      </c>
    </row>
    <row r="66" spans="8:8" x14ac:dyDescent="0.25">
      <c r="H66" s="42">
        <f>IF($A66="","",YEAR($A66))</f>
      </c>
    </row>
    <row r="67" spans="8:8" x14ac:dyDescent="0.25">
      <c r="H67" s="42">
        <f>IF($A67="","",YEAR($A67))</f>
      </c>
    </row>
    <row r="68" spans="8:8" x14ac:dyDescent="0.25">
      <c r="H68" s="42">
        <f>IF($A68="","",YEAR($A68))</f>
      </c>
    </row>
    <row r="69" spans="8:8" x14ac:dyDescent="0.25">
      <c r="H69" s="42">
        <f>IF($A69="","",YEAR($A69))</f>
      </c>
    </row>
    <row r="70" spans="8:8" x14ac:dyDescent="0.25">
      <c r="H70" s="42">
        <f>IF($A70="","",YEAR($A70))</f>
      </c>
    </row>
    <row r="71" spans="8:8" x14ac:dyDescent="0.25">
      <c r="H71" s="42">
        <f>IF($A71="","",YEAR($A71))</f>
      </c>
    </row>
    <row r="72" spans="8:8" x14ac:dyDescent="0.25">
      <c r="H72" s="42">
        <f>IF($A72="","",YEAR($A72))</f>
      </c>
    </row>
    <row r="73" spans="8:8" x14ac:dyDescent="0.25">
      <c r="H73" s="42">
        <f>IF($A73="","",YEAR($A73))</f>
      </c>
    </row>
    <row r="74" spans="8:8" x14ac:dyDescent="0.25">
      <c r="H74" s="42">
        <f>IF($A74="","",YEAR($A74))</f>
      </c>
    </row>
    <row r="75" spans="8:8" x14ac:dyDescent="0.25">
      <c r="H75" s="42">
        <f>IF($A75="","",YEAR($A75))</f>
      </c>
    </row>
    <row r="76" spans="8:8" x14ac:dyDescent="0.25">
      <c r="H76" s="42">
        <f>IF($A76="","",YEAR($A76))</f>
      </c>
    </row>
    <row r="77" spans="8:8" x14ac:dyDescent="0.25">
      <c r="H77" s="42">
        <f>IF($A77="","",YEAR($A77))</f>
      </c>
    </row>
    <row r="78" spans="8:8" x14ac:dyDescent="0.25">
      <c r="H78" s="42">
        <f>IF($A78="","",YEAR($A78))</f>
      </c>
    </row>
    <row r="79" spans="8:8" x14ac:dyDescent="0.25">
      <c r="H79" s="42">
        <f>IF($A79="","",YEAR($A79))</f>
      </c>
    </row>
    <row r="80" spans="8:8" x14ac:dyDescent="0.25">
      <c r="H80" s="42">
        <f>IF($A80="","",YEAR($A80))</f>
      </c>
    </row>
    <row r="81" spans="8:8" x14ac:dyDescent="0.25">
      <c r="H81" s="42">
        <f>IF($A81="","",YEAR($A81))</f>
      </c>
    </row>
    <row r="82" spans="8:8" x14ac:dyDescent="0.25">
      <c r="H82" s="42">
        <f>IF($A82="","",YEAR($A82))</f>
      </c>
    </row>
    <row r="83" spans="8:8" x14ac:dyDescent="0.25">
      <c r="H83" s="42">
        <f>IF($A83="","",YEAR($A83))</f>
      </c>
    </row>
    <row r="84" spans="8:8" x14ac:dyDescent="0.25">
      <c r="H84" s="42">
        <f>IF($A84="","",YEAR($A84))</f>
      </c>
    </row>
    <row r="85" spans="8:8" x14ac:dyDescent="0.25">
      <c r="H85" s="42">
        <f>IF($A85="","",YEAR($A85))</f>
      </c>
    </row>
    <row r="86" spans="8:8" x14ac:dyDescent="0.25">
      <c r="H86" s="42">
        <f>IF($A86="","",YEAR($A86))</f>
      </c>
    </row>
    <row r="87" spans="8:8" x14ac:dyDescent="0.25">
      <c r="H87" s="42">
        <f>IF($A87="","",YEAR($A87))</f>
      </c>
    </row>
    <row r="88" spans="8:8" x14ac:dyDescent="0.25">
      <c r="H88" s="42">
        <f>IF($A88="","",YEAR($A88))</f>
      </c>
    </row>
    <row r="89" spans="8:8" x14ac:dyDescent="0.25">
      <c r="H89" s="42">
        <f>IF($A89="","",YEAR($A89))</f>
      </c>
    </row>
    <row r="90" spans="8:8" x14ac:dyDescent="0.25">
      <c r="H90" s="42">
        <f>IF($A90="","",YEAR($A90))</f>
      </c>
    </row>
    <row r="91" spans="8:8" x14ac:dyDescent="0.25">
      <c r="H91" s="42">
        <f>IF($A91="","",YEAR($A91))</f>
      </c>
    </row>
    <row r="92" spans="8:8" x14ac:dyDescent="0.25">
      <c r="H92" s="42">
        <f>IF($A92="","",YEAR($A92))</f>
      </c>
    </row>
    <row r="93" spans="8:8" x14ac:dyDescent="0.25">
      <c r="H93" s="42">
        <f>IF($A93="","",YEAR($A93))</f>
      </c>
    </row>
    <row r="94" spans="8:8" x14ac:dyDescent="0.25">
      <c r="H94" s="42">
        <f>IF($A94="","",YEAR($A94))</f>
      </c>
    </row>
    <row r="95" spans="8:8" x14ac:dyDescent="0.25">
      <c r="H95" s="42">
        <f>IF($A95="","",YEAR($A95))</f>
      </c>
    </row>
    <row r="96" spans="8:8" x14ac:dyDescent="0.25">
      <c r="H96" s="42">
        <f>IF($A96="","",YEAR($A96))</f>
      </c>
    </row>
    <row r="97" spans="8:8" x14ac:dyDescent="0.25">
      <c r="H97" s="42">
        <f>IF($A97="","",YEAR($A97))</f>
      </c>
    </row>
    <row r="98" spans="8:8" x14ac:dyDescent="0.25">
      <c r="H98" s="42">
        <f>IF($A98="","",YEAR($A98))</f>
      </c>
    </row>
    <row r="99" spans="8:8" x14ac:dyDescent="0.25">
      <c r="H99" s="42">
        <f>IF($A99="","",YEAR($A99))</f>
      </c>
    </row>
    <row r="100" spans="8:8" x14ac:dyDescent="0.25">
      <c r="H100" s="42">
        <f>IF($A100="","",YEAR($A100))</f>
      </c>
    </row>
    <row r="101" spans="8:8" x14ac:dyDescent="0.25">
      <c r="H101" s="42">
        <f>IF($A101="","",YEAR($A101))</f>
      </c>
    </row>
    <row r="102" spans="8:8" x14ac:dyDescent="0.25">
      <c r="H102" s="42">
        <f>IF($A102="","",YEAR($A102))</f>
      </c>
    </row>
    <row r="103" spans="8:8" x14ac:dyDescent="0.25">
      <c r="H103" s="42">
        <f>IF($A103="","",YEAR($A103))</f>
      </c>
    </row>
    <row r="104" spans="8:8" x14ac:dyDescent="0.25">
      <c r="H104" s="42">
        <f>IF($A104="","",YEAR($A104))</f>
      </c>
    </row>
    <row r="105" spans="8:8" x14ac:dyDescent="0.25">
      <c r="H105" s="42">
        <f>IF($A105="","",YEAR($A105))</f>
      </c>
    </row>
    <row r="106" spans="8:8" x14ac:dyDescent="0.25">
      <c r="H106" s="42">
        <f>IF($A106="","",YEAR($A106))</f>
      </c>
    </row>
    <row r="107" spans="8:8" x14ac:dyDescent="0.25">
      <c r="H107" s="42">
        <f>IF($A107="","",YEAR($A107))</f>
      </c>
    </row>
    <row r="108" spans="8:8" x14ac:dyDescent="0.25">
      <c r="H108" s="42">
        <f>IF($A108="","",YEAR($A108))</f>
      </c>
    </row>
    <row r="109" spans="8:8" x14ac:dyDescent="0.25">
      <c r="H109" s="42">
        <f>IF($A109="","",YEAR($A109))</f>
      </c>
    </row>
    <row r="110" spans="8:8" x14ac:dyDescent="0.25">
      <c r="H110" s="42">
        <f>IF($A110="","",YEAR($A110))</f>
      </c>
    </row>
    <row r="111" spans="8:8" x14ac:dyDescent="0.25">
      <c r="H111" s="42">
        <f>IF($A111="","",YEAR($A111))</f>
      </c>
    </row>
    <row r="112" spans="8:8" x14ac:dyDescent="0.25">
      <c r="H112" s="42">
        <f>IF($A112="","",YEAR($A112))</f>
      </c>
    </row>
    <row r="113" spans="8:8" x14ac:dyDescent="0.25">
      <c r="H113" s="42">
        <f>IF($A113="","",YEAR($A113))</f>
      </c>
    </row>
    <row r="114" spans="8:8" x14ac:dyDescent="0.25">
      <c r="H114" s="42">
        <f>IF($A114="","",YEAR($A114))</f>
      </c>
    </row>
    <row r="115" spans="8:8" x14ac:dyDescent="0.25">
      <c r="H115" s="42">
        <f>IF($A115="","",YEAR($A115))</f>
      </c>
    </row>
    <row r="116" spans="8:8" x14ac:dyDescent="0.25">
      <c r="H116" s="42">
        <f>IF($A116="","",YEAR($A116))</f>
      </c>
    </row>
    <row r="117" spans="8:8" x14ac:dyDescent="0.25">
      <c r="H117" s="42">
        <f>IF($A117="","",YEAR($A117))</f>
      </c>
    </row>
    <row r="118" spans="8:8" x14ac:dyDescent="0.25">
      <c r="H118" s="42">
        <f>IF($A118="","",YEAR($A118))</f>
      </c>
    </row>
    <row r="119" spans="8:8" x14ac:dyDescent="0.25">
      <c r="H119" s="42">
        <f>IF($A119="","",YEAR($A119))</f>
      </c>
    </row>
    <row r="120" spans="8:8" x14ac:dyDescent="0.25">
      <c r="H120" s="42">
        <f>IF($A120="","",YEAR($A120))</f>
      </c>
    </row>
    <row r="121" spans="8:8" x14ac:dyDescent="0.25">
      <c r="H121" s="42">
        <f>IF($A121="","",YEAR($A121))</f>
      </c>
    </row>
    <row r="122" spans="8:8" x14ac:dyDescent="0.25">
      <c r="H122" s="42">
        <f>IF($A122="","",YEAR($A122))</f>
      </c>
    </row>
    <row r="123" spans="8:8" x14ac:dyDescent="0.25">
      <c r="H123" s="42">
        <f>IF($A123="","",YEAR($A123))</f>
      </c>
    </row>
    <row r="124" spans="8:8" x14ac:dyDescent="0.25">
      <c r="H124" s="42">
        <f>IF($A124="","",YEAR($A124))</f>
      </c>
    </row>
    <row r="125" spans="8:8" x14ac:dyDescent="0.25">
      <c r="H125" s="42">
        <f>IF($A125="","",YEAR($A125))</f>
      </c>
    </row>
    <row r="126" spans="8:8" x14ac:dyDescent="0.25">
      <c r="H126" s="42">
        <f>IF($A126="","",YEAR($A126))</f>
      </c>
    </row>
    <row r="127" spans="8:8" x14ac:dyDescent="0.25">
      <c r="H127" s="42">
        <f>IF($A127="","",YEAR($A127))</f>
      </c>
    </row>
    <row r="128" spans="8:8" x14ac:dyDescent="0.25">
      <c r="H128" s="42">
        <f>IF($A128="","",YEAR($A128))</f>
      </c>
    </row>
    <row r="129" spans="8:8" x14ac:dyDescent="0.25">
      <c r="H129" s="42">
        <f>IF($A129="","",YEAR($A129))</f>
      </c>
    </row>
    <row r="130" spans="8:8" x14ac:dyDescent="0.25">
      <c r="H130" s="42">
        <f>IF($A130="","",YEAR($A130))</f>
      </c>
    </row>
    <row r="131" spans="8:8" x14ac:dyDescent="0.25">
      <c r="H131" s="42">
        <f>IF($A131="","",YEAR($A131))</f>
      </c>
    </row>
    <row r="132" spans="8:8" x14ac:dyDescent="0.25">
      <c r="H132" s="42">
        <f>IF($A132="","",YEAR($A132))</f>
      </c>
    </row>
    <row r="133" spans="8:8" x14ac:dyDescent="0.25">
      <c r="H133" s="42">
        <f>IF($A133="","",YEAR($A133))</f>
      </c>
    </row>
    <row r="134" spans="8:8" x14ac:dyDescent="0.25">
      <c r="H134" s="42">
        <f>IF($A134="","",YEAR($A134))</f>
      </c>
    </row>
    <row r="135" spans="8:8" x14ac:dyDescent="0.25">
      <c r="H135" s="42">
        <f>IF($A135="","",YEAR($A135))</f>
      </c>
    </row>
    <row r="136" spans="8:8" x14ac:dyDescent="0.25">
      <c r="H136" s="42">
        <f>IF($A136="","",YEAR($A136))</f>
      </c>
    </row>
    <row r="137" spans="8:8" x14ac:dyDescent="0.25">
      <c r="H137" s="42">
        <f>IF($A137="","",YEAR($A137))</f>
      </c>
    </row>
    <row r="138" spans="8:8" x14ac:dyDescent="0.25">
      <c r="H138" s="42">
        <f>IF($A138="","",YEAR($A138))</f>
      </c>
    </row>
    <row r="139" spans="8:8" x14ac:dyDescent="0.25">
      <c r="H139" s="42">
        <f>IF($A139="","",YEAR($A139))</f>
      </c>
    </row>
    <row r="140" spans="8:8" x14ac:dyDescent="0.25">
      <c r="H140" s="42">
        <f>IF($A140="","",YEAR($A140))</f>
      </c>
    </row>
    <row r="141" spans="8:8" x14ac:dyDescent="0.25">
      <c r="H141" s="42">
        <f>IF($A141="","",YEAR($A141))</f>
      </c>
    </row>
    <row r="142" spans="8:8" x14ac:dyDescent="0.25">
      <c r="H142" s="42">
        <f>IF($A142="","",YEAR($A142))</f>
      </c>
    </row>
    <row r="143" spans="8:8" x14ac:dyDescent="0.25">
      <c r="H143" s="42">
        <f>IF($A143="","",YEAR($A143))</f>
      </c>
    </row>
    <row r="144" spans="8:8" x14ac:dyDescent="0.25">
      <c r="H144" s="42">
        <f>IF($A144="","",YEAR($A144))</f>
      </c>
    </row>
    <row r="145" spans="8:8" x14ac:dyDescent="0.25">
      <c r="H145" s="42">
        <f>IF($A145="","",YEAR($A145))</f>
      </c>
    </row>
    <row r="146" spans="8:8" x14ac:dyDescent="0.25">
      <c r="H146" s="42">
        <f>IF($A146="","",YEAR($A146))</f>
      </c>
    </row>
    <row r="147" spans="8:8" x14ac:dyDescent="0.25">
      <c r="H147" s="42">
        <f>IF($A147="","",YEAR($A147))</f>
      </c>
    </row>
    <row r="148" spans="8:8" x14ac:dyDescent="0.25">
      <c r="H148" s="42">
        <f>IF($A148="","",YEAR($A148))</f>
      </c>
    </row>
    <row r="149" spans="8:8" x14ac:dyDescent="0.25">
      <c r="H149" s="42">
        <f>IF($A149="","",YEAR($A149))</f>
      </c>
    </row>
    <row r="150" spans="8:8" x14ac:dyDescent="0.25">
      <c r="H150" s="42">
        <f>IF($A150="","",YEAR($A150))</f>
      </c>
    </row>
    <row r="151" spans="8:8" x14ac:dyDescent="0.25">
      <c r="H151" s="42">
        <f>IF($A151="","",YEAR($A151))</f>
      </c>
    </row>
    <row r="152" spans="8:8" x14ac:dyDescent="0.25">
      <c r="H152" s="42">
        <f>IF($A152="","",YEAR($A152))</f>
      </c>
    </row>
    <row r="153" spans="8:8" x14ac:dyDescent="0.25">
      <c r="H153" s="42">
        <f>IF($A153="","",YEAR($A153))</f>
      </c>
    </row>
    <row r="154" spans="8:8" x14ac:dyDescent="0.25">
      <c r="H154" s="42">
        <f>IF($A154="","",YEAR($A154))</f>
      </c>
    </row>
    <row r="155" spans="8:8" x14ac:dyDescent="0.25">
      <c r="H155" s="42">
        <f>IF($A155="","",YEAR($A155))</f>
      </c>
    </row>
    <row r="156" spans="8:8" x14ac:dyDescent="0.25">
      <c r="H156" s="42">
        <f>IF($A156="","",YEAR($A156))</f>
      </c>
    </row>
    <row r="157" spans="8:8" x14ac:dyDescent="0.25">
      <c r="H157" s="42">
        <f>IF($A157="","",YEAR($A157))</f>
      </c>
    </row>
    <row r="158" spans="8:8" x14ac:dyDescent="0.25">
      <c r="H158" s="42">
        <f>IF($A158="","",YEAR($A158))</f>
      </c>
    </row>
    <row r="159" spans="8:8" x14ac:dyDescent="0.25">
      <c r="H159" s="42">
        <f>IF($A159="","",YEAR($A159))</f>
      </c>
    </row>
    <row r="160" spans="8:8" x14ac:dyDescent="0.25">
      <c r="H160" s="42">
        <f>IF($A160="","",YEAR($A160))</f>
      </c>
    </row>
    <row r="161" spans="8:8" x14ac:dyDescent="0.25">
      <c r="H161" s="42">
        <f>IF($A161="","",YEAR($A161))</f>
      </c>
    </row>
    <row r="162" spans="8:8" x14ac:dyDescent="0.25">
      <c r="H162" s="42">
        <f>IF($A162="","",YEAR($A162))</f>
      </c>
    </row>
    <row r="163" spans="8:8" x14ac:dyDescent="0.25">
      <c r="H163" s="42">
        <f>IF($A163="","",YEAR($A163))</f>
      </c>
    </row>
    <row r="164" spans="8:8" x14ac:dyDescent="0.25">
      <c r="H164" s="42">
        <f>IF($A164="","",YEAR($A164))</f>
      </c>
    </row>
    <row r="165" spans="8:8" x14ac:dyDescent="0.25">
      <c r="H165" s="42">
        <f>IF($A165="","",YEAR($A165))</f>
      </c>
    </row>
    <row r="166" spans="8:8" x14ac:dyDescent="0.25">
      <c r="H166" s="42">
        <f>IF($A166="","",YEAR($A166))</f>
      </c>
    </row>
    <row r="167" spans="8:8" x14ac:dyDescent="0.25">
      <c r="H167" s="42">
        <f>IF($A167="","",YEAR($A167))</f>
      </c>
    </row>
    <row r="168" spans="8:8" x14ac:dyDescent="0.25">
      <c r="H168" s="42">
        <f>IF($A168="","",YEAR($A168))</f>
      </c>
    </row>
    <row r="169" spans="8:8" x14ac:dyDescent="0.25">
      <c r="H169" s="42">
        <f>IF($A169="","",YEAR($A169))</f>
      </c>
    </row>
    <row r="170" spans="8:8" x14ac:dyDescent="0.25">
      <c r="H170" s="42">
        <f>IF($A170="","",YEAR($A170))</f>
      </c>
    </row>
    <row r="171" spans="8:8" x14ac:dyDescent="0.25">
      <c r="H171" s="42">
        <f>IF($A171="","",YEAR($A171))</f>
      </c>
    </row>
    <row r="172" spans="8:8" x14ac:dyDescent="0.25">
      <c r="H172" s="42">
        <f>IF($A172="","",YEAR($A172))</f>
      </c>
    </row>
    <row r="173" spans="8:8" x14ac:dyDescent="0.25">
      <c r="H173" s="42">
        <f>IF($A173="","",YEAR($A173))</f>
      </c>
    </row>
    <row r="174" spans="8:8" x14ac:dyDescent="0.25">
      <c r="H174" s="42">
        <f>IF($A174="","",YEAR($A174))</f>
      </c>
    </row>
    <row r="175" spans="8:8" x14ac:dyDescent="0.25">
      <c r="H175" s="42">
        <f>IF($A175="","",YEAR($A175))</f>
      </c>
    </row>
    <row r="176" spans="8:8" x14ac:dyDescent="0.25">
      <c r="H176" s="42">
        <f>IF($A176="","",YEAR($A176))</f>
      </c>
    </row>
    <row r="177" spans="8:8" x14ac:dyDescent="0.25">
      <c r="H177" s="42">
        <f>IF($A177="","",YEAR($A177))</f>
      </c>
    </row>
    <row r="178" spans="8:8" x14ac:dyDescent="0.25">
      <c r="H178" s="42">
        <f>IF($A178="","",YEAR($A178))</f>
      </c>
    </row>
    <row r="179" spans="8:8" x14ac:dyDescent="0.25">
      <c r="H179" s="42">
        <f>IF($A179="","",YEAR($A179))</f>
      </c>
    </row>
    <row r="180" spans="8:8" x14ac:dyDescent="0.25">
      <c r="H180" s="42">
        <f>IF($A180="","",YEAR($A180))</f>
      </c>
    </row>
    <row r="181" spans="8:8" x14ac:dyDescent="0.25">
      <c r="H181" s="42">
        <f>IF($A181="","",YEAR($A181))</f>
      </c>
    </row>
    <row r="182" spans="8:8" x14ac:dyDescent="0.25">
      <c r="H182" s="42">
        <f>IF($A182="","",YEAR($A182))</f>
      </c>
    </row>
    <row r="183" spans="8:8" x14ac:dyDescent="0.25">
      <c r="H183" s="42">
        <f>IF($A183="","",YEAR($A183))</f>
      </c>
    </row>
    <row r="184" spans="8:8" x14ac:dyDescent="0.25">
      <c r="H184" s="42">
        <f>IF($A184="","",YEAR($A184))</f>
      </c>
    </row>
    <row r="185" spans="8:8" x14ac:dyDescent="0.25">
      <c r="H185" s="42">
        <f>IF($A185="","",YEAR($A185))</f>
      </c>
    </row>
    <row r="186" spans="8:8" x14ac:dyDescent="0.25">
      <c r="H186" s="42">
        <f>IF($A186="","",YEAR($A186))</f>
      </c>
    </row>
    <row r="187" spans="8:8" x14ac:dyDescent="0.25">
      <c r="H187" s="42">
        <f>IF($A187="","",YEAR($A187))</f>
      </c>
    </row>
    <row r="188" spans="8:8" x14ac:dyDescent="0.25">
      <c r="H188" s="42">
        <f>IF($A188="","",YEAR($A188))</f>
      </c>
    </row>
    <row r="189" spans="8:8" x14ac:dyDescent="0.25">
      <c r="H189" s="42">
        <f>IF($A189="","",YEAR($A189))</f>
      </c>
    </row>
    <row r="190" spans="8:8" x14ac:dyDescent="0.25">
      <c r="H190" s="42">
        <f>IF($A190="","",YEAR($A190))</f>
      </c>
    </row>
    <row r="191" spans="8:8" x14ac:dyDescent="0.25">
      <c r="H191" s="42">
        <f>IF($A191="","",YEAR($A191))</f>
      </c>
    </row>
    <row r="192" spans="8:8" x14ac:dyDescent="0.25">
      <c r="H192" s="42">
        <f>IF($A192="","",YEAR($A192))</f>
      </c>
    </row>
    <row r="193" spans="8:8" x14ac:dyDescent="0.25">
      <c r="H193" s="42">
        <f>IF($A193="","",YEAR($A193))</f>
      </c>
    </row>
    <row r="194" spans="8:8" x14ac:dyDescent="0.25">
      <c r="H194" s="42">
        <f>IF($A194="","",YEAR($A194))</f>
      </c>
    </row>
    <row r="195" spans="8:8" x14ac:dyDescent="0.25">
      <c r="H195" s="42">
        <f>IF($A195="","",YEAR($A195))</f>
      </c>
    </row>
    <row r="196" spans="8:8" x14ac:dyDescent="0.25">
      <c r="H196" s="42">
        <f>IF($A196="","",YEAR($A196))</f>
      </c>
    </row>
    <row r="197" spans="8:8" x14ac:dyDescent="0.25">
      <c r="H197" s="42">
        <f>IF($A197="","",YEAR($A197))</f>
      </c>
    </row>
    <row r="198" spans="8:8" x14ac:dyDescent="0.25">
      <c r="H198" s="42">
        <f>IF($A198="","",YEAR($A198))</f>
      </c>
    </row>
    <row r="199" spans="8:8" x14ac:dyDescent="0.25">
      <c r="H199" s="42">
        <f>IF($A199="","",YEAR($A199))</f>
      </c>
    </row>
    <row r="200" spans="8:8" x14ac:dyDescent="0.25">
      <c r="H200" s="42">
        <f>IF($A200="","",YEAR($A200))</f>
      </c>
    </row>
    <row r="201" spans="8:8" x14ac:dyDescent="0.25">
      <c r="H201" s="42">
        <f>IF($A201="","",YEAR($A201))</f>
      </c>
    </row>
    <row r="202" spans="8:8" x14ac:dyDescent="0.25">
      <c r="H202" s="42">
        <f>IF($A202="","",YEAR($A202))</f>
      </c>
    </row>
    <row r="203" spans="8:8" x14ac:dyDescent="0.25">
      <c r="H203" s="42">
        <f>IF($A203="","",YEAR($A203))</f>
      </c>
    </row>
    <row r="204" spans="8:8" x14ac:dyDescent="0.25">
      <c r="H204" s="42">
        <f>IF($A204="","",YEAR($A204))</f>
      </c>
    </row>
    <row r="205" spans="8:8" x14ac:dyDescent="0.25">
      <c r="H205" s="42">
        <f>IF($A205="","",YEAR($A205))</f>
      </c>
    </row>
    <row r="206" spans="8:8" x14ac:dyDescent="0.25">
      <c r="H206" s="42">
        <f>IF($A206="","",YEAR($A206))</f>
      </c>
    </row>
    <row r="207" spans="8:8" x14ac:dyDescent="0.25">
      <c r="H207" s="42">
        <f>IF($A207="","",YEAR($A207))</f>
      </c>
    </row>
    <row r="208" spans="8:8" x14ac:dyDescent="0.25">
      <c r="H208" s="42">
        <f>IF($A208="","",YEAR($A208))</f>
      </c>
    </row>
    <row r="209" spans="8:8" x14ac:dyDescent="0.25">
      <c r="H209" s="42">
        <f>IF($A209="","",YEAR($A209))</f>
      </c>
    </row>
    <row r="210" spans="8:8" x14ac:dyDescent="0.25">
      <c r="H210" s="42">
        <f>IF($A210="","",YEAR($A210))</f>
      </c>
    </row>
    <row r="211" spans="8:8" x14ac:dyDescent="0.25">
      <c r="H211" s="42">
        <f>IF($A211="","",YEAR($A211))</f>
      </c>
    </row>
    <row r="212" spans="8:8" x14ac:dyDescent="0.25">
      <c r="H212" s="42">
        <f>IF($A212="","",YEAR($A212))</f>
      </c>
    </row>
    <row r="213" spans="8:8" x14ac:dyDescent="0.25">
      <c r="H213" s="42">
        <f>IF($A213="","",YEAR($A213))</f>
      </c>
    </row>
    <row r="214" spans="8:8" x14ac:dyDescent="0.25">
      <c r="H214" s="42">
        <f>IF($A214="","",YEAR($A214))</f>
      </c>
    </row>
    <row r="215" spans="8:8" x14ac:dyDescent="0.25">
      <c r="H215" s="42">
        <f>IF($A215="","",YEAR($A215))</f>
      </c>
    </row>
    <row r="216" spans="8:8" x14ac:dyDescent="0.25">
      <c r="H216" s="42">
        <f>IF($A216="","",YEAR($A216))</f>
      </c>
    </row>
    <row r="217" spans="8:8" x14ac:dyDescent="0.25">
      <c r="H217" s="42">
        <f>IF($A217="","",YEAR($A217))</f>
      </c>
    </row>
    <row r="218" spans="8:8" x14ac:dyDescent="0.25">
      <c r="H218" s="42">
        <f>IF($A218="","",YEAR($A218))</f>
      </c>
    </row>
    <row r="219" spans="8:8" x14ac:dyDescent="0.25">
      <c r="H219" s="42">
        <f>IF($A219="","",YEAR($A219))</f>
      </c>
    </row>
    <row r="220" spans="8:8" x14ac:dyDescent="0.25">
      <c r="H220" s="42">
        <f>IF($A220="","",YEAR($A220))</f>
      </c>
    </row>
    <row r="221" spans="8:8" x14ac:dyDescent="0.25">
      <c r="H221" s="42">
        <f>IF($A221="","",YEAR($A221))</f>
      </c>
    </row>
    <row r="222" spans="8:8" x14ac:dyDescent="0.25">
      <c r="H222" s="42">
        <f>IF($A222="","",YEAR($A222))</f>
      </c>
    </row>
    <row r="223" spans="8:8" x14ac:dyDescent="0.25">
      <c r="H223" s="42">
        <f>IF($A223="","",YEAR($A223))</f>
      </c>
    </row>
    <row r="224" spans="8:8" x14ac:dyDescent="0.25">
      <c r="H224" s="42">
        <f>IF($A224="","",YEAR($A224))</f>
      </c>
    </row>
    <row r="225" spans="8:8" x14ac:dyDescent="0.25">
      <c r="H225" s="42">
        <f>IF($A225="","",YEAR($A225))</f>
      </c>
    </row>
    <row r="226" spans="8:8" x14ac:dyDescent="0.25">
      <c r="H226" s="42">
        <f>IF($A226="","",YEAR($A226))</f>
      </c>
    </row>
    <row r="227" spans="8:8" x14ac:dyDescent="0.25">
      <c r="H227" s="42">
        <f>IF($A227="","",YEAR($A227))</f>
      </c>
    </row>
    <row r="228" spans="8:8" x14ac:dyDescent="0.25">
      <c r="H228" s="42">
        <f>IF($A228="","",YEAR($A228))</f>
      </c>
    </row>
    <row r="229" spans="8:8" x14ac:dyDescent="0.25">
      <c r="H229" s="42">
        <f>IF($A229="","",YEAR($A229))</f>
      </c>
    </row>
    <row r="230" spans="8:8" x14ac:dyDescent="0.25">
      <c r="H230" s="42">
        <f>IF($A230="","",YEAR($A230))</f>
      </c>
    </row>
    <row r="231" spans="8:8" x14ac:dyDescent="0.25">
      <c r="H231" s="42">
        <f>IF($A231="","",YEAR($A231))</f>
      </c>
    </row>
    <row r="232" spans="8:8" x14ac:dyDescent="0.25">
      <c r="H232" s="42">
        <f>IF($A232="","",YEAR($A232))</f>
      </c>
    </row>
    <row r="233" spans="8:8" x14ac:dyDescent="0.25">
      <c r="H233" s="42">
        <f>IF($A233="","",YEAR($A233))</f>
      </c>
    </row>
    <row r="234" spans="8:8" x14ac:dyDescent="0.25">
      <c r="H234" s="42">
        <f>IF($A234="","",YEAR($A234))</f>
      </c>
    </row>
    <row r="235" spans="8:8" x14ac:dyDescent="0.25">
      <c r="H235" s="42">
        <f>IF($A235="","",YEAR($A235))</f>
      </c>
    </row>
    <row r="236" spans="8:8" x14ac:dyDescent="0.25">
      <c r="H236" s="42">
        <f>IF($A236="","",YEAR($A236))</f>
      </c>
    </row>
    <row r="237" spans="8:8" x14ac:dyDescent="0.25">
      <c r="H237" s="42">
        <f>IF($A237="","",YEAR($A237))</f>
      </c>
    </row>
    <row r="238" spans="8:8" x14ac:dyDescent="0.25">
      <c r="H238" s="42">
        <f>IF($A238="","",YEAR($A238))</f>
      </c>
    </row>
    <row r="239" spans="8:8" x14ac:dyDescent="0.25">
      <c r="H239" s="42">
        <f>IF($A239="","",YEAR($A239))</f>
      </c>
    </row>
    <row r="240" spans="8:8" x14ac:dyDescent="0.25">
      <c r="H240" s="42">
        <f>IF($A240="","",YEAR($A240))</f>
      </c>
    </row>
    <row r="241" spans="8:8" x14ac:dyDescent="0.25">
      <c r="H241" s="42">
        <f>IF($A241="","",YEAR($A241))</f>
      </c>
    </row>
    <row r="242" spans="8:8" x14ac:dyDescent="0.25">
      <c r="H242" s="42">
        <f>IF($A242="","",YEAR($A242))</f>
      </c>
    </row>
    <row r="243" spans="8:8" x14ac:dyDescent="0.25">
      <c r="H243" s="42">
        <f>IF($A243="","",YEAR($A243))</f>
      </c>
    </row>
    <row r="244" spans="8:8" x14ac:dyDescent="0.25">
      <c r="H244" s="42">
        <f>IF($A244="","",YEAR($A244))</f>
      </c>
    </row>
    <row r="245" spans="8:8" x14ac:dyDescent="0.25">
      <c r="H245" s="42">
        <f>IF($A245="","",YEAR($A245))</f>
      </c>
    </row>
    <row r="246" spans="8:8" x14ac:dyDescent="0.25">
      <c r="H246" s="42">
        <f>IF($A246="","",YEAR($A246))</f>
      </c>
    </row>
    <row r="247" spans="8:8" x14ac:dyDescent="0.25">
      <c r="H247" s="42">
        <f>IF($A247="","",YEAR($A247))</f>
      </c>
    </row>
    <row r="248" spans="8:8" x14ac:dyDescent="0.25">
      <c r="H248" s="42">
        <f>IF($A248="","",YEAR($A248))</f>
      </c>
    </row>
    <row r="249" spans="8:8" x14ac:dyDescent="0.25">
      <c r="H249" s="42">
        <f>IF($A249="","",YEAR($A249))</f>
      </c>
    </row>
    <row r="250" spans="8:8" x14ac:dyDescent="0.25">
      <c r="H250" s="42">
        <f>IF($A250="","",YEAR($A250))</f>
      </c>
    </row>
    <row r="251" spans="8:8" x14ac:dyDescent="0.25">
      <c r="H251" s="42">
        <f>IF($A251="","",YEAR($A251))</f>
      </c>
    </row>
    <row r="252" spans="8:8" x14ac:dyDescent="0.25">
      <c r="H252" s="42">
        <f>IF($A252="","",YEAR($A252))</f>
      </c>
    </row>
    <row r="253" spans="8:8" x14ac:dyDescent="0.25">
      <c r="H253" s="42">
        <f>IF($A253="","",YEAR($A253))</f>
      </c>
    </row>
    <row r="254" spans="8:8" x14ac:dyDescent="0.25">
      <c r="H254" s="42">
        <f>IF($A254="","",YEAR($A254))</f>
      </c>
    </row>
    <row r="255" spans="8:8" x14ac:dyDescent="0.25">
      <c r="H255" s="42">
        <f>IF($A255="","",YEAR($A255))</f>
      </c>
    </row>
    <row r="256" spans="8:8" x14ac:dyDescent="0.25">
      <c r="H256" s="42">
        <f>IF($A256="","",YEAR($A256))</f>
      </c>
    </row>
    <row r="257" spans="8:8" x14ac:dyDescent="0.25">
      <c r="H257" s="42">
        <f>IF($A257="","",YEAR($A257))</f>
      </c>
    </row>
    <row r="258" spans="8:8" x14ac:dyDescent="0.25">
      <c r="H258" s="42">
        <f>IF($A258="","",YEAR($A258))</f>
      </c>
    </row>
    <row r="259" spans="8:8" x14ac:dyDescent="0.25">
      <c r="H259" s="42">
        <f>IF($A259="","",YEAR($A259))</f>
      </c>
    </row>
    <row r="260" spans="8:8" x14ac:dyDescent="0.25">
      <c r="H260" s="42">
        <f>IF($A260="","",YEAR($A260))</f>
      </c>
    </row>
    <row r="261" spans="8:8" x14ac:dyDescent="0.25">
      <c r="H261" s="42">
        <f>IF($A261="","",YEAR($A261))</f>
      </c>
    </row>
    <row r="262" spans="8:8" x14ac:dyDescent="0.25">
      <c r="H262" s="42">
        <f>IF($A262="","",YEAR($A262))</f>
      </c>
    </row>
    <row r="263" spans="8:8" x14ac:dyDescent="0.25">
      <c r="H263" s="42">
        <f>IF($A263="","",YEAR($A263))</f>
      </c>
    </row>
    <row r="264" spans="8:8" x14ac:dyDescent="0.25">
      <c r="H264" s="42">
        <f>IF($A264="","",YEAR($A264))</f>
      </c>
    </row>
    <row r="265" spans="8:8" x14ac:dyDescent="0.25">
      <c r="H265" s="42">
        <f>IF($A265="","",YEAR($A265))</f>
      </c>
    </row>
    <row r="266" spans="8:8" x14ac:dyDescent="0.25">
      <c r="H266" s="42">
        <f>IF($A266="","",YEAR($A266))</f>
      </c>
    </row>
    <row r="267" spans="8:8" x14ac:dyDescent="0.25">
      <c r="H267" s="42">
        <f>IF($A267="","",YEAR($A267))</f>
      </c>
    </row>
    <row r="268" spans="8:8" x14ac:dyDescent="0.25">
      <c r="H268" s="42">
        <f>IF($A268="","",YEAR($A268))</f>
      </c>
    </row>
    <row r="269" spans="8:8" x14ac:dyDescent="0.25">
      <c r="H269" s="42">
        <f>IF($A269="","",YEAR($A269))</f>
      </c>
    </row>
    <row r="270" spans="8:8" x14ac:dyDescent="0.25">
      <c r="H270" s="42">
        <f>IF($A270="","",YEAR($A270))</f>
      </c>
    </row>
    <row r="271" spans="8:8" x14ac:dyDescent="0.25">
      <c r="H271" s="42">
        <f>IF($A271="","",YEAR($A271))</f>
      </c>
    </row>
    <row r="272" spans="8:8" x14ac:dyDescent="0.25">
      <c r="H272" s="42">
        <f>IF($A272="","",YEAR($A272))</f>
      </c>
    </row>
    <row r="273" spans="8:8" x14ac:dyDescent="0.25">
      <c r="H273" s="42">
        <f>IF($A273="","",YEAR($A273))</f>
      </c>
    </row>
    <row r="274" spans="8:8" x14ac:dyDescent="0.25">
      <c r="H274" s="42">
        <f>IF($A274="","",YEAR($A274))</f>
      </c>
    </row>
    <row r="275" spans="8:8" x14ac:dyDescent="0.25">
      <c r="H275" s="42">
        <f>IF($A275="","",YEAR($A275))</f>
      </c>
    </row>
    <row r="276" spans="8:8" x14ac:dyDescent="0.25">
      <c r="H276" s="42">
        <f>IF($A276="","",YEAR($A276))</f>
      </c>
    </row>
    <row r="277" spans="8:8" x14ac:dyDescent="0.25">
      <c r="H277" s="42">
        <f>IF($A277="","",YEAR($A277))</f>
      </c>
    </row>
    <row r="278" spans="8:8" x14ac:dyDescent="0.25">
      <c r="H278" s="42">
        <f>IF($A278="","",YEAR($A278))</f>
      </c>
    </row>
    <row r="279" spans="8:8" x14ac:dyDescent="0.25">
      <c r="H279" s="42">
        <f>IF($A279="","",YEAR($A279))</f>
      </c>
    </row>
    <row r="280" spans="8:8" x14ac:dyDescent="0.25">
      <c r="H280" s="42">
        <f>IF($A280="","",YEAR($A280))</f>
      </c>
    </row>
    <row r="281" spans="8:8" x14ac:dyDescent="0.25">
      <c r="H281" s="42">
        <f>IF($A281="","",YEAR($A281))</f>
      </c>
    </row>
    <row r="282" spans="8:8" x14ac:dyDescent="0.25">
      <c r="H282" s="42">
        <f>IF($A282="","",YEAR($A282))</f>
      </c>
    </row>
    <row r="283" spans="8:8" x14ac:dyDescent="0.25">
      <c r="H283" s="42">
        <f>IF($A283="","",YEAR($A283))</f>
      </c>
    </row>
    <row r="284" spans="8:8" x14ac:dyDescent="0.25">
      <c r="H284" s="42">
        <f>IF($A284="","",YEAR($A284))</f>
      </c>
    </row>
    <row r="285" spans="8:8" x14ac:dyDescent="0.25">
      <c r="H285" s="42">
        <f>IF($A285="","",YEAR($A285))</f>
      </c>
    </row>
    <row r="286" spans="8:8" x14ac:dyDescent="0.25">
      <c r="H286" s="42">
        <f>IF($A286="","",YEAR($A286))</f>
      </c>
    </row>
    <row r="287" spans="8:8" x14ac:dyDescent="0.25">
      <c r="H287" s="42">
        <f>IF($A287="","",YEAR($A287))</f>
      </c>
    </row>
    <row r="288" spans="8:8" x14ac:dyDescent="0.25">
      <c r="H288" s="42">
        <f>IF($A288="","",YEAR($A288))</f>
      </c>
    </row>
    <row r="289" spans="8:8" x14ac:dyDescent="0.25">
      <c r="H289" s="42">
        <f>IF($A289="","",YEAR($A289))</f>
      </c>
    </row>
    <row r="290" spans="8:8" x14ac:dyDescent="0.25">
      <c r="H290" s="42">
        <f>IF($A290="","",YEAR($A290))</f>
      </c>
    </row>
    <row r="291" spans="8:8" x14ac:dyDescent="0.25">
      <c r="H291" s="42">
        <f>IF($A291="","",YEAR($A291))</f>
      </c>
    </row>
    <row r="292" spans="8:8" x14ac:dyDescent="0.25">
      <c r="H292" s="42">
        <f>IF($A292="","",YEAR($A292))</f>
      </c>
    </row>
    <row r="293" spans="8:8" x14ac:dyDescent="0.25">
      <c r="H293" s="42">
        <f>IF($A293="","",YEAR($A293))</f>
      </c>
    </row>
    <row r="294" spans="8:8" x14ac:dyDescent="0.25">
      <c r="H294" s="42">
        <f>IF($A294="","",YEAR($A294))</f>
      </c>
    </row>
    <row r="295" spans="8:8" x14ac:dyDescent="0.25">
      <c r="H295" s="42">
        <f>IF($A295="","",YEAR($A295))</f>
      </c>
    </row>
    <row r="296" spans="8:8" x14ac:dyDescent="0.25">
      <c r="H296" s="42">
        <f>IF($A296="","",YEAR($A296))</f>
      </c>
    </row>
    <row r="297" spans="8:8" x14ac:dyDescent="0.25">
      <c r="H297" s="42">
        <f>IF($A297="","",YEAR($A297))</f>
      </c>
    </row>
    <row r="298" spans="8:8" x14ac:dyDescent="0.25">
      <c r="H298" s="42">
        <f>IF($A298="","",YEAR($A298))</f>
      </c>
    </row>
    <row r="299" spans="8:8" x14ac:dyDescent="0.25">
      <c r="H299" s="42">
        <f>IF($A299="","",YEAR($A299))</f>
      </c>
    </row>
    <row r="300" spans="8:8" x14ac:dyDescent="0.25">
      <c r="H300" s="42">
        <f>IF($A300="","",YEAR($A300))</f>
      </c>
    </row>
    <row r="301" spans="8:8" x14ac:dyDescent="0.25">
      <c r="H301" s="42">
        <f>IF($A301="","",YEAR($A301))</f>
      </c>
    </row>
    <row r="302" spans="8:8" x14ac:dyDescent="0.25">
      <c r="H302" s="42">
        <f>IF($A302="","",YEAR($A302))</f>
      </c>
    </row>
    <row r="303" spans="8:8" x14ac:dyDescent="0.25">
      <c r="H303" s="42">
        <f>IF($A303="","",YEAR($A303))</f>
      </c>
    </row>
    <row r="304" spans="8:8" x14ac:dyDescent="0.25">
      <c r="H304" s="42">
        <f>IF($A304="","",YEAR($A304))</f>
      </c>
    </row>
    <row r="305" spans="8:8" x14ac:dyDescent="0.25">
      <c r="H305" s="42">
        <f>IF($A305="","",YEAR($A305))</f>
      </c>
    </row>
    <row r="306" spans="8:8" x14ac:dyDescent="0.25">
      <c r="H306" s="42">
        <f>IF($A306="","",YEAR($A306))</f>
      </c>
    </row>
    <row r="307" spans="8:8" x14ac:dyDescent="0.25">
      <c r="H307" s="42">
        <f>IF($A307="","",YEAR($A307))</f>
      </c>
    </row>
    <row r="308" spans="8:8" x14ac:dyDescent="0.25">
      <c r="H308" s="42">
        <f>IF($A308="","",YEAR($A308))</f>
      </c>
    </row>
    <row r="309" spans="8:8" x14ac:dyDescent="0.25">
      <c r="H309" s="42">
        <f>IF($A309="","",YEAR($A309))</f>
      </c>
    </row>
    <row r="310" spans="8:8" x14ac:dyDescent="0.25">
      <c r="H310" s="42">
        <f>IF($A310="","",YEAR($A310))</f>
      </c>
    </row>
    <row r="311" spans="8:8" x14ac:dyDescent="0.25">
      <c r="H311" s="42">
        <f>IF($A311="","",YEAR($A311))</f>
      </c>
    </row>
    <row r="312" spans="8:8" x14ac:dyDescent="0.25">
      <c r="H312" s="42">
        <f>IF($A312="","",YEAR($A312))</f>
      </c>
    </row>
    <row r="313" spans="8:8" x14ac:dyDescent="0.25">
      <c r="H313" s="42">
        <f>IF($A313="","",YEAR($A313))</f>
      </c>
    </row>
    <row r="314" spans="8:8" x14ac:dyDescent="0.25">
      <c r="H314" s="42">
        <f>IF($A314="","",YEAR($A314))</f>
      </c>
    </row>
    <row r="315" spans="8:8" x14ac:dyDescent="0.25">
      <c r="H315" s="42">
        <f>IF($A315="","",YEAR($A315))</f>
      </c>
    </row>
    <row r="316" spans="8:8" x14ac:dyDescent="0.25">
      <c r="H316" s="42">
        <f>IF($A316="","",YEAR($A316))</f>
      </c>
    </row>
    <row r="317" spans="8:8" x14ac:dyDescent="0.25">
      <c r="H317" s="42">
        <f>IF($A317="","",YEAR($A317))</f>
      </c>
    </row>
    <row r="318" spans="8:8" x14ac:dyDescent="0.25">
      <c r="H318" s="42">
        <f>IF($A318="","",YEAR($A318))</f>
      </c>
    </row>
    <row r="319" spans="8:8" x14ac:dyDescent="0.25">
      <c r="H319" s="42">
        <f>IF($A319="","",YEAR($A319))</f>
      </c>
    </row>
    <row r="320" spans="8:8" x14ac:dyDescent="0.25">
      <c r="H320" s="42">
        <f>IF($A320="","",YEAR($A320))</f>
      </c>
    </row>
    <row r="321" spans="8:8" x14ac:dyDescent="0.25">
      <c r="H321" s="42">
        <f>IF($A321="","",YEAR($A321))</f>
      </c>
    </row>
    <row r="322" spans="8:8" x14ac:dyDescent="0.25">
      <c r="H322" s="42">
        <f>IF($A322="","",YEAR($A322))</f>
      </c>
    </row>
    <row r="323" spans="8:8" x14ac:dyDescent="0.25">
      <c r="H323" s="42">
        <f>IF($A323="","",YEAR($A323))</f>
      </c>
    </row>
    <row r="324" spans="8:8" x14ac:dyDescent="0.25">
      <c r="H324" s="42">
        <f>IF($A324="","",YEAR($A324))</f>
      </c>
    </row>
    <row r="325" spans="8:8" x14ac:dyDescent="0.25">
      <c r="H325" s="42">
        <f>IF($A325="","",YEAR($A325))</f>
      </c>
    </row>
    <row r="326" spans="8:8" x14ac:dyDescent="0.25">
      <c r="H326" s="42">
        <f>IF($A326="","",YEAR($A326))</f>
      </c>
    </row>
    <row r="327" spans="8:8" x14ac:dyDescent="0.25">
      <c r="H327" s="42">
        <f>IF($A327="","",YEAR($A327))</f>
      </c>
    </row>
    <row r="328" spans="8:8" x14ac:dyDescent="0.25">
      <c r="H328" s="42">
        <f>IF($A328="","",YEAR($A328))</f>
      </c>
    </row>
    <row r="329" spans="8:8" x14ac:dyDescent="0.25">
      <c r="H329" s="42">
        <f>IF($A329="","",YEAR($A329))</f>
      </c>
    </row>
    <row r="330" spans="8:8" x14ac:dyDescent="0.25">
      <c r="H330" s="42">
        <f>IF($A330="","",YEAR($A330))</f>
      </c>
    </row>
    <row r="331" spans="8:8" x14ac:dyDescent="0.25">
      <c r="H331" s="42">
        <f>IF($A331="","",YEAR($A331))</f>
      </c>
    </row>
    <row r="332" spans="8:8" x14ac:dyDescent="0.25">
      <c r="H332" s="42">
        <f>IF($A332="","",YEAR($A332))</f>
      </c>
    </row>
    <row r="333" spans="8:8" x14ac:dyDescent="0.25">
      <c r="H333" s="42">
        <f>IF($A333="","",YEAR($A333))</f>
      </c>
    </row>
    <row r="334" spans="8:8" x14ac:dyDescent="0.25">
      <c r="H334" s="42">
        <f>IF($A334="","",YEAR($A334))</f>
      </c>
    </row>
    <row r="335" spans="8:8" x14ac:dyDescent="0.25">
      <c r="H335" s="42">
        <f>IF($A335="","",YEAR($A335))</f>
      </c>
    </row>
    <row r="336" spans="8:8" x14ac:dyDescent="0.25">
      <c r="H336" s="42">
        <f>IF($A336="","",YEAR($A336))</f>
      </c>
    </row>
    <row r="337" spans="8:8" x14ac:dyDescent="0.25">
      <c r="H337" s="42">
        <f>IF($A337="","",YEAR($A337))</f>
      </c>
    </row>
    <row r="338" spans="8:8" x14ac:dyDescent="0.25">
      <c r="H338" s="42">
        <f>IF($A338="","",YEAR($A338))</f>
      </c>
    </row>
    <row r="339" spans="8:8" x14ac:dyDescent="0.25">
      <c r="H339" s="42">
        <f>IF($A339="","",YEAR($A339))</f>
      </c>
    </row>
    <row r="340" spans="8:8" x14ac:dyDescent="0.25">
      <c r="H340" s="42">
        <f>IF($A340="","",YEAR($A340))</f>
      </c>
    </row>
    <row r="341" spans="8:8" x14ac:dyDescent="0.25">
      <c r="H341" s="42">
        <f>IF($A341="","",YEAR($A341))</f>
      </c>
    </row>
    <row r="342" spans="8:8" x14ac:dyDescent="0.25">
      <c r="H342" s="42">
        <f>IF($A342="","",YEAR($A342))</f>
      </c>
    </row>
    <row r="343" spans="8:8" x14ac:dyDescent="0.25">
      <c r="H343" s="42">
        <f>IF($A343="","",YEAR($A343))</f>
      </c>
    </row>
    <row r="344" spans="8:8" x14ac:dyDescent="0.25">
      <c r="H344" s="42">
        <f>IF($A344="","",YEAR($A344))</f>
      </c>
    </row>
    <row r="345" spans="8:8" x14ac:dyDescent="0.25">
      <c r="H345" s="42">
        <f>IF($A345="","",YEAR($A345))</f>
      </c>
    </row>
    <row r="346" spans="8:8" x14ac:dyDescent="0.25">
      <c r="H346" s="42">
        <f>IF($A346="","",YEAR($A346))</f>
      </c>
    </row>
    <row r="347" spans="8:8" x14ac:dyDescent="0.25">
      <c r="H347" s="42">
        <f>IF($A347="","",YEAR($A347))</f>
      </c>
    </row>
    <row r="348" spans="8:8" x14ac:dyDescent="0.25">
      <c r="H348" s="42">
        <f>IF($A348="","",YEAR($A348))</f>
      </c>
    </row>
    <row r="349" spans="8:8" x14ac:dyDescent="0.25">
      <c r="H349" s="42">
        <f>IF($A349="","",YEAR($A349))</f>
      </c>
    </row>
    <row r="350" spans="8:8" x14ac:dyDescent="0.25">
      <c r="H350" s="42">
        <f>IF($A350="","",YEAR($A350))</f>
      </c>
    </row>
    <row r="351" spans="8:8" x14ac:dyDescent="0.25">
      <c r="H351" s="42">
        <f>IF($A351="","",YEAR($A351))</f>
      </c>
    </row>
    <row r="352" spans="8:8" x14ac:dyDescent="0.25">
      <c r="H352" s="42">
        <f>IF($A352="","",YEAR($A352))</f>
      </c>
    </row>
    <row r="353" spans="8:8" x14ac:dyDescent="0.25">
      <c r="H353" s="42">
        <f>IF($A353="","",YEAR($A353))</f>
      </c>
    </row>
    <row r="354" spans="8:8" x14ac:dyDescent="0.25">
      <c r="H354" s="42">
        <f>IF($A354="","",YEAR($A354))</f>
      </c>
    </row>
    <row r="355" spans="8:8" x14ac:dyDescent="0.25">
      <c r="H355" s="42">
        <f>IF($A355="","",YEAR($A355))</f>
      </c>
    </row>
    <row r="356" spans="8:8" x14ac:dyDescent="0.25">
      <c r="H356" s="42">
        <f>IF($A356="","",YEAR($A356))</f>
      </c>
    </row>
    <row r="357" spans="8:8" x14ac:dyDescent="0.25">
      <c r="H357" s="42">
        <f>IF($A357="","",YEAR($A357))</f>
      </c>
    </row>
    <row r="358" spans="8:8" x14ac:dyDescent="0.25">
      <c r="H358" s="42">
        <f>IF($A358="","",YEAR($A358))</f>
      </c>
    </row>
    <row r="359" spans="8:8" x14ac:dyDescent="0.25">
      <c r="H359" s="42">
        <f>IF($A359="","",YEAR($A359))</f>
      </c>
    </row>
    <row r="360" spans="8:8" x14ac:dyDescent="0.25">
      <c r="H360" s="42">
        <f>IF($A360="","",YEAR($A360))</f>
      </c>
    </row>
    <row r="361" spans="8:8" x14ac:dyDescent="0.25">
      <c r="H361" s="42">
        <f>IF($A361="","",YEAR($A361))</f>
      </c>
    </row>
    <row r="362" spans="8:8" x14ac:dyDescent="0.25">
      <c r="H362" s="42">
        <f>IF($A362="","",YEAR($A362))</f>
      </c>
    </row>
    <row r="363" spans="8:8" x14ac:dyDescent="0.25">
      <c r="H363" s="42">
        <f>IF($A363="","",YEAR($A363))</f>
      </c>
    </row>
    <row r="364" spans="8:8" x14ac:dyDescent="0.25">
      <c r="H364" s="42">
        <f>IF($A364="","",YEAR($A364))</f>
      </c>
    </row>
    <row r="365" spans="8:8" x14ac:dyDescent="0.25">
      <c r="H365" s="42">
        <f>IF($A365="","",YEAR($A365))</f>
      </c>
    </row>
    <row r="366" spans="8:8" x14ac:dyDescent="0.25">
      <c r="H366" s="42">
        <f>IF($A366="","",YEAR($A366))</f>
      </c>
    </row>
    <row r="367" spans="8:8" x14ac:dyDescent="0.25">
      <c r="H367" s="42">
        <f>IF($A367="","",YEAR($A367))</f>
      </c>
    </row>
    <row r="368" spans="8:8" x14ac:dyDescent="0.25">
      <c r="H368" s="42">
        <f>IF($A368="","",YEAR($A368))</f>
      </c>
    </row>
    <row r="369" spans="8:8" x14ac:dyDescent="0.25">
      <c r="H369" s="42">
        <f>IF($A369="","",YEAR($A369))</f>
      </c>
    </row>
    <row r="370" spans="8:8" x14ac:dyDescent="0.25">
      <c r="H370" s="42">
        <f>IF($A370="","",YEAR($A370))</f>
      </c>
    </row>
    <row r="371" spans="8:8" x14ac:dyDescent="0.25">
      <c r="H371" s="42">
        <f>IF($A371="","",YEAR($A371))</f>
      </c>
    </row>
    <row r="372" spans="8:8" x14ac:dyDescent="0.25">
      <c r="H372" s="42">
        <f>IF($A372="","",YEAR($A372))</f>
      </c>
    </row>
    <row r="373" spans="8:8" x14ac:dyDescent="0.25">
      <c r="H373" s="42">
        <f>IF($A373="","",YEAR($A373))</f>
      </c>
    </row>
    <row r="374" spans="8:8" x14ac:dyDescent="0.25">
      <c r="H374" s="42">
        <f>IF($A374="","",YEAR($A374))</f>
      </c>
    </row>
    <row r="375" spans="8:8" x14ac:dyDescent="0.25">
      <c r="H375" s="42">
        <f>IF($A375="","",YEAR($A375))</f>
      </c>
    </row>
    <row r="376" spans="8:8" x14ac:dyDescent="0.25">
      <c r="H376" s="42">
        <f>IF($A376="","",YEAR($A376))</f>
      </c>
    </row>
    <row r="377" spans="8:8" x14ac:dyDescent="0.25">
      <c r="H377" s="42">
        <f>IF($A377="","",YEAR($A377))</f>
      </c>
    </row>
    <row r="378" spans="8:8" x14ac:dyDescent="0.25">
      <c r="H378" s="42">
        <f>IF($A378="","",YEAR($A378))</f>
      </c>
    </row>
    <row r="379" spans="8:8" x14ac:dyDescent="0.25">
      <c r="H379" s="42">
        <f>IF($A379="","",YEAR($A379))</f>
      </c>
    </row>
    <row r="380" spans="8:8" x14ac:dyDescent="0.25">
      <c r="H380" s="42">
        <f>IF($A380="","",YEAR($A380))</f>
      </c>
    </row>
    <row r="381" spans="8:8" x14ac:dyDescent="0.25">
      <c r="H381" s="42">
        <f>IF($A381="","",YEAR($A381))</f>
      </c>
    </row>
    <row r="382" spans="8:8" x14ac:dyDescent="0.25">
      <c r="H382" s="42">
        <f>IF($A382="","",YEAR($A382))</f>
      </c>
    </row>
    <row r="383" spans="8:8" x14ac:dyDescent="0.25">
      <c r="H383" s="42">
        <f>IF($A383="","",YEAR($A383))</f>
      </c>
    </row>
    <row r="384" spans="8:8" x14ac:dyDescent="0.25">
      <c r="H384" s="42">
        <f>IF($A384="","",YEAR($A384))</f>
      </c>
    </row>
    <row r="385" spans="8:8" x14ac:dyDescent="0.25">
      <c r="H385" s="42">
        <f>IF($A385="","",YEAR($A385))</f>
      </c>
    </row>
    <row r="386" spans="8:8" x14ac:dyDescent="0.25">
      <c r="H386" s="42">
        <f>IF($A386="","",YEAR($A386))</f>
      </c>
    </row>
    <row r="387" spans="8:8" x14ac:dyDescent="0.25">
      <c r="H387" s="42">
        <f>IF($A387="","",YEAR($A387))</f>
      </c>
    </row>
    <row r="388" spans="8:8" x14ac:dyDescent="0.25">
      <c r="H388" s="42">
        <f>IF($A388="","",YEAR($A388))</f>
      </c>
    </row>
    <row r="389" spans="8:8" x14ac:dyDescent="0.25">
      <c r="H389" s="42">
        <f>IF($A389="","",YEAR($A389))</f>
      </c>
    </row>
    <row r="390" spans="8:8" x14ac:dyDescent="0.25">
      <c r="H390" s="42">
        <f>IF($A390="","",YEAR($A390))</f>
      </c>
    </row>
    <row r="391" spans="8:8" x14ac:dyDescent="0.25">
      <c r="H391" s="42">
        <f>IF($A391="","",YEAR($A391))</f>
      </c>
    </row>
    <row r="392" spans="8:8" x14ac:dyDescent="0.25">
      <c r="H392" s="42">
        <f>IF($A392="","",YEAR($A392))</f>
      </c>
    </row>
    <row r="393" spans="8:8" x14ac:dyDescent="0.25">
      <c r="H393" s="42">
        <f>IF($A393="","",YEAR($A393))</f>
      </c>
    </row>
    <row r="394" spans="8:8" x14ac:dyDescent="0.25">
      <c r="H394" s="42">
        <f>IF($A394="","",YEAR($A394))</f>
      </c>
    </row>
    <row r="395" spans="8:8" x14ac:dyDescent="0.25">
      <c r="H395" s="42">
        <f>IF($A395="","",YEAR($A395))</f>
      </c>
    </row>
    <row r="396" spans="8:8" x14ac:dyDescent="0.25">
      <c r="H396" s="42">
        <f>IF($A396="","",YEAR($A396))</f>
      </c>
    </row>
    <row r="397" spans="8:8" x14ac:dyDescent="0.25">
      <c r="H397" s="42">
        <f>IF($A397="","",YEAR($A397))</f>
      </c>
    </row>
    <row r="398" spans="8:8" x14ac:dyDescent="0.25">
      <c r="H398" s="42">
        <f>IF($A398="","",YEAR($A398))</f>
      </c>
    </row>
    <row r="399" spans="8:8" x14ac:dyDescent="0.25">
      <c r="H399" s="42">
        <f>IF($A399="","",YEAR($A399))</f>
      </c>
    </row>
    <row r="400" spans="8:8" x14ac:dyDescent="0.25">
      <c r="H400" s="42">
        <f>IF($A400="","",YEAR($A400))</f>
      </c>
    </row>
    <row r="401" spans="8:8" x14ac:dyDescent="0.25">
      <c r="H401" s="42">
        <f>IF($A401="","",YEAR($A401))</f>
      </c>
    </row>
    <row r="402" spans="8:8" x14ac:dyDescent="0.25">
      <c r="H402" s="42">
        <f>IF($A402="","",YEAR($A402))</f>
      </c>
    </row>
    <row r="403" spans="8:8" x14ac:dyDescent="0.25">
      <c r="H403" s="42">
        <f>IF($A403="","",YEAR($A403))</f>
      </c>
    </row>
    <row r="404" spans="8:8" x14ac:dyDescent="0.25">
      <c r="H404" s="42">
        <f>IF($A404="","",YEAR($A404))</f>
      </c>
    </row>
    <row r="405" spans="8:8" x14ac:dyDescent="0.25">
      <c r="H405" s="42">
        <f>IF($A405="","",YEAR($A405))</f>
      </c>
    </row>
    <row r="406" spans="8:8" x14ac:dyDescent="0.25">
      <c r="H406" s="42">
        <f>IF($A406="","",YEAR($A406))</f>
      </c>
    </row>
    <row r="407" spans="8:8" x14ac:dyDescent="0.25">
      <c r="H407" s="42">
        <f>IF($A407="","",YEAR($A407))</f>
      </c>
    </row>
    <row r="408" spans="8:8" x14ac:dyDescent="0.25">
      <c r="H408" s="42">
        <f>IF($A408="","",YEAR($A408))</f>
      </c>
    </row>
    <row r="409" spans="8:8" x14ac:dyDescent="0.25">
      <c r="H409" s="42">
        <f>IF($A409="","",YEAR($A409))</f>
      </c>
    </row>
    <row r="410" spans="8:8" x14ac:dyDescent="0.25">
      <c r="H410" s="42">
        <f>IF($A410="","",YEAR($A410))</f>
      </c>
    </row>
    <row r="411" spans="8:8" x14ac:dyDescent="0.25">
      <c r="H411" s="42">
        <f>IF($A411="","",YEAR($A411))</f>
      </c>
    </row>
    <row r="412" spans="8:8" x14ac:dyDescent="0.25">
      <c r="H412" s="42">
        <f>IF($A412="","",YEAR($A412))</f>
      </c>
    </row>
    <row r="413" spans="8:8" x14ac:dyDescent="0.25">
      <c r="H413" s="42">
        <f>IF($A413="","",YEAR($A413))</f>
      </c>
    </row>
    <row r="414" spans="8:8" x14ac:dyDescent="0.25">
      <c r="H414" s="42">
        <f>IF($A414="","",YEAR($A414))</f>
      </c>
    </row>
    <row r="415" spans="8:8" x14ac:dyDescent="0.25">
      <c r="H415" s="42">
        <f>IF($A415="","",YEAR($A415))</f>
      </c>
    </row>
    <row r="416" spans="8:8" x14ac:dyDescent="0.25">
      <c r="H416" s="42">
        <f>IF($A416="","",YEAR($A416))</f>
      </c>
    </row>
    <row r="417" spans="8:8" x14ac:dyDescent="0.25">
      <c r="H417" s="42">
        <f>IF($A417="","",YEAR($A417))</f>
      </c>
    </row>
    <row r="418" spans="8:8" x14ac:dyDescent="0.25">
      <c r="H418" s="42">
        <f>IF($A418="","",YEAR($A418))</f>
      </c>
    </row>
    <row r="419" spans="8:8" x14ac:dyDescent="0.25">
      <c r="H419" s="42">
        <f>IF($A419="","",YEAR($A419))</f>
      </c>
    </row>
    <row r="420" spans="8:8" x14ac:dyDescent="0.25">
      <c r="H420" s="42">
        <f>IF($A420="","",YEAR($A420))</f>
      </c>
    </row>
    <row r="421" spans="8:8" x14ac:dyDescent="0.25">
      <c r="H421" s="42">
        <f>IF($A421="","",YEAR($A421))</f>
      </c>
    </row>
    <row r="422" spans="8:8" x14ac:dyDescent="0.25">
      <c r="H422" s="42">
        <f>IF($A422="","",YEAR($A422))</f>
      </c>
    </row>
    <row r="423" spans="8:8" x14ac:dyDescent="0.25">
      <c r="H423" s="42">
        <f>IF($A423="","",YEAR($A423))</f>
      </c>
    </row>
    <row r="424" spans="8:8" x14ac:dyDescent="0.25">
      <c r="H424" s="42">
        <f>IF($A424="","",YEAR($A424))</f>
      </c>
    </row>
    <row r="425" spans="8:8" x14ac:dyDescent="0.25">
      <c r="H425" s="42">
        <f>IF($A425="","",YEAR($A425))</f>
      </c>
    </row>
    <row r="426" spans="8:8" x14ac:dyDescent="0.25">
      <c r="H426" s="42">
        <f>IF($A426="","",YEAR($A426))</f>
      </c>
    </row>
    <row r="427" spans="8:8" x14ac:dyDescent="0.25">
      <c r="H427" s="42">
        <f>IF($A427="","",YEAR($A427))</f>
      </c>
    </row>
    <row r="428" spans="8:8" x14ac:dyDescent="0.25">
      <c r="H428" s="42">
        <f>IF($A428="","",YEAR($A428))</f>
      </c>
    </row>
    <row r="429" spans="8:8" x14ac:dyDescent="0.25">
      <c r="H429" s="42">
        <f>IF($A429="","",YEAR($A429))</f>
      </c>
    </row>
    <row r="430" spans="8:8" x14ac:dyDescent="0.25">
      <c r="H430" s="42">
        <f>IF($A430="","",YEAR($A430))</f>
      </c>
    </row>
    <row r="431" spans="8:8" x14ac:dyDescent="0.25">
      <c r="H431" s="42">
        <f>IF($A431="","",YEAR($A431))</f>
      </c>
    </row>
    <row r="432" spans="8:8" x14ac:dyDescent="0.25">
      <c r="H432" s="42">
        <f>IF($A432="","",YEAR($A432))</f>
      </c>
    </row>
    <row r="433" spans="8:8" x14ac:dyDescent="0.25">
      <c r="H433" s="42">
        <f>IF($A433="","",YEAR($A433))</f>
      </c>
    </row>
    <row r="434" spans="8:8" x14ac:dyDescent="0.25">
      <c r="H434" s="42">
        <f>IF($A434="","",YEAR($A434))</f>
      </c>
    </row>
    <row r="435" spans="8:8" x14ac:dyDescent="0.25">
      <c r="H435" s="42">
        <f>IF($A435="","",YEAR($A435))</f>
      </c>
    </row>
    <row r="436" spans="8:8" x14ac:dyDescent="0.25">
      <c r="H436" s="42">
        <f>IF($A436="","",YEAR($A436))</f>
      </c>
    </row>
    <row r="437" spans="8:8" x14ac:dyDescent="0.25">
      <c r="H437" s="42">
        <f>IF($A437="","",YEAR($A437))</f>
      </c>
    </row>
    <row r="438" spans="8:8" x14ac:dyDescent="0.25">
      <c r="H438" s="42">
        <f>IF($A438="","",YEAR($A438))</f>
      </c>
    </row>
    <row r="439" spans="8:8" x14ac:dyDescent="0.25">
      <c r="H439" s="42">
        <f>IF($A439="","",YEAR($A439))</f>
      </c>
    </row>
    <row r="440" spans="8:8" x14ac:dyDescent="0.25">
      <c r="H440" s="42">
        <f>IF($A440="","",YEAR($A440))</f>
      </c>
    </row>
    <row r="441" spans="8:8" x14ac:dyDescent="0.25">
      <c r="H441" s="42">
        <f>IF($A441="","",YEAR($A441))</f>
      </c>
    </row>
    <row r="442" spans="8:8" x14ac:dyDescent="0.25">
      <c r="H442" s="42">
        <f>IF($A442="","",YEAR($A442))</f>
      </c>
    </row>
    <row r="443" spans="8:8" x14ac:dyDescent="0.25">
      <c r="H443" s="42">
        <f>IF($A443="","",YEAR($A443))</f>
      </c>
    </row>
    <row r="444" spans="8:8" x14ac:dyDescent="0.25">
      <c r="H444" s="42">
        <f>IF($A444="","",YEAR($A444))</f>
      </c>
    </row>
    <row r="445" spans="8:8" x14ac:dyDescent="0.25">
      <c r="H445" s="42">
        <f>IF($A445="","",YEAR($A445))</f>
      </c>
    </row>
    <row r="446" spans="8:8" x14ac:dyDescent="0.25">
      <c r="H446" s="42">
        <f>IF($A446="","",YEAR($A446))</f>
      </c>
    </row>
    <row r="447" spans="8:8" x14ac:dyDescent="0.25">
      <c r="H447" s="42">
        <f>IF($A447="","",YEAR($A447))</f>
      </c>
    </row>
    <row r="448" spans="8:8" x14ac:dyDescent="0.25">
      <c r="H448" s="42">
        <f>IF($A448="","",YEAR($A448))</f>
      </c>
    </row>
    <row r="449" spans="8:8" x14ac:dyDescent="0.25">
      <c r="H449" s="42">
        <f>IF($A449="","",YEAR($A449))</f>
      </c>
    </row>
    <row r="450" spans="8:8" x14ac:dyDescent="0.25">
      <c r="H450" s="42">
        <f>IF($A450="","",YEAR($A450))</f>
      </c>
    </row>
    <row r="451" spans="8:8" x14ac:dyDescent="0.25">
      <c r="H451" s="42">
        <f>IF($A451="","",YEAR($A451))</f>
      </c>
    </row>
    <row r="452" spans="8:8" x14ac:dyDescent="0.25">
      <c r="H452" s="42">
        <f>IF($A452="","",YEAR($A452))</f>
      </c>
    </row>
    <row r="453" spans="8:8" x14ac:dyDescent="0.25">
      <c r="H453" s="42">
        <f>IF($A453="","",YEAR($A453))</f>
      </c>
    </row>
    <row r="454" spans="8:8" x14ac:dyDescent="0.25">
      <c r="H454" s="42">
        <f>IF($A454="","",YEAR($A454))</f>
      </c>
    </row>
    <row r="455" spans="8:8" x14ac:dyDescent="0.25">
      <c r="H455" s="42">
        <f>IF($A455="","",YEAR($A455))</f>
      </c>
    </row>
    <row r="456" spans="8:8" x14ac:dyDescent="0.25">
      <c r="H456" s="42">
        <f>IF($A456="","",YEAR($A456))</f>
      </c>
    </row>
    <row r="457" spans="8:8" x14ac:dyDescent="0.25">
      <c r="H457" s="42">
        <f>IF($A457="","",YEAR($A457))</f>
      </c>
    </row>
    <row r="458" spans="8:8" x14ac:dyDescent="0.25">
      <c r="H458" s="42">
        <f>IF($A458="","",YEAR($A458))</f>
      </c>
    </row>
    <row r="459" spans="8:8" x14ac:dyDescent="0.25">
      <c r="H459" s="42">
        <f>IF($A459="","",YEAR($A459))</f>
      </c>
    </row>
    <row r="460" spans="8:8" x14ac:dyDescent="0.25">
      <c r="H460" s="42">
        <f>IF($A460="","",YEAR($A460))</f>
      </c>
    </row>
    <row r="461" spans="8:8" x14ac:dyDescent="0.25">
      <c r="H461" s="42">
        <f>IF($A461="","",YEAR($A461))</f>
      </c>
    </row>
    <row r="462" spans="8:8" x14ac:dyDescent="0.25">
      <c r="H462" s="42">
        <f>IF($A462="","",YEAR($A462))</f>
      </c>
    </row>
    <row r="463" spans="8:8" x14ac:dyDescent="0.25">
      <c r="H463" s="42">
        <f>IF($A463="","",YEAR($A463))</f>
      </c>
    </row>
    <row r="464" spans="8:8" x14ac:dyDescent="0.25">
      <c r="H464" s="42">
        <f>IF($A464="","",YEAR($A464))</f>
      </c>
    </row>
    <row r="465" spans="8:8" x14ac:dyDescent="0.25">
      <c r="H465" s="42">
        <f>IF($A465="","",YEAR($A465))</f>
      </c>
    </row>
    <row r="466" spans="8:8" x14ac:dyDescent="0.25">
      <c r="H466" s="42">
        <f>IF($A466="","",YEAR($A466))</f>
      </c>
    </row>
    <row r="467" spans="8:8" x14ac:dyDescent="0.25">
      <c r="H467" s="42">
        <f>IF($A467="","",YEAR($A467))</f>
      </c>
    </row>
    <row r="468" spans="8:8" x14ac:dyDescent="0.25">
      <c r="H468" s="42">
        <f>IF($A468="","",YEAR($A468))</f>
      </c>
    </row>
    <row r="469" spans="8:8" x14ac:dyDescent="0.25">
      <c r="H469" s="42">
        <f>IF($A469="","",YEAR($A469))</f>
      </c>
    </row>
    <row r="470" spans="8:8" x14ac:dyDescent="0.25">
      <c r="H470" s="42">
        <f>IF($A470="","",YEAR($A470))</f>
      </c>
    </row>
    <row r="471" spans="8:8" x14ac:dyDescent="0.25">
      <c r="H471" s="42">
        <f>IF($A471="","",YEAR($A471))</f>
      </c>
    </row>
    <row r="472" spans="8:8" x14ac:dyDescent="0.25">
      <c r="H472" s="42">
        <f>IF($A472="","",YEAR($A472))</f>
      </c>
    </row>
    <row r="473" spans="8:8" x14ac:dyDescent="0.25">
      <c r="H473" s="42">
        <f>IF($A473="","",YEAR($A473))</f>
      </c>
    </row>
    <row r="474" spans="8:8" x14ac:dyDescent="0.25">
      <c r="H474" s="42">
        <f>IF($A474="","",YEAR($A474))</f>
      </c>
    </row>
    <row r="475" spans="8:8" x14ac:dyDescent="0.25">
      <c r="H475" s="42">
        <f>IF($A475="","",YEAR($A475))</f>
      </c>
    </row>
    <row r="476" spans="8:8" x14ac:dyDescent="0.25">
      <c r="H476" s="42">
        <f>IF($A476="","",YEAR($A476))</f>
      </c>
    </row>
    <row r="477" spans="8:8" x14ac:dyDescent="0.25">
      <c r="H477" s="42">
        <f>IF($A477="","",YEAR($A477))</f>
      </c>
    </row>
    <row r="478" spans="8:8" x14ac:dyDescent="0.25">
      <c r="H478" s="42">
        <f>IF($A478="","",YEAR($A478))</f>
      </c>
    </row>
    <row r="479" spans="8:8" x14ac:dyDescent="0.25">
      <c r="H479" s="42">
        <f>IF($A479="","",YEAR($A479))</f>
      </c>
    </row>
    <row r="480" spans="8:8" x14ac:dyDescent="0.25">
      <c r="H480" s="42">
        <f>IF($A480="","",YEAR($A480))</f>
      </c>
    </row>
    <row r="481" spans="8:8" x14ac:dyDescent="0.25">
      <c r="H481" s="42">
        <f>IF($A481="","",YEAR($A481))</f>
      </c>
    </row>
    <row r="482" spans="8:8" x14ac:dyDescent="0.25">
      <c r="H482" s="42">
        <f>IF($A482="","",YEAR($A482))</f>
      </c>
    </row>
    <row r="483" spans="8:8" x14ac:dyDescent="0.25">
      <c r="H483" s="42">
        <f>IF($A483="","",YEAR($A483))</f>
      </c>
    </row>
    <row r="484" spans="8:8" x14ac:dyDescent="0.25">
      <c r="H484" s="42">
        <f>IF($A484="","",YEAR($A484))</f>
      </c>
    </row>
    <row r="485" spans="8:8" x14ac:dyDescent="0.25">
      <c r="H485" s="42">
        <f>IF($A485="","",YEAR($A485))</f>
      </c>
    </row>
    <row r="486" spans="8:8" x14ac:dyDescent="0.25">
      <c r="H486" s="42">
        <f>IF($A486="","",YEAR($A486))</f>
      </c>
    </row>
    <row r="487" spans="8:8" x14ac:dyDescent="0.25">
      <c r="H487" s="42">
        <f>IF($A487="","",YEAR($A487))</f>
      </c>
    </row>
    <row r="488" spans="8:8" x14ac:dyDescent="0.25">
      <c r="H488" s="42">
        <f>IF($A488="","",YEAR($A488))</f>
      </c>
    </row>
    <row r="489" spans="8:8" x14ac:dyDescent="0.25">
      <c r="H489" s="42">
        <f>IF($A489="","",YEAR($A489))</f>
      </c>
    </row>
    <row r="490" spans="8:8" x14ac:dyDescent="0.25">
      <c r="H490" s="42">
        <f>IF($A490="","",YEAR($A490))</f>
      </c>
    </row>
    <row r="491" spans="8:8" x14ac:dyDescent="0.25">
      <c r="H491" s="42">
        <f>IF($A491="","",YEAR($A491))</f>
      </c>
    </row>
    <row r="492" spans="8:8" x14ac:dyDescent="0.25">
      <c r="H492" s="42">
        <f>IF($A492="","",YEAR($A492))</f>
      </c>
    </row>
    <row r="493" spans="8:8" x14ac:dyDescent="0.25">
      <c r="H493" s="42">
        <f>IF($A493="","",YEAR($A493))</f>
      </c>
    </row>
    <row r="494" spans="8:8" x14ac:dyDescent="0.25">
      <c r="H494" s="42">
        <f>IF($A494="","",YEAR($A494))</f>
      </c>
    </row>
    <row r="495" spans="8:8" x14ac:dyDescent="0.25">
      <c r="H495" s="42">
        <f>IF($A495="","",YEAR($A495))</f>
      </c>
    </row>
    <row r="496" spans="8:8" x14ac:dyDescent="0.25">
      <c r="H496" s="42">
        <f>IF($A496="","",YEAR($A496))</f>
      </c>
    </row>
    <row r="497" spans="8:8" x14ac:dyDescent="0.25">
      <c r="H497" s="42">
        <f>IF($A497="","",YEAR($A497))</f>
      </c>
    </row>
    <row r="498" spans="8:8" x14ac:dyDescent="0.25">
      <c r="H498" s="42">
        <f>IF($A498="","",YEAR($A498))</f>
      </c>
    </row>
    <row r="499" spans="8:8" x14ac:dyDescent="0.25">
      <c r="H499" s="42">
        <f>IF($A499="","",YEAR($A499))</f>
      </c>
    </row>
    <row r="500" spans="8:8" x14ac:dyDescent="0.25">
      <c r="H500" s="42">
        <f>IF($A500="","",YEAR($A500))</f>
      </c>
    </row>
    <row r="501" spans="8:8" x14ac:dyDescent="0.25">
      <c r="H501" s="42">
        <f>IF($A501="","",YEAR($A501))</f>
      </c>
    </row>
    <row r="502" spans="8:8" x14ac:dyDescent="0.25">
      <c r="H502" s="42">
        <f>IF($A502="","",YEAR($A502))</f>
      </c>
    </row>
    <row r="503" spans="8:8" x14ac:dyDescent="0.25">
      <c r="H503" s="42">
        <f>IF($A503="","",YEAR($A503))</f>
      </c>
    </row>
    <row r="504" spans="8:8" x14ac:dyDescent="0.25">
      <c r="H504" s="42">
        <f>IF($A504="","",YEAR($A504))</f>
      </c>
    </row>
    <row r="505" spans="8:8" x14ac:dyDescent="0.25">
      <c r="H505" s="42">
        <f>IF($A505="","",YEAR($A505))</f>
      </c>
    </row>
    <row r="506" spans="8:8" x14ac:dyDescent="0.25">
      <c r="H506" s="42">
        <f>IF($A506="","",YEAR($A506))</f>
      </c>
    </row>
    <row r="507" spans="8:8" x14ac:dyDescent="0.25">
      <c r="H507" s="42">
        <f>IF($A507="","",YEAR($A507))</f>
      </c>
    </row>
    <row r="508" spans="8:8" x14ac:dyDescent="0.25">
      <c r="H508" s="42">
        <f>IF($A508="","",YEAR($A508))</f>
      </c>
    </row>
    <row r="509" spans="8:8" x14ac:dyDescent="0.25">
      <c r="H509" s="42">
        <f>IF($A509="","",YEAR($A509))</f>
      </c>
    </row>
    <row r="510" spans="8:8" x14ac:dyDescent="0.25">
      <c r="H510" s="42">
        <f>IF($A510="","",YEAR($A510))</f>
      </c>
    </row>
    <row r="511" spans="8:8" x14ac:dyDescent="0.25">
      <c r="H511" s="42">
        <f>IF($A511="","",YEAR($A511))</f>
      </c>
    </row>
    <row r="512" spans="8:8" x14ac:dyDescent="0.25">
      <c r="H512" s="42">
        <f>IF($A512="","",YEAR($A512))</f>
      </c>
    </row>
    <row r="513" spans="8:8" x14ac:dyDescent="0.25">
      <c r="H513" s="42">
        <f>IF($A513="","",YEAR($A513))</f>
      </c>
    </row>
    <row r="514" spans="8:8" x14ac:dyDescent="0.25">
      <c r="H514" s="42">
        <f>IF($A514="","",YEAR($A514))</f>
      </c>
    </row>
    <row r="515" spans="8:8" x14ac:dyDescent="0.25">
      <c r="H515" s="42">
        <f>IF($A515="","",YEAR($A515))</f>
      </c>
    </row>
    <row r="516" spans="8:8" x14ac:dyDescent="0.25">
      <c r="H516" s="42">
        <f>IF($A516="","",YEAR($A516))</f>
      </c>
    </row>
    <row r="517" spans="8:8" x14ac:dyDescent="0.25">
      <c r="H517" s="42">
        <f>IF($A517="","",YEAR($A517))</f>
      </c>
    </row>
    <row r="518" spans="8:8" x14ac:dyDescent="0.25">
      <c r="H518" s="42">
        <f>IF($A518="","",YEAR($A518))</f>
      </c>
    </row>
    <row r="519" spans="8:8" x14ac:dyDescent="0.25">
      <c r="H519" s="42">
        <f>IF($A519="","",YEAR($A519))</f>
      </c>
    </row>
    <row r="520" spans="8:8" x14ac:dyDescent="0.25">
      <c r="H520" s="42">
        <f>IF($A520="","",YEAR($A520))</f>
      </c>
    </row>
    <row r="521" spans="8:8" x14ac:dyDescent="0.25">
      <c r="H521" s="42">
        <f>IF($A521="","",YEAR($A521))</f>
      </c>
    </row>
    <row r="522" spans="8:8" x14ac:dyDescent="0.25">
      <c r="H522" s="42">
        <f>IF($A522="","",YEAR($A522))</f>
      </c>
    </row>
    <row r="523" spans="8:8" x14ac:dyDescent="0.25">
      <c r="H523" s="42">
        <f>IF($A523="","",YEAR($A523))</f>
      </c>
    </row>
    <row r="524" spans="8:8" x14ac:dyDescent="0.25">
      <c r="H524" s="42">
        <f>IF($A524="","",YEAR($A524))</f>
      </c>
    </row>
    <row r="525" spans="8:8" x14ac:dyDescent="0.25">
      <c r="H525" s="42">
        <f>IF($A525="","",YEAR($A525))</f>
      </c>
    </row>
    <row r="526" spans="8:8" x14ac:dyDescent="0.25">
      <c r="H526" s="42">
        <f>IF($A526="","",YEAR($A526))</f>
      </c>
    </row>
    <row r="527" spans="8:8" x14ac:dyDescent="0.25">
      <c r="H527" s="42">
        <f>IF($A527="","",YEAR($A527))</f>
      </c>
    </row>
    <row r="528" spans="8:8" x14ac:dyDescent="0.25">
      <c r="H528" s="42">
        <f>IF($A528="","",YEAR($A528))</f>
      </c>
    </row>
    <row r="529" spans="8:8" x14ac:dyDescent="0.25">
      <c r="H529" s="42">
        <f>IF($A529="","",YEAR($A529))</f>
      </c>
    </row>
    <row r="530" spans="8:8" x14ac:dyDescent="0.25">
      <c r="H530" s="42">
        <f>IF($A530="","",YEAR($A530))</f>
      </c>
    </row>
    <row r="531" spans="8:8" x14ac:dyDescent="0.25">
      <c r="H531" s="42">
        <f>IF($A531="","",YEAR($A531))</f>
      </c>
    </row>
    <row r="532" spans="8:8" x14ac:dyDescent="0.25">
      <c r="H532" s="42">
        <f>IF($A532="","",YEAR($A532))</f>
      </c>
    </row>
    <row r="533" spans="8:8" x14ac:dyDescent="0.25">
      <c r="H533" s="42">
        <f>IF($A533="","",YEAR($A533))</f>
      </c>
    </row>
    <row r="534" spans="8:8" x14ac:dyDescent="0.25">
      <c r="H534" s="42">
        <f>IF($A534="","",YEAR($A534))</f>
      </c>
    </row>
    <row r="535" spans="8:8" x14ac:dyDescent="0.25">
      <c r="H535" s="42">
        <f>IF($A535="","",YEAR($A535))</f>
      </c>
    </row>
    <row r="536" spans="8:8" x14ac:dyDescent="0.25">
      <c r="H536" s="42">
        <f>IF($A536="","",YEAR($A536))</f>
      </c>
    </row>
    <row r="537" spans="8:8" x14ac:dyDescent="0.25">
      <c r="H537" s="42">
        <f>IF($A537="","",YEAR($A537))</f>
      </c>
    </row>
    <row r="538" spans="8:8" x14ac:dyDescent="0.25">
      <c r="H538" s="42">
        <f>IF($A538="","",YEAR($A538))</f>
      </c>
    </row>
    <row r="539" spans="8:8" x14ac:dyDescent="0.25">
      <c r="H539" s="42">
        <f>IF($A539="","",YEAR($A539))</f>
      </c>
    </row>
    <row r="540" spans="8:8" x14ac:dyDescent="0.25">
      <c r="H540" s="42">
        <f>IF($A540="","",YEAR($A540))</f>
      </c>
    </row>
    <row r="541" spans="8:8" x14ac:dyDescent="0.25">
      <c r="H541" s="42">
        <f>IF($A541="","",YEAR($A541))</f>
      </c>
    </row>
    <row r="542" spans="8:8" x14ac:dyDescent="0.25">
      <c r="H542" s="42">
        <f>IF($A542="","",YEAR($A542))</f>
      </c>
    </row>
    <row r="543" spans="8:8" x14ac:dyDescent="0.25">
      <c r="H543" s="42">
        <f>IF($A543="","",YEAR($A543))</f>
      </c>
    </row>
    <row r="544" spans="8:8" x14ac:dyDescent="0.25">
      <c r="H544" s="42">
        <f>IF($A544="","",YEAR($A544))</f>
      </c>
    </row>
    <row r="545" spans="8:8" x14ac:dyDescent="0.25">
      <c r="H545" s="42">
        <f>IF($A545="","",YEAR($A545))</f>
      </c>
    </row>
    <row r="546" spans="8:8" x14ac:dyDescent="0.25">
      <c r="H546" s="42">
        <f>IF($A546="","",YEAR($A546))</f>
      </c>
    </row>
    <row r="547" spans="8:8" x14ac:dyDescent="0.25">
      <c r="H547" s="42">
        <f>IF($A547="","",YEAR($A547))</f>
      </c>
    </row>
    <row r="548" spans="8:8" x14ac:dyDescent="0.25">
      <c r="H548" s="42">
        <f>IF($A548="","",YEAR($A548))</f>
      </c>
    </row>
    <row r="549" spans="8:8" x14ac:dyDescent="0.25">
      <c r="H549" s="42">
        <f>IF($A549="","",YEAR($A549))</f>
      </c>
    </row>
    <row r="550" spans="8:8" x14ac:dyDescent="0.25">
      <c r="H550" s="42">
        <f>IF($A550="","",YEAR($A550))</f>
      </c>
    </row>
    <row r="551" spans="8:8" x14ac:dyDescent="0.25">
      <c r="H551" s="42">
        <f>IF($A551="","",YEAR($A551))</f>
      </c>
    </row>
    <row r="552" spans="8:8" x14ac:dyDescent="0.25">
      <c r="H552" s="42">
        <f>IF($A552="","",YEAR($A552))</f>
      </c>
    </row>
    <row r="553" spans="8:8" x14ac:dyDescent="0.25">
      <c r="H553" s="42">
        <f>IF($A553="","",YEAR($A553))</f>
      </c>
    </row>
    <row r="554" spans="8:8" x14ac:dyDescent="0.25">
      <c r="H554" s="42">
        <f>IF($A554="","",YEAR($A554))</f>
      </c>
    </row>
    <row r="555" spans="8:8" x14ac:dyDescent="0.25">
      <c r="H555" s="42">
        <f>IF($A555="","",YEAR($A555))</f>
      </c>
    </row>
    <row r="556" spans="8:8" x14ac:dyDescent="0.25">
      <c r="H556" s="42">
        <f>IF($A556="","",YEAR($A556))</f>
      </c>
    </row>
    <row r="557" spans="8:8" x14ac:dyDescent="0.25">
      <c r="H557" s="42">
        <f>IF($A557="","",YEAR($A557))</f>
      </c>
    </row>
    <row r="558" spans="8:8" x14ac:dyDescent="0.25">
      <c r="H558" s="42">
        <f>IF($A558="","",YEAR($A558))</f>
      </c>
    </row>
    <row r="559" spans="8:8" x14ac:dyDescent="0.25">
      <c r="H559" s="42">
        <f>IF($A559="","",YEAR($A559))</f>
      </c>
    </row>
    <row r="560" spans="8:8" x14ac:dyDescent="0.25">
      <c r="H560" s="42">
        <f>IF($A560="","",YEAR($A560))</f>
      </c>
    </row>
    <row r="561" spans="8:8" x14ac:dyDescent="0.25">
      <c r="H561" s="42">
        <f>IF($A561="","",YEAR($A561))</f>
      </c>
    </row>
    <row r="562" spans="8:8" x14ac:dyDescent="0.25">
      <c r="H562" s="42">
        <f>IF($A562="","",YEAR($A562))</f>
      </c>
    </row>
    <row r="563" spans="8:8" x14ac:dyDescent="0.25">
      <c r="H563" s="42">
        <f>IF($A563="","",YEAR($A563))</f>
      </c>
    </row>
    <row r="564" spans="8:8" x14ac:dyDescent="0.25">
      <c r="H564" s="42">
        <f>IF($A564="","",YEAR($A564))</f>
      </c>
    </row>
    <row r="565" spans="8:8" x14ac:dyDescent="0.25">
      <c r="H565" s="42">
        <f>IF($A565="","",YEAR($A565))</f>
      </c>
    </row>
    <row r="566" spans="8:8" x14ac:dyDescent="0.25">
      <c r="H566" s="42">
        <f>IF($A566="","",YEAR($A566))</f>
      </c>
    </row>
    <row r="567" spans="8:8" x14ac:dyDescent="0.25">
      <c r="H567" s="42">
        <f>IF($A567="","",YEAR($A567))</f>
      </c>
    </row>
    <row r="568" spans="8:8" x14ac:dyDescent="0.25">
      <c r="H568" s="42">
        <f>IF($A568="","",YEAR($A568))</f>
      </c>
    </row>
    <row r="569" spans="8:8" x14ac:dyDescent="0.25">
      <c r="H569" s="42">
        <f>IF($A569="","",YEAR($A569))</f>
      </c>
    </row>
    <row r="570" spans="8:8" x14ac:dyDescent="0.25">
      <c r="H570" s="42">
        <f>IF($A570="","",YEAR($A570))</f>
      </c>
    </row>
    <row r="571" spans="8:8" x14ac:dyDescent="0.25">
      <c r="H571" s="42">
        <f>IF($A571="","",YEAR($A571))</f>
      </c>
    </row>
    <row r="572" spans="8:8" x14ac:dyDescent="0.25">
      <c r="H572" s="42">
        <f>IF($A572="","",YEAR($A572))</f>
      </c>
    </row>
    <row r="573" spans="8:8" x14ac:dyDescent="0.25">
      <c r="H573" s="42">
        <f>IF($A573="","",YEAR($A573))</f>
      </c>
    </row>
    <row r="574" spans="8:8" x14ac:dyDescent="0.25">
      <c r="H574" s="42">
        <f>IF($A574="","",YEAR($A574))</f>
      </c>
    </row>
    <row r="575" spans="8:8" x14ac:dyDescent="0.25">
      <c r="H575" s="42">
        <f>IF($A575="","",YEAR($A575))</f>
      </c>
    </row>
    <row r="576" spans="8:8" x14ac:dyDescent="0.25">
      <c r="H576" s="42">
        <f>IF($A576="","",YEAR($A576))</f>
      </c>
    </row>
    <row r="577" spans="8:8" x14ac:dyDescent="0.25">
      <c r="H577" s="42">
        <f>IF($A577="","",YEAR($A577))</f>
      </c>
    </row>
    <row r="578" spans="8:8" x14ac:dyDescent="0.25">
      <c r="H578" s="42">
        <f>IF($A578="","",YEAR($A578))</f>
      </c>
    </row>
    <row r="579" spans="8:8" x14ac:dyDescent="0.25">
      <c r="H579" s="42">
        <f>IF($A579="","",YEAR($A579))</f>
      </c>
    </row>
    <row r="580" spans="8:8" x14ac:dyDescent="0.25">
      <c r="H580" s="42">
        <f>IF($A580="","",YEAR($A580))</f>
      </c>
    </row>
    <row r="581" spans="8:8" x14ac:dyDescent="0.25">
      <c r="H581" s="42">
        <f>IF($A581="","",YEAR($A581))</f>
      </c>
    </row>
    <row r="582" spans="8:8" x14ac:dyDescent="0.25">
      <c r="H582" s="42">
        <f>IF($A582="","",YEAR($A582))</f>
      </c>
    </row>
    <row r="583" spans="8:8" x14ac:dyDescent="0.25">
      <c r="H583" s="42">
        <f>IF($A583="","",YEAR($A583))</f>
      </c>
    </row>
    <row r="584" spans="8:8" x14ac:dyDescent="0.25">
      <c r="H584" s="42">
        <f>IF($A584="","",YEAR($A584))</f>
      </c>
    </row>
    <row r="585" spans="8:8" x14ac:dyDescent="0.25">
      <c r="H585" s="42">
        <f>IF($A585="","",YEAR($A585))</f>
      </c>
    </row>
    <row r="586" spans="8:8" x14ac:dyDescent="0.25">
      <c r="H586" s="42">
        <f>IF($A586="","",YEAR($A586))</f>
      </c>
    </row>
    <row r="587" spans="8:8" x14ac:dyDescent="0.25">
      <c r="H587" s="42">
        <f>IF($A587="","",YEAR($A587))</f>
      </c>
    </row>
    <row r="588" spans="8:8" x14ac:dyDescent="0.25">
      <c r="H588" s="42">
        <f>IF($A588="","",YEAR($A588))</f>
      </c>
    </row>
    <row r="589" spans="8:8" x14ac:dyDescent="0.25">
      <c r="H589" s="42">
        <f>IF($A589="","",YEAR($A589))</f>
      </c>
    </row>
    <row r="590" spans="8:8" x14ac:dyDescent="0.25">
      <c r="H590" s="42">
        <f>IF($A590="","",YEAR($A590))</f>
      </c>
    </row>
    <row r="591" spans="8:8" x14ac:dyDescent="0.25">
      <c r="H591" s="42">
        <f>IF($A591="","",YEAR($A591))</f>
      </c>
    </row>
    <row r="592" spans="8:8" x14ac:dyDescent="0.25">
      <c r="H592" s="42">
        <f>IF($A592="","",YEAR($A592))</f>
      </c>
    </row>
    <row r="593" spans="8:8" x14ac:dyDescent="0.25">
      <c r="H593" s="42">
        <f>IF($A593="","",YEAR($A593))</f>
      </c>
    </row>
    <row r="594" spans="8:8" x14ac:dyDescent="0.25">
      <c r="H594" s="42">
        <f>IF($A594="","",YEAR($A594))</f>
      </c>
    </row>
    <row r="595" spans="8:8" x14ac:dyDescent="0.25">
      <c r="H595" s="42">
        <f>IF($A595="","",YEAR($A595))</f>
      </c>
    </row>
    <row r="596" spans="8:8" x14ac:dyDescent="0.25">
      <c r="H596" s="42">
        <f>IF($A596="","",YEAR($A596))</f>
      </c>
    </row>
    <row r="597" spans="8:8" x14ac:dyDescent="0.25">
      <c r="H597" s="42">
        <f>IF($A597="","",YEAR($A597))</f>
      </c>
    </row>
    <row r="598" spans="8:8" x14ac:dyDescent="0.25">
      <c r="H598" s="42">
        <f>IF($A598="","",YEAR($A598))</f>
      </c>
    </row>
    <row r="599" spans="8:8" x14ac:dyDescent="0.25">
      <c r="H599" s="42">
        <f>IF($A599="","",YEAR($A599))</f>
      </c>
    </row>
    <row r="600" spans="8:8" x14ac:dyDescent="0.25">
      <c r="H600" s="42">
        <f>IF($A600="","",YEAR($A600))</f>
      </c>
    </row>
    <row r="601" spans="8:8" x14ac:dyDescent="0.25">
      <c r="H601" s="42">
        <f>IF($A601="","",YEAR($A601))</f>
      </c>
    </row>
    <row r="602" spans="8:8" x14ac:dyDescent="0.25">
      <c r="H602" s="42">
        <f>IF($A602="","",YEAR($A602))</f>
      </c>
    </row>
    <row r="603" spans="8:8" x14ac:dyDescent="0.25">
      <c r="H603" s="42">
        <f>IF($A603="","",YEAR($A603))</f>
      </c>
    </row>
    <row r="604" spans="8:8" x14ac:dyDescent="0.25">
      <c r="H604" s="42">
        <f>IF($A604="","",YEAR($A604))</f>
      </c>
    </row>
    <row r="605" spans="8:8" x14ac:dyDescent="0.25">
      <c r="H605" s="42">
        <f>IF($A605="","",YEAR($A605))</f>
      </c>
    </row>
    <row r="606" spans="8:8" x14ac:dyDescent="0.25">
      <c r="H606" s="42">
        <f>IF($A606="","",YEAR($A606))</f>
      </c>
    </row>
    <row r="607" spans="8:8" x14ac:dyDescent="0.25">
      <c r="H607" s="42">
        <f>IF($A607="","",YEAR($A607))</f>
      </c>
    </row>
    <row r="608" spans="8:8" x14ac:dyDescent="0.25">
      <c r="H608" s="42">
        <f>IF($A608="","",YEAR($A608))</f>
      </c>
    </row>
    <row r="609" spans="8:8" x14ac:dyDescent="0.25">
      <c r="H609" s="42">
        <f>IF($A609="","",YEAR($A609))</f>
      </c>
    </row>
    <row r="610" spans="8:8" x14ac:dyDescent="0.25">
      <c r="H610" s="42">
        <f>IF($A610="","",YEAR($A610))</f>
      </c>
    </row>
    <row r="611" spans="8:8" x14ac:dyDescent="0.25">
      <c r="H611" s="42">
        <f>IF($A611="","",YEAR($A611))</f>
      </c>
    </row>
    <row r="612" spans="8:8" x14ac:dyDescent="0.25">
      <c r="H612" s="42">
        <f>IF($A612="","",YEAR($A612))</f>
      </c>
    </row>
    <row r="613" spans="8:8" x14ac:dyDescent="0.25">
      <c r="H613" s="42">
        <f>IF($A613="","",YEAR($A613))</f>
      </c>
    </row>
    <row r="614" spans="8:8" x14ac:dyDescent="0.25">
      <c r="H614" s="42">
        <f>IF($A614="","",YEAR($A614))</f>
      </c>
    </row>
    <row r="615" spans="8:8" x14ac:dyDescent="0.25">
      <c r="H615" s="42">
        <f>IF($A615="","",YEAR($A615))</f>
      </c>
    </row>
    <row r="616" spans="8:8" x14ac:dyDescent="0.25">
      <c r="H616" s="42">
        <f>IF($A616="","",YEAR($A616))</f>
      </c>
    </row>
    <row r="617" spans="8:8" x14ac:dyDescent="0.25">
      <c r="H617" s="42">
        <f>IF($A617="","",YEAR($A617))</f>
      </c>
    </row>
    <row r="618" spans="8:8" x14ac:dyDescent="0.25">
      <c r="H618" s="42">
        <f>IF($A618="","",YEAR($A618))</f>
      </c>
    </row>
    <row r="619" spans="8:8" x14ac:dyDescent="0.25">
      <c r="H619" s="42">
        <f>IF($A619="","",YEAR($A619))</f>
      </c>
    </row>
    <row r="620" spans="8:8" x14ac:dyDescent="0.25">
      <c r="H620" s="42">
        <f>IF($A620="","",YEAR($A620))</f>
      </c>
    </row>
    <row r="621" spans="8:8" x14ac:dyDescent="0.25">
      <c r="H621" s="42">
        <f>IF($A621="","",YEAR($A621))</f>
      </c>
    </row>
    <row r="622" spans="8:8" x14ac:dyDescent="0.25">
      <c r="H622" s="42">
        <f>IF($A622="","",YEAR($A622))</f>
      </c>
    </row>
    <row r="623" spans="8:8" x14ac:dyDescent="0.25">
      <c r="H623" s="42">
        <f>IF($A623="","",YEAR($A623))</f>
      </c>
    </row>
    <row r="624" spans="8:8" x14ac:dyDescent="0.25">
      <c r="H624" s="42">
        <f>IF($A624="","",YEAR($A624))</f>
      </c>
    </row>
    <row r="625" spans="8:8" x14ac:dyDescent="0.25">
      <c r="H625" s="42">
        <f>IF($A625="","",YEAR($A625))</f>
      </c>
    </row>
    <row r="626" spans="8:8" x14ac:dyDescent="0.25">
      <c r="H626" s="42">
        <f>IF($A626="","",YEAR($A626))</f>
      </c>
    </row>
    <row r="627" spans="8:8" x14ac:dyDescent="0.25">
      <c r="H627" s="42">
        <f>IF($A627="","",YEAR($A627))</f>
      </c>
    </row>
    <row r="628" spans="8:8" x14ac:dyDescent="0.25">
      <c r="H628" s="42">
        <f>IF($A628="","",YEAR($A628))</f>
      </c>
    </row>
    <row r="629" spans="8:8" x14ac:dyDescent="0.25">
      <c r="H629" s="42">
        <f>IF($A629="","",YEAR($A629))</f>
      </c>
    </row>
    <row r="630" spans="8:8" x14ac:dyDescent="0.25">
      <c r="H630" s="42">
        <f>IF($A630="","",YEAR($A630))</f>
      </c>
    </row>
    <row r="631" spans="8:8" x14ac:dyDescent="0.25">
      <c r="H631" s="42">
        <f>IF($A631="","",YEAR($A631))</f>
      </c>
    </row>
    <row r="632" spans="8:8" x14ac:dyDescent="0.25">
      <c r="H632" s="42">
        <f>IF($A632="","",YEAR($A632))</f>
      </c>
    </row>
    <row r="633" spans="8:8" x14ac:dyDescent="0.25">
      <c r="H633" s="42">
        <f>IF($A633="","",YEAR($A633))</f>
      </c>
    </row>
    <row r="634" spans="8:8" x14ac:dyDescent="0.25">
      <c r="H634" s="42">
        <f>IF($A634="","",YEAR($A634))</f>
      </c>
    </row>
    <row r="635" spans="8:8" x14ac:dyDescent="0.25">
      <c r="H635" s="42">
        <f>IF($A635="","",YEAR($A635))</f>
      </c>
    </row>
    <row r="636" spans="8:8" x14ac:dyDescent="0.25">
      <c r="H636" s="42">
        <f>IF($A636="","",YEAR($A636))</f>
      </c>
    </row>
    <row r="637" spans="8:8" x14ac:dyDescent="0.25">
      <c r="H637" s="42">
        <f>IF($A637="","",YEAR($A637))</f>
      </c>
    </row>
    <row r="638" spans="8:8" x14ac:dyDescent="0.25">
      <c r="H638" s="42">
        <f>IF($A638="","",YEAR($A638))</f>
      </c>
    </row>
    <row r="639" spans="8:8" x14ac:dyDescent="0.25">
      <c r="H639" s="42">
        <f>IF($A639="","",YEAR($A639))</f>
      </c>
    </row>
    <row r="640" spans="8:8" x14ac:dyDescent="0.25">
      <c r="H640" s="42">
        <f>IF($A640="","",YEAR($A640))</f>
      </c>
    </row>
    <row r="641" spans="8:8" x14ac:dyDescent="0.25">
      <c r="H641" s="42">
        <f>IF($A641="","",YEAR($A641))</f>
      </c>
    </row>
    <row r="642" spans="8:8" x14ac:dyDescent="0.25">
      <c r="H642" s="42">
        <f>IF($A642="","",YEAR($A642))</f>
      </c>
    </row>
    <row r="643" spans="8:8" x14ac:dyDescent="0.25">
      <c r="H643" s="42">
        <f>IF($A643="","",YEAR($A643))</f>
      </c>
    </row>
    <row r="644" spans="8:8" x14ac:dyDescent="0.25">
      <c r="H644" s="42">
        <f>IF($A644="","",YEAR($A644))</f>
      </c>
    </row>
    <row r="645" spans="8:8" x14ac:dyDescent="0.25">
      <c r="H645" s="42">
        <f>IF($A645="","",YEAR($A645))</f>
      </c>
    </row>
    <row r="646" spans="8:8" x14ac:dyDescent="0.25">
      <c r="H646" s="42">
        <f>IF($A646="","",YEAR($A646))</f>
      </c>
    </row>
    <row r="647" spans="8:8" x14ac:dyDescent="0.25">
      <c r="H647" s="42">
        <f>IF($A647="","",YEAR($A647))</f>
      </c>
    </row>
    <row r="648" spans="8:8" x14ac:dyDescent="0.25">
      <c r="H648" s="42">
        <f>IF($A648="","",YEAR($A648))</f>
      </c>
    </row>
    <row r="649" spans="8:8" x14ac:dyDescent="0.25">
      <c r="H649" s="42">
        <f>IF($A649="","",YEAR($A649))</f>
      </c>
    </row>
    <row r="650" spans="8:8" x14ac:dyDescent="0.25">
      <c r="H650" s="42">
        <f>IF($A650="","",YEAR($A650))</f>
      </c>
    </row>
    <row r="651" spans="8:8" x14ac:dyDescent="0.25">
      <c r="H651" s="42">
        <f>IF($A651="","",YEAR($A651))</f>
      </c>
    </row>
    <row r="652" spans="8:8" x14ac:dyDescent="0.25">
      <c r="H652" s="42">
        <f>IF($A652="","",YEAR($A652))</f>
      </c>
    </row>
    <row r="653" spans="8:8" x14ac:dyDescent="0.25">
      <c r="H653" s="42">
        <f>IF($A653="","",YEAR($A653))</f>
      </c>
    </row>
    <row r="654" spans="8:8" x14ac:dyDescent="0.25">
      <c r="H654" s="42">
        <f>IF($A654="","",YEAR($A654))</f>
      </c>
    </row>
    <row r="655" spans="8:8" x14ac:dyDescent="0.25">
      <c r="H655" s="42">
        <f>IF($A655="","",YEAR($A655))</f>
      </c>
    </row>
    <row r="656" spans="8:8" x14ac:dyDescent="0.25">
      <c r="H656" s="42">
        <f>IF($A656="","",YEAR($A656))</f>
      </c>
    </row>
    <row r="657" spans="8:8" x14ac:dyDescent="0.25">
      <c r="H657" s="42">
        <f>IF($A657="","",YEAR($A657))</f>
      </c>
    </row>
    <row r="658" spans="8:8" x14ac:dyDescent="0.25">
      <c r="H658" s="42">
        <f>IF($A658="","",YEAR($A658))</f>
      </c>
    </row>
    <row r="659" spans="8:8" x14ac:dyDescent="0.25">
      <c r="H659" s="42">
        <f>IF($A659="","",YEAR($A659))</f>
      </c>
    </row>
    <row r="660" spans="8:8" x14ac:dyDescent="0.25">
      <c r="H660" s="42">
        <f>IF($A660="","",YEAR($A660))</f>
      </c>
    </row>
    <row r="661" spans="8:8" x14ac:dyDescent="0.25">
      <c r="H661" s="42">
        <f>IF($A661="","",YEAR($A661))</f>
      </c>
    </row>
    <row r="662" spans="8:8" x14ac:dyDescent="0.25">
      <c r="H662" s="42">
        <f>IF($A662="","",YEAR($A662))</f>
      </c>
    </row>
    <row r="663" spans="8:8" x14ac:dyDescent="0.25">
      <c r="H663" s="42">
        <f>IF($A663="","",YEAR($A663))</f>
      </c>
    </row>
    <row r="664" spans="8:8" x14ac:dyDescent="0.25">
      <c r="H664" s="42">
        <f>IF($A664="","",YEAR($A664))</f>
      </c>
    </row>
    <row r="665" spans="8:8" x14ac:dyDescent="0.25">
      <c r="H665" s="42">
        <f>IF($A665="","",YEAR($A665))</f>
      </c>
    </row>
    <row r="666" spans="8:8" x14ac:dyDescent="0.25">
      <c r="H666" s="42">
        <f>IF($A666="","",YEAR($A666))</f>
      </c>
    </row>
    <row r="667" spans="8:8" x14ac:dyDescent="0.25">
      <c r="H667" s="42">
        <f>IF($A667="","",YEAR($A667))</f>
      </c>
    </row>
    <row r="668" spans="8:8" x14ac:dyDescent="0.25">
      <c r="H668" s="42">
        <f>IF($A668="","",YEAR($A668))</f>
      </c>
    </row>
    <row r="669" spans="8:8" x14ac:dyDescent="0.25">
      <c r="H669" s="42">
        <f>IF($A669="","",YEAR($A669))</f>
      </c>
    </row>
    <row r="670" spans="8:8" x14ac:dyDescent="0.25">
      <c r="H670" s="42">
        <f>IF($A670="","",YEAR($A670))</f>
      </c>
    </row>
    <row r="671" spans="8:8" x14ac:dyDescent="0.25">
      <c r="H671" s="42">
        <f>IF($A671="","",YEAR($A671))</f>
      </c>
    </row>
    <row r="672" spans="8:8" x14ac:dyDescent="0.25">
      <c r="H672" s="42">
        <f>IF($A672="","",YEAR($A672))</f>
      </c>
    </row>
    <row r="673" spans="8:8" x14ac:dyDescent="0.25">
      <c r="H673" s="42">
        <f>IF($A673="","",YEAR($A673))</f>
      </c>
    </row>
    <row r="674" spans="8:8" x14ac:dyDescent="0.25">
      <c r="H674" s="42">
        <f>IF($A674="","",YEAR($A674))</f>
      </c>
    </row>
    <row r="675" spans="8:8" x14ac:dyDescent="0.25">
      <c r="H675" s="42">
        <f>IF($A675="","",YEAR($A675))</f>
      </c>
    </row>
    <row r="676" spans="8:8" x14ac:dyDescent="0.25">
      <c r="H676" s="42">
        <f>IF($A676="","",YEAR($A676))</f>
      </c>
    </row>
    <row r="677" spans="8:8" x14ac:dyDescent="0.25">
      <c r="H677" s="42">
        <f>IF($A677="","",YEAR($A677))</f>
      </c>
    </row>
    <row r="678" spans="8:8" x14ac:dyDescent="0.25">
      <c r="H678" s="42">
        <f>IF($A678="","",YEAR($A678))</f>
      </c>
    </row>
    <row r="679" spans="8:8" x14ac:dyDescent="0.25">
      <c r="H679" s="42">
        <f>IF($A679="","",YEAR($A679))</f>
      </c>
    </row>
    <row r="680" spans="8:8" x14ac:dyDescent="0.25">
      <c r="H680" s="42">
        <f>IF($A680="","",YEAR($A680))</f>
      </c>
    </row>
    <row r="681" spans="8:8" x14ac:dyDescent="0.25">
      <c r="H681" s="42">
        <f>IF($A681="","",YEAR($A681))</f>
      </c>
    </row>
    <row r="682" spans="8:8" x14ac:dyDescent="0.25">
      <c r="H682" s="42">
        <f>IF($A682="","",YEAR($A682))</f>
      </c>
    </row>
    <row r="683" spans="8:8" x14ac:dyDescent="0.25">
      <c r="H683" s="42">
        <f>IF($A683="","",YEAR($A683))</f>
      </c>
    </row>
    <row r="684" spans="8:8" x14ac:dyDescent="0.25">
      <c r="H684" s="42">
        <f>IF($A684="","",YEAR($A684))</f>
      </c>
    </row>
    <row r="685" spans="8:8" x14ac:dyDescent="0.25">
      <c r="H685" s="42">
        <f>IF($A685="","",YEAR($A685))</f>
      </c>
    </row>
    <row r="686" spans="8:8" x14ac:dyDescent="0.25">
      <c r="H686" s="42">
        <f>IF($A686="","",YEAR($A686))</f>
      </c>
    </row>
    <row r="687" spans="8:8" x14ac:dyDescent="0.25">
      <c r="H687" s="42">
        <f>IF($A687="","",YEAR($A687))</f>
      </c>
    </row>
    <row r="688" spans="8:8" x14ac:dyDescent="0.25">
      <c r="H688" s="42">
        <f>IF($A688="","",YEAR($A688))</f>
      </c>
    </row>
    <row r="689" spans="8:8" x14ac:dyDescent="0.25">
      <c r="H689" s="42">
        <f>IF($A689="","",YEAR($A689))</f>
      </c>
    </row>
    <row r="690" spans="8:8" x14ac:dyDescent="0.25">
      <c r="H690" s="42">
        <f>IF($A690="","",YEAR($A690))</f>
      </c>
    </row>
    <row r="691" spans="8:8" x14ac:dyDescent="0.25">
      <c r="H691" s="42">
        <f>IF($A691="","",YEAR($A691))</f>
      </c>
    </row>
    <row r="692" spans="8:8" x14ac:dyDescent="0.25">
      <c r="H692" s="42">
        <f>IF($A692="","",YEAR($A692))</f>
      </c>
    </row>
    <row r="693" spans="8:8" x14ac:dyDescent="0.25">
      <c r="H693" s="42">
        <f>IF($A693="","",YEAR($A693))</f>
      </c>
    </row>
    <row r="694" spans="8:8" x14ac:dyDescent="0.25">
      <c r="H694" s="42">
        <f>IF($A694="","",YEAR($A694))</f>
      </c>
    </row>
    <row r="695" spans="8:8" x14ac:dyDescent="0.25">
      <c r="H695" s="42">
        <f>IF($A695="","",YEAR($A695))</f>
      </c>
    </row>
    <row r="696" spans="8:8" x14ac:dyDescent="0.25">
      <c r="H696" s="42">
        <f>IF($A696="","",YEAR($A696))</f>
      </c>
    </row>
    <row r="697" spans="8:8" x14ac:dyDescent="0.25">
      <c r="H697" s="42">
        <f>IF($A697="","",YEAR($A697))</f>
      </c>
    </row>
    <row r="698" spans="8:8" x14ac:dyDescent="0.25">
      <c r="H698" s="42">
        <f>IF($A698="","",YEAR($A698))</f>
      </c>
    </row>
    <row r="699" spans="8:8" x14ac:dyDescent="0.25">
      <c r="H699" s="42">
        <f>IF($A699="","",YEAR($A699))</f>
      </c>
    </row>
    <row r="700" spans="8:8" x14ac:dyDescent="0.25">
      <c r="H700" s="42">
        <f>IF($A700="","",YEAR($A700))</f>
      </c>
    </row>
    <row r="701" spans="8:8" x14ac:dyDescent="0.25">
      <c r="H701" s="42">
        <f>IF($A701="","",YEAR($A701))</f>
      </c>
    </row>
    <row r="702" spans="8:8" x14ac:dyDescent="0.25">
      <c r="H702" s="42">
        <f>IF($A702="","",YEAR($A702))</f>
      </c>
    </row>
    <row r="703" spans="8:8" x14ac:dyDescent="0.25">
      <c r="H703" s="42">
        <f>IF($A703="","",YEAR($A703))</f>
      </c>
    </row>
    <row r="704" spans="8:8" x14ac:dyDescent="0.25">
      <c r="H704" s="42">
        <f>IF($A704="","",YEAR($A704))</f>
      </c>
    </row>
    <row r="705" spans="8:8" x14ac:dyDescent="0.25">
      <c r="H705" s="42">
        <f>IF($A705="","",YEAR($A705))</f>
      </c>
    </row>
    <row r="706" spans="8:8" x14ac:dyDescent="0.25">
      <c r="H706" s="42">
        <f>IF($A706="","",YEAR($A706))</f>
      </c>
    </row>
    <row r="707" spans="8:8" x14ac:dyDescent="0.25">
      <c r="H707" s="42">
        <f>IF($A707="","",YEAR($A707))</f>
      </c>
    </row>
    <row r="708" spans="8:8" x14ac:dyDescent="0.25">
      <c r="H708" s="42">
        <f>IF($A708="","",YEAR($A708))</f>
      </c>
    </row>
    <row r="709" spans="8:8" x14ac:dyDescent="0.25">
      <c r="H709" s="42">
        <f>IF($A709="","",YEAR($A709))</f>
      </c>
    </row>
    <row r="710" spans="8:8" x14ac:dyDescent="0.25">
      <c r="H710" s="42">
        <f>IF($A710="","",YEAR($A710))</f>
      </c>
    </row>
    <row r="711" spans="8:8" x14ac:dyDescent="0.25">
      <c r="H711" s="42">
        <f>IF($A711="","",YEAR($A711))</f>
      </c>
    </row>
    <row r="712" spans="8:8" x14ac:dyDescent="0.25">
      <c r="H712" s="42">
        <f>IF($A712="","",YEAR($A712))</f>
      </c>
    </row>
    <row r="713" spans="8:8" x14ac:dyDescent="0.25">
      <c r="H713" s="42">
        <f>IF($A713="","",YEAR($A713))</f>
      </c>
    </row>
    <row r="714" spans="8:8" x14ac:dyDescent="0.25">
      <c r="H714" s="42">
        <f>IF($A714="","",YEAR($A714))</f>
      </c>
    </row>
    <row r="715" spans="8:8" x14ac:dyDescent="0.25">
      <c r="H715" s="42">
        <f>IF($A715="","",YEAR($A715))</f>
      </c>
    </row>
    <row r="716" spans="8:8" x14ac:dyDescent="0.25">
      <c r="H716" s="42">
        <f>IF($A716="","",YEAR($A716))</f>
      </c>
    </row>
    <row r="717" spans="8:8" x14ac:dyDescent="0.25">
      <c r="H717" s="42">
        <f>IF($A717="","",YEAR($A717))</f>
      </c>
    </row>
    <row r="718" spans="8:8" x14ac:dyDescent="0.25">
      <c r="H718" s="42">
        <f>IF($A718="","",YEAR($A718))</f>
      </c>
    </row>
    <row r="719" spans="8:8" x14ac:dyDescent="0.25">
      <c r="H719" s="42">
        <f>IF($A719="","",YEAR($A719))</f>
      </c>
    </row>
    <row r="720" spans="8:8" x14ac:dyDescent="0.25">
      <c r="H720" s="42">
        <f>IF($A720="","",YEAR($A720))</f>
      </c>
    </row>
    <row r="721" spans="8:8" x14ac:dyDescent="0.25">
      <c r="H721" s="42">
        <f>IF($A721="","",YEAR($A721))</f>
      </c>
    </row>
    <row r="722" spans="8:8" x14ac:dyDescent="0.25">
      <c r="H722" s="42">
        <f>IF($A722="","",YEAR($A722))</f>
      </c>
    </row>
    <row r="723" spans="8:8" x14ac:dyDescent="0.25">
      <c r="H723" s="42">
        <f>IF($A723="","",YEAR($A723))</f>
      </c>
    </row>
    <row r="724" spans="8:8" x14ac:dyDescent="0.25">
      <c r="H724" s="42">
        <f>IF($A724="","",YEAR($A724))</f>
      </c>
    </row>
    <row r="725" spans="8:8" x14ac:dyDescent="0.25">
      <c r="H725" s="42">
        <f>IF($A725="","",YEAR($A725))</f>
      </c>
    </row>
    <row r="726" spans="8:8" x14ac:dyDescent="0.25">
      <c r="H726" s="42">
        <f>IF($A726="","",YEAR($A726))</f>
      </c>
    </row>
    <row r="727" spans="8:8" x14ac:dyDescent="0.25">
      <c r="H727" s="42">
        <f>IF($A727="","",YEAR($A727))</f>
      </c>
    </row>
    <row r="728" spans="8:8" x14ac:dyDescent="0.25">
      <c r="H728" s="42">
        <f>IF($A728="","",YEAR($A728))</f>
      </c>
    </row>
    <row r="729" spans="8:8" x14ac:dyDescent="0.25">
      <c r="H729" s="42">
        <f>IF($A729="","",YEAR($A729))</f>
      </c>
    </row>
    <row r="730" spans="8:8" x14ac:dyDescent="0.25">
      <c r="H730" s="42">
        <f>IF($A730="","",YEAR($A730))</f>
      </c>
    </row>
    <row r="731" spans="8:8" x14ac:dyDescent="0.25">
      <c r="H731" s="42">
        <f>IF($A731="","",YEAR($A731))</f>
      </c>
    </row>
    <row r="732" spans="8:8" x14ac:dyDescent="0.25">
      <c r="H732" s="42">
        <f>IF($A732="","",YEAR($A732))</f>
      </c>
    </row>
    <row r="733" spans="8:8" x14ac:dyDescent="0.25">
      <c r="H733" s="42">
        <f>IF($A733="","",YEAR($A733))</f>
      </c>
    </row>
    <row r="734" spans="8:8" x14ac:dyDescent="0.25">
      <c r="H734" s="42">
        <f>IF($A734="","",YEAR($A734))</f>
      </c>
    </row>
    <row r="735" spans="8:8" x14ac:dyDescent="0.25">
      <c r="H735" s="42">
        <f>IF($A735="","",YEAR($A735))</f>
      </c>
    </row>
    <row r="736" spans="8:8" x14ac:dyDescent="0.25">
      <c r="H736" s="42">
        <f>IF($A736="","",YEAR($A736))</f>
      </c>
    </row>
    <row r="737" spans="8:8" x14ac:dyDescent="0.25">
      <c r="H737" s="42">
        <f>IF($A737="","",YEAR($A737))</f>
      </c>
    </row>
    <row r="738" spans="8:8" x14ac:dyDescent="0.25">
      <c r="H738" s="42">
        <f>IF($A738="","",YEAR($A738))</f>
      </c>
    </row>
    <row r="739" spans="8:8" x14ac:dyDescent="0.25">
      <c r="H739" s="42">
        <f>IF($A739="","",YEAR($A739))</f>
      </c>
    </row>
    <row r="740" spans="8:8" x14ac:dyDescent="0.25">
      <c r="H740" s="42">
        <f>IF($A740="","",YEAR($A740))</f>
      </c>
    </row>
    <row r="741" spans="8:8" x14ac:dyDescent="0.25">
      <c r="H741" s="42">
        <f>IF($A741="","",YEAR($A741))</f>
      </c>
    </row>
    <row r="742" spans="8:8" x14ac:dyDescent="0.25">
      <c r="H742" s="42">
        <f>IF($A742="","",YEAR($A742))</f>
      </c>
    </row>
    <row r="743" spans="8:8" x14ac:dyDescent="0.25">
      <c r="H743" s="42">
        <f>IF($A743="","",YEAR($A743))</f>
      </c>
    </row>
    <row r="744" spans="8:8" x14ac:dyDescent="0.25">
      <c r="H744" s="42">
        <f>IF($A744="","",YEAR($A744))</f>
      </c>
    </row>
    <row r="745" spans="8:8" x14ac:dyDescent="0.25">
      <c r="H745" s="42">
        <f>IF($A745="","",YEAR($A745))</f>
      </c>
    </row>
    <row r="746" spans="8:8" x14ac:dyDescent="0.25">
      <c r="H746" s="42">
        <f>IF($A746="","",YEAR($A746))</f>
      </c>
    </row>
    <row r="747" spans="8:8" x14ac:dyDescent="0.25">
      <c r="H747" s="42">
        <f>IF($A747="","",YEAR($A747))</f>
      </c>
    </row>
    <row r="748" spans="8:8" x14ac:dyDescent="0.25">
      <c r="H748" s="42">
        <f>IF($A748="","",YEAR($A748))</f>
      </c>
    </row>
    <row r="749" spans="8:8" x14ac:dyDescent="0.25">
      <c r="H749" s="42">
        <f>IF($A749="","",YEAR($A749))</f>
      </c>
    </row>
    <row r="750" spans="8:8" x14ac:dyDescent="0.25">
      <c r="H750" s="42">
        <f>IF($A750="","",YEAR($A750))</f>
      </c>
    </row>
    <row r="751" spans="8:8" x14ac:dyDescent="0.25">
      <c r="H751" s="42">
        <f>IF($A751="","",YEAR($A751))</f>
      </c>
    </row>
    <row r="752" spans="8:8" x14ac:dyDescent="0.25">
      <c r="H752" s="42">
        <f>IF($A752="","",YEAR($A752))</f>
      </c>
    </row>
    <row r="753" spans="8:8" x14ac:dyDescent="0.25">
      <c r="H753" s="42">
        <f>IF($A753="","",YEAR($A753))</f>
      </c>
    </row>
    <row r="754" spans="8:8" x14ac:dyDescent="0.25">
      <c r="H754" s="42">
        <f>IF($A754="","",YEAR($A754))</f>
      </c>
    </row>
    <row r="755" spans="8:8" x14ac:dyDescent="0.25">
      <c r="H755" s="42">
        <f>IF($A755="","",YEAR($A755))</f>
      </c>
    </row>
    <row r="756" spans="8:8" x14ac:dyDescent="0.25">
      <c r="H756" s="42">
        <f>IF($A756="","",YEAR($A756))</f>
      </c>
    </row>
    <row r="757" spans="8:8" x14ac:dyDescent="0.25">
      <c r="H757" s="42">
        <f>IF($A757="","",YEAR($A757))</f>
      </c>
    </row>
    <row r="758" spans="8:8" x14ac:dyDescent="0.25">
      <c r="H758" s="42">
        <f>IF($A758="","",YEAR($A758))</f>
      </c>
    </row>
    <row r="759" spans="8:8" x14ac:dyDescent="0.25">
      <c r="H759" s="42">
        <f>IF($A759="","",YEAR($A759))</f>
      </c>
    </row>
    <row r="760" spans="8:8" x14ac:dyDescent="0.25">
      <c r="H760" s="42">
        <f>IF($A760="","",YEAR($A760))</f>
      </c>
    </row>
    <row r="761" spans="8:8" x14ac:dyDescent="0.25">
      <c r="H761" s="42">
        <f>IF($A761="","",YEAR($A761))</f>
      </c>
    </row>
    <row r="762" spans="8:8" x14ac:dyDescent="0.25">
      <c r="H762" s="42">
        <f>IF($A762="","",YEAR($A762))</f>
      </c>
    </row>
    <row r="763" spans="8:8" x14ac:dyDescent="0.25">
      <c r="H763" s="42">
        <f>IF($A763="","",YEAR($A763))</f>
      </c>
    </row>
    <row r="764" spans="8:8" x14ac:dyDescent="0.25">
      <c r="H764" s="42">
        <f>IF($A764="","",YEAR($A764))</f>
      </c>
    </row>
    <row r="765" spans="8:8" x14ac:dyDescent="0.25">
      <c r="H765" s="42">
        <f>IF($A765="","",YEAR($A765))</f>
      </c>
    </row>
    <row r="766" spans="8:8" x14ac:dyDescent="0.25">
      <c r="H766" s="42">
        <f>IF($A766="","",YEAR($A766))</f>
      </c>
    </row>
    <row r="767" spans="8:8" x14ac:dyDescent="0.25">
      <c r="H767" s="42">
        <f>IF($A767="","",YEAR($A767))</f>
      </c>
    </row>
    <row r="768" spans="8:8" x14ac:dyDescent="0.25">
      <c r="H768" s="42">
        <f>IF($A768="","",YEAR($A768))</f>
      </c>
    </row>
    <row r="769" spans="8:8" x14ac:dyDescent="0.25">
      <c r="H769" s="42">
        <f>IF($A769="","",YEAR($A769))</f>
      </c>
    </row>
    <row r="770" spans="8:8" x14ac:dyDescent="0.25">
      <c r="H770" s="42">
        <f>IF($A770="","",YEAR($A770))</f>
      </c>
    </row>
    <row r="771" spans="8:8" x14ac:dyDescent="0.25">
      <c r="H771" s="42">
        <f>IF($A771="","",YEAR($A771))</f>
      </c>
    </row>
    <row r="772" spans="8:8" x14ac:dyDescent="0.25">
      <c r="H772" s="42">
        <f>IF($A772="","",YEAR($A772))</f>
      </c>
    </row>
    <row r="773" spans="8:8" x14ac:dyDescent="0.25">
      <c r="H773" s="42">
        <f>IF($A773="","",YEAR($A773))</f>
      </c>
    </row>
    <row r="774" spans="8:8" x14ac:dyDescent="0.25">
      <c r="H774" s="42">
        <f>IF($A774="","",YEAR($A774))</f>
      </c>
    </row>
    <row r="775" spans="8:8" x14ac:dyDescent="0.25">
      <c r="H775" s="42">
        <f>IF($A775="","",YEAR($A775))</f>
      </c>
    </row>
    <row r="776" spans="8:8" x14ac:dyDescent="0.25">
      <c r="H776" s="42">
        <f>IF($A776="","",YEAR($A776))</f>
      </c>
    </row>
    <row r="777" spans="8:8" x14ac:dyDescent="0.25">
      <c r="H777" s="42">
        <f>IF($A777="","",YEAR($A777))</f>
      </c>
    </row>
    <row r="778" spans="8:8" x14ac:dyDescent="0.25">
      <c r="H778" s="42">
        <f>IF($A778="","",YEAR($A778))</f>
      </c>
    </row>
    <row r="779" spans="8:8" x14ac:dyDescent="0.25">
      <c r="H779" s="42">
        <f>IF($A779="","",YEAR($A779))</f>
      </c>
    </row>
    <row r="780" spans="8:8" x14ac:dyDescent="0.25">
      <c r="H780" s="42">
        <f>IF($A780="","",YEAR($A780))</f>
      </c>
    </row>
    <row r="781" spans="8:8" x14ac:dyDescent="0.25">
      <c r="H781" s="42">
        <f>IF($A781="","",YEAR($A781))</f>
      </c>
    </row>
    <row r="782" spans="8:8" x14ac:dyDescent="0.25">
      <c r="H782" s="42">
        <f>IF($A782="","",YEAR($A782))</f>
      </c>
    </row>
    <row r="783" spans="8:8" x14ac:dyDescent="0.25">
      <c r="H783" s="42">
        <f>IF($A783="","",YEAR($A783))</f>
      </c>
    </row>
    <row r="784" spans="8:8" x14ac:dyDescent="0.25">
      <c r="H784" s="42">
        <f>IF($A784="","",YEAR($A784))</f>
      </c>
    </row>
    <row r="785" spans="8:8" x14ac:dyDescent="0.25">
      <c r="H785" s="42">
        <f>IF($A785="","",YEAR($A785))</f>
      </c>
    </row>
    <row r="786" spans="8:8" x14ac:dyDescent="0.25">
      <c r="H786" s="42">
        <f>IF($A786="","",YEAR($A786))</f>
      </c>
    </row>
    <row r="787" spans="8:8" x14ac:dyDescent="0.25">
      <c r="H787" s="42">
        <f>IF($A787="","",YEAR($A787))</f>
      </c>
    </row>
    <row r="788" spans="8:8" x14ac:dyDescent="0.25">
      <c r="H788" s="42">
        <f>IF($A788="","",YEAR($A788))</f>
      </c>
    </row>
    <row r="789" spans="8:8" x14ac:dyDescent="0.25">
      <c r="H789" s="42">
        <f>IF($A789="","",YEAR($A789))</f>
      </c>
    </row>
    <row r="790" spans="8:8" x14ac:dyDescent="0.25">
      <c r="H790" s="42">
        <f>IF($A790="","",YEAR($A790))</f>
      </c>
    </row>
    <row r="791" spans="8:8" x14ac:dyDescent="0.25">
      <c r="H791" s="42">
        <f>IF($A791="","",YEAR($A791))</f>
      </c>
    </row>
    <row r="792" spans="8:8" x14ac:dyDescent="0.25">
      <c r="H792" s="42">
        <f>IF($A792="","",YEAR($A792))</f>
      </c>
    </row>
    <row r="793" spans="8:8" x14ac:dyDescent="0.25">
      <c r="H793" s="42">
        <f>IF($A793="","",YEAR($A793))</f>
      </c>
    </row>
    <row r="794" spans="8:8" x14ac:dyDescent="0.25">
      <c r="H794" s="42">
        <f>IF($A794="","",YEAR($A794))</f>
      </c>
    </row>
    <row r="795" spans="8:8" x14ac:dyDescent="0.25">
      <c r="H795" s="42">
        <f>IF($A795="","",YEAR($A795))</f>
      </c>
    </row>
    <row r="796" spans="8:8" x14ac:dyDescent="0.25">
      <c r="H796" s="42">
        <f>IF($A796="","",YEAR($A796))</f>
      </c>
    </row>
    <row r="797" spans="8:8" x14ac:dyDescent="0.25">
      <c r="H797" s="42">
        <f>IF($A797="","",YEAR($A797))</f>
      </c>
    </row>
    <row r="798" spans="8:8" x14ac:dyDescent="0.25">
      <c r="H798" s="42">
        <f>IF($A798="","",YEAR($A798))</f>
      </c>
    </row>
    <row r="799" spans="8:8" x14ac:dyDescent="0.25">
      <c r="H799" s="42">
        <f>IF($A799="","",YEAR($A799))</f>
      </c>
    </row>
    <row r="800" spans="8:8" x14ac:dyDescent="0.25">
      <c r="H800" s="42">
        <f>IF($A800="","",YEAR($A800))</f>
      </c>
    </row>
    <row r="801" spans="8:8" x14ac:dyDescent="0.25">
      <c r="H801" s="42">
        <f>IF($A801="","",YEAR($A801))</f>
      </c>
    </row>
    <row r="802" spans="8:8" x14ac:dyDescent="0.25">
      <c r="H802" s="42">
        <f>IF($A802="","",YEAR($A802))</f>
      </c>
    </row>
    <row r="803" spans="8:8" x14ac:dyDescent="0.25">
      <c r="H803" s="42">
        <f>IF($A803="","",YEAR($A803))</f>
      </c>
    </row>
    <row r="804" spans="8:8" x14ac:dyDescent="0.25">
      <c r="H804" s="42">
        <f>IF($A804="","",YEAR($A804))</f>
      </c>
    </row>
    <row r="805" spans="8:8" x14ac:dyDescent="0.25">
      <c r="H805" s="42">
        <f>IF($A805="","",YEAR($A805))</f>
      </c>
    </row>
    <row r="806" spans="8:8" x14ac:dyDescent="0.25">
      <c r="H806" s="42">
        <f>IF($A806="","",YEAR($A806))</f>
      </c>
    </row>
    <row r="807" spans="8:8" x14ac:dyDescent="0.25">
      <c r="H807" s="42">
        <f>IF($A807="","",YEAR($A807))</f>
      </c>
    </row>
    <row r="808" spans="8:8" x14ac:dyDescent="0.25">
      <c r="H808" s="42">
        <f>IF($A808="","",YEAR($A808))</f>
      </c>
    </row>
    <row r="809" spans="8:8" x14ac:dyDescent="0.25">
      <c r="H809" s="42">
        <f>IF($A809="","",YEAR($A809))</f>
      </c>
    </row>
    <row r="810" spans="8:8" x14ac:dyDescent="0.25">
      <c r="H810" s="42">
        <f>IF($A810="","",YEAR($A810))</f>
      </c>
    </row>
    <row r="811" spans="8:8" x14ac:dyDescent="0.25">
      <c r="H811" s="42">
        <f>IF($A811="","",YEAR($A811))</f>
      </c>
    </row>
    <row r="812" spans="8:8" x14ac:dyDescent="0.25">
      <c r="H812" s="42">
        <f>IF($A812="","",YEAR($A812))</f>
      </c>
    </row>
    <row r="813" spans="8:8" x14ac:dyDescent="0.25">
      <c r="H813" s="42">
        <f>IF($A813="","",YEAR($A813))</f>
      </c>
    </row>
    <row r="814" spans="8:8" x14ac:dyDescent="0.25">
      <c r="H814" s="42">
        <f>IF($A814="","",YEAR($A814))</f>
      </c>
    </row>
    <row r="815" spans="8:8" x14ac:dyDescent="0.25">
      <c r="H815" s="42">
        <f>IF($A815="","",YEAR($A815))</f>
      </c>
    </row>
    <row r="816" spans="8:8" x14ac:dyDescent="0.25">
      <c r="H816" s="42">
        <f>IF($A816="","",YEAR($A816))</f>
      </c>
    </row>
    <row r="817" spans="8:8" x14ac:dyDescent="0.25">
      <c r="H817" s="42">
        <f>IF($A817="","",YEAR($A817))</f>
      </c>
    </row>
    <row r="818" spans="8:8" x14ac:dyDescent="0.25">
      <c r="H818" s="42">
        <f>IF($A818="","",YEAR($A818))</f>
      </c>
    </row>
    <row r="819" spans="8:8" x14ac:dyDescent="0.25">
      <c r="H819" s="42">
        <f>IF($A819="","",YEAR($A819))</f>
      </c>
    </row>
    <row r="820" spans="8:8" x14ac:dyDescent="0.25">
      <c r="H820" s="42">
        <f>IF($A820="","",YEAR($A820))</f>
      </c>
    </row>
    <row r="821" spans="8:8" x14ac:dyDescent="0.25">
      <c r="H821" s="42">
        <f>IF($A821="","",YEAR($A821))</f>
      </c>
    </row>
    <row r="822" spans="8:8" x14ac:dyDescent="0.25">
      <c r="H822" s="42">
        <f>IF($A822="","",YEAR($A822))</f>
      </c>
    </row>
    <row r="823" spans="8:8" x14ac:dyDescent="0.25">
      <c r="H823" s="42">
        <f>IF($A823="","",YEAR($A823))</f>
      </c>
    </row>
    <row r="824" spans="8:8" x14ac:dyDescent="0.25">
      <c r="H824" s="42">
        <f>IF($A824="","",YEAR($A824))</f>
      </c>
    </row>
    <row r="825" spans="8:8" x14ac:dyDescent="0.25">
      <c r="H825" s="42">
        <f>IF($A825="","",YEAR($A825))</f>
      </c>
    </row>
    <row r="826" spans="8:8" x14ac:dyDescent="0.25">
      <c r="H826" s="42">
        <f>IF($A826="","",YEAR($A826))</f>
      </c>
    </row>
    <row r="827" spans="8:8" x14ac:dyDescent="0.25">
      <c r="H827" s="42">
        <f>IF($A827="","",YEAR($A827))</f>
      </c>
    </row>
    <row r="828" spans="8:8" x14ac:dyDescent="0.25">
      <c r="H828" s="42">
        <f>IF($A828="","",YEAR($A828))</f>
      </c>
    </row>
    <row r="829" spans="8:8" x14ac:dyDescent="0.25">
      <c r="H829" s="42">
        <f>IF($A829="","",YEAR($A829))</f>
      </c>
    </row>
    <row r="830" spans="8:8" x14ac:dyDescent="0.25">
      <c r="H830" s="42">
        <f>IF($A830="","",YEAR($A830))</f>
      </c>
    </row>
    <row r="831" spans="8:8" x14ac:dyDescent="0.25">
      <c r="H831" s="42">
        <f>IF($A831="","",YEAR($A831))</f>
      </c>
    </row>
    <row r="832" spans="8:8" x14ac:dyDescent="0.25">
      <c r="H832" s="42">
        <f>IF($A832="","",YEAR($A832))</f>
      </c>
    </row>
    <row r="833" spans="8:8" x14ac:dyDescent="0.25">
      <c r="H833" s="42">
        <f>IF($A833="","",YEAR($A833))</f>
      </c>
    </row>
    <row r="834" spans="8:8" x14ac:dyDescent="0.25">
      <c r="H834" s="42">
        <f>IF($A834="","",YEAR($A834))</f>
      </c>
    </row>
    <row r="835" spans="8:8" x14ac:dyDescent="0.25">
      <c r="H835" s="42">
        <f>IF($A835="","",YEAR($A835))</f>
      </c>
    </row>
    <row r="836" spans="8:8" x14ac:dyDescent="0.25">
      <c r="H836" s="42">
        <f>IF($A836="","",YEAR($A836))</f>
      </c>
    </row>
    <row r="837" spans="8:8" x14ac:dyDescent="0.25">
      <c r="H837" s="42">
        <f>IF($A837="","",YEAR($A837))</f>
      </c>
    </row>
    <row r="838" spans="8:8" x14ac:dyDescent="0.25">
      <c r="H838" s="42">
        <f>IF($A838="","",YEAR($A838))</f>
      </c>
    </row>
    <row r="839" spans="8:8" x14ac:dyDescent="0.25">
      <c r="H839" s="42">
        <f>IF($A839="","",YEAR($A839))</f>
      </c>
    </row>
    <row r="840" spans="8:8" x14ac:dyDescent="0.25">
      <c r="H840" s="42">
        <f>IF($A840="","",YEAR($A840))</f>
      </c>
    </row>
    <row r="841" spans="8:8" x14ac:dyDescent="0.25">
      <c r="H841" s="42">
        <f>IF($A841="","",YEAR($A841))</f>
      </c>
    </row>
    <row r="842" spans="8:8" x14ac:dyDescent="0.25">
      <c r="H842" s="42">
        <f>IF($A842="","",YEAR($A842))</f>
      </c>
    </row>
    <row r="843" spans="8:8" x14ac:dyDescent="0.25">
      <c r="H843" s="42">
        <f>IF($A843="","",YEAR($A843))</f>
      </c>
    </row>
    <row r="844" spans="8:8" x14ac:dyDescent="0.25">
      <c r="H844" s="42">
        <f>IF($A844="","",YEAR($A844))</f>
      </c>
    </row>
    <row r="845" spans="8:8" x14ac:dyDescent="0.25">
      <c r="H845" s="42">
        <f>IF($A845="","",YEAR($A845))</f>
      </c>
    </row>
    <row r="846" spans="8:8" x14ac:dyDescent="0.25">
      <c r="H846" s="42">
        <f>IF($A846="","",YEAR($A846))</f>
      </c>
    </row>
    <row r="847" spans="8:8" x14ac:dyDescent="0.25">
      <c r="H847" s="42">
        <f>IF($A847="","",YEAR($A847))</f>
      </c>
    </row>
    <row r="848" spans="8:8" x14ac:dyDescent="0.25">
      <c r="H848" s="42">
        <f>IF($A848="","",YEAR($A848))</f>
      </c>
    </row>
    <row r="849" spans="8:8" x14ac:dyDescent="0.25">
      <c r="H849" s="42">
        <f>IF($A849="","",YEAR($A849))</f>
      </c>
    </row>
    <row r="850" spans="8:8" x14ac:dyDescent="0.25">
      <c r="H850" s="42">
        <f>IF($A850="","",YEAR($A850))</f>
      </c>
    </row>
    <row r="851" spans="8:8" x14ac:dyDescent="0.25">
      <c r="H851" s="42">
        <f>IF($A851="","",YEAR($A851))</f>
      </c>
    </row>
    <row r="852" spans="8:8" x14ac:dyDescent="0.25">
      <c r="H852" s="42">
        <f>IF($A852="","",YEAR($A852))</f>
      </c>
    </row>
    <row r="853" spans="8:8" x14ac:dyDescent="0.25">
      <c r="H853" s="42">
        <f>IF($A853="","",YEAR($A853))</f>
      </c>
    </row>
    <row r="854" spans="8:8" x14ac:dyDescent="0.25">
      <c r="H854" s="42">
        <f>IF($A854="","",YEAR($A854))</f>
      </c>
    </row>
    <row r="855" spans="8:8" x14ac:dyDescent="0.25">
      <c r="H855" s="42">
        <f>IF($A855="","",YEAR($A855))</f>
      </c>
    </row>
    <row r="856" spans="8:8" x14ac:dyDescent="0.25">
      <c r="H856" s="42">
        <f>IF($A856="","",YEAR($A856))</f>
      </c>
    </row>
    <row r="857" spans="8:8" x14ac:dyDescent="0.25">
      <c r="H857" s="42">
        <f>IF($A857="","",YEAR($A857))</f>
      </c>
    </row>
    <row r="858" spans="8:8" x14ac:dyDescent="0.25">
      <c r="H858" s="42">
        <f>IF($A858="","",YEAR($A858))</f>
      </c>
    </row>
    <row r="859" spans="8:8" x14ac:dyDescent="0.25">
      <c r="H859" s="42">
        <f>IF($A859="","",YEAR($A859))</f>
      </c>
    </row>
    <row r="860" spans="8:8" x14ac:dyDescent="0.25">
      <c r="H860" s="42">
        <f>IF($A860="","",YEAR($A860))</f>
      </c>
    </row>
    <row r="861" spans="8:8" x14ac:dyDescent="0.25">
      <c r="H861" s="42">
        <f>IF($A861="","",YEAR($A861))</f>
      </c>
    </row>
    <row r="862" spans="8:8" x14ac:dyDescent="0.25">
      <c r="H862" s="42">
        <f>IF($A862="","",YEAR($A862))</f>
      </c>
    </row>
    <row r="863" spans="8:8" x14ac:dyDescent="0.25">
      <c r="H863" s="42">
        <f>IF($A863="","",YEAR($A863))</f>
      </c>
    </row>
    <row r="864" spans="8:8" x14ac:dyDescent="0.25">
      <c r="H864" s="42">
        <f>IF($A864="","",YEAR($A864))</f>
      </c>
    </row>
    <row r="865" spans="8:8" x14ac:dyDescent="0.25">
      <c r="H865" s="42">
        <f>IF($A865="","",YEAR($A865))</f>
      </c>
    </row>
    <row r="866" spans="8:8" x14ac:dyDescent="0.25">
      <c r="H866" s="42">
        <f>IF($A866="","",YEAR($A866))</f>
      </c>
    </row>
    <row r="867" spans="8:8" x14ac:dyDescent="0.25">
      <c r="H867" s="42">
        <f>IF($A867="","",YEAR($A867))</f>
      </c>
    </row>
    <row r="868" spans="8:8" x14ac:dyDescent="0.25">
      <c r="H868" s="42">
        <f>IF($A868="","",YEAR($A868))</f>
      </c>
    </row>
    <row r="869" spans="8:8" x14ac:dyDescent="0.25">
      <c r="H869" s="42">
        <f>IF($A869="","",YEAR($A869))</f>
      </c>
    </row>
    <row r="870" spans="8:8" x14ac:dyDescent="0.25">
      <c r="H870" s="42">
        <f>IF($A870="","",YEAR($A870))</f>
      </c>
    </row>
    <row r="871" spans="8:8" x14ac:dyDescent="0.25">
      <c r="H871" s="42">
        <f>IF($A871="","",YEAR($A871))</f>
      </c>
    </row>
    <row r="872" spans="8:8" x14ac:dyDescent="0.25">
      <c r="H872" s="42">
        <f>IF($A872="","",YEAR($A872))</f>
      </c>
    </row>
    <row r="873" spans="8:8" x14ac:dyDescent="0.25">
      <c r="H873" s="42">
        <f>IF($A873="","",YEAR($A873))</f>
      </c>
    </row>
    <row r="874" spans="8:8" x14ac:dyDescent="0.25">
      <c r="H874" s="42">
        <f>IF($A874="","",YEAR($A874))</f>
      </c>
    </row>
    <row r="875" spans="8:8" x14ac:dyDescent="0.25">
      <c r="H875" s="42">
        <f>IF($A875="","",YEAR($A875))</f>
      </c>
    </row>
    <row r="876" spans="8:8" x14ac:dyDescent="0.25">
      <c r="H876" s="42">
        <f>IF($A876="","",YEAR($A876))</f>
      </c>
    </row>
    <row r="877" spans="8:8" x14ac:dyDescent="0.25">
      <c r="H877" s="42">
        <f>IF($A877="","",YEAR($A877))</f>
      </c>
    </row>
    <row r="878" spans="8:8" x14ac:dyDescent="0.25">
      <c r="H878" s="42">
        <f>IF($A878="","",YEAR($A878))</f>
      </c>
    </row>
    <row r="879" spans="8:8" x14ac:dyDescent="0.25">
      <c r="H879" s="42">
        <f>IF($A879="","",YEAR($A879))</f>
      </c>
    </row>
    <row r="880" spans="8:8" x14ac:dyDescent="0.25">
      <c r="H880" s="42">
        <f>IF($A880="","",YEAR($A880))</f>
      </c>
    </row>
    <row r="881" spans="8:8" x14ac:dyDescent="0.25">
      <c r="H881" s="42">
        <f>IF($A881="","",YEAR($A881))</f>
      </c>
    </row>
    <row r="882" spans="8:8" x14ac:dyDescent="0.25">
      <c r="H882" s="42">
        <f>IF($A882="","",YEAR($A882))</f>
      </c>
    </row>
    <row r="883" spans="8:8" x14ac:dyDescent="0.25">
      <c r="H883" s="42">
        <f>IF($A883="","",YEAR($A883))</f>
      </c>
    </row>
    <row r="884" spans="8:8" x14ac:dyDescent="0.25">
      <c r="H884" s="42">
        <f>IF($A884="","",YEAR($A884))</f>
      </c>
    </row>
    <row r="885" spans="8:8" x14ac:dyDescent="0.25">
      <c r="H885" s="42">
        <f>IF($A885="","",YEAR($A885))</f>
      </c>
    </row>
    <row r="886" spans="8:8" x14ac:dyDescent="0.25">
      <c r="H886" s="42">
        <f>IF($A886="","",YEAR($A886))</f>
      </c>
    </row>
    <row r="887" spans="8:8" x14ac:dyDescent="0.25">
      <c r="H887" s="42">
        <f>IF($A887="","",YEAR($A887))</f>
      </c>
    </row>
    <row r="888" spans="8:8" x14ac:dyDescent="0.25">
      <c r="H888" s="42">
        <f>IF($A888="","",YEAR($A888))</f>
      </c>
    </row>
    <row r="889" spans="8:8" x14ac:dyDescent="0.25">
      <c r="H889" s="42">
        <f>IF($A889="","",YEAR($A889))</f>
      </c>
    </row>
    <row r="890" spans="8:8" x14ac:dyDescent="0.25">
      <c r="H890" s="42">
        <f>IF($A890="","",YEAR($A890))</f>
      </c>
    </row>
    <row r="891" spans="8:8" x14ac:dyDescent="0.25">
      <c r="H891" s="42">
        <f>IF($A891="","",YEAR($A891))</f>
      </c>
    </row>
    <row r="892" spans="8:8" x14ac:dyDescent="0.25">
      <c r="H892" s="42">
        <f>IF($A892="","",YEAR($A892))</f>
      </c>
    </row>
    <row r="893" spans="8:8" x14ac:dyDescent="0.25">
      <c r="H893" s="42">
        <f>IF($A893="","",YEAR($A893))</f>
      </c>
    </row>
    <row r="894" spans="8:8" x14ac:dyDescent="0.25">
      <c r="H894" s="42">
        <f>IF($A894="","",YEAR($A894))</f>
      </c>
    </row>
    <row r="895" spans="8:8" x14ac:dyDescent="0.25">
      <c r="H895" s="42">
        <f>IF($A895="","",YEAR($A895))</f>
      </c>
    </row>
    <row r="896" spans="8:8" x14ac:dyDescent="0.25">
      <c r="H896" s="42">
        <f>IF($A896="","",YEAR($A896))</f>
      </c>
    </row>
    <row r="897" spans="8:8" x14ac:dyDescent="0.25">
      <c r="H897" s="42">
        <f>IF($A897="","",YEAR($A897))</f>
      </c>
    </row>
    <row r="898" spans="8:8" x14ac:dyDescent="0.25">
      <c r="H898" s="42">
        <f>IF($A898="","",YEAR($A898))</f>
      </c>
    </row>
    <row r="899" spans="8:8" x14ac:dyDescent="0.25">
      <c r="H899" s="42">
        <f>IF($A899="","",YEAR($A899))</f>
      </c>
    </row>
    <row r="900" spans="8:8" x14ac:dyDescent="0.25">
      <c r="H900" s="42">
        <f>IF($A900="","",YEAR($A900))</f>
      </c>
    </row>
    <row r="901" spans="8:8" x14ac:dyDescent="0.25">
      <c r="H901" s="42">
        <f>IF($A901="","",YEAR($A901))</f>
      </c>
    </row>
    <row r="902" spans="8:8" x14ac:dyDescent="0.25">
      <c r="H902" s="42">
        <f>IF($A902="","",YEAR($A902))</f>
      </c>
    </row>
    <row r="903" spans="8:8" x14ac:dyDescent="0.25">
      <c r="H903" s="42">
        <f>IF($A903="","",YEAR($A903))</f>
      </c>
    </row>
    <row r="904" spans="8:8" x14ac:dyDescent="0.25">
      <c r="H904" s="42">
        <f>IF($A904="","",YEAR($A904))</f>
      </c>
    </row>
    <row r="905" spans="8:8" x14ac:dyDescent="0.25">
      <c r="H905" s="42">
        <f>IF($A905="","",YEAR($A905))</f>
      </c>
    </row>
    <row r="906" spans="8:8" x14ac:dyDescent="0.25">
      <c r="H906" s="42">
        <f>IF($A906="","",YEAR($A906))</f>
      </c>
    </row>
    <row r="907" spans="8:8" x14ac:dyDescent="0.25">
      <c r="H907" s="42">
        <f>IF($A907="","",YEAR($A907))</f>
      </c>
    </row>
    <row r="908" spans="8:8" x14ac:dyDescent="0.25">
      <c r="H908" s="42">
        <f>IF($A908="","",YEAR($A908))</f>
      </c>
    </row>
    <row r="909" spans="8:8" x14ac:dyDescent="0.25">
      <c r="H909" s="42">
        <f>IF($A909="","",YEAR($A909))</f>
      </c>
    </row>
    <row r="910" spans="8:8" x14ac:dyDescent="0.25">
      <c r="H910" s="42">
        <f>IF($A910="","",YEAR($A910))</f>
      </c>
    </row>
    <row r="911" spans="8:8" x14ac:dyDescent="0.25">
      <c r="H911" s="42">
        <f>IF($A911="","",YEAR($A911))</f>
      </c>
    </row>
    <row r="912" spans="8:8" x14ac:dyDescent="0.25">
      <c r="H912" s="42">
        <f>IF($A912="","",YEAR($A912))</f>
      </c>
    </row>
    <row r="913" spans="8:8" x14ac:dyDescent="0.25">
      <c r="H913" s="42">
        <f>IF($A913="","",YEAR($A913))</f>
      </c>
    </row>
    <row r="914" spans="8:8" x14ac:dyDescent="0.25">
      <c r="H914" s="42">
        <f>IF($A914="","",YEAR($A914))</f>
      </c>
    </row>
    <row r="915" spans="8:8" x14ac:dyDescent="0.25">
      <c r="H915" s="42">
        <f>IF($A915="","",YEAR($A915))</f>
      </c>
    </row>
    <row r="916" spans="8:8" x14ac:dyDescent="0.25">
      <c r="H916" s="42">
        <f>IF($A916="","",YEAR($A916))</f>
      </c>
    </row>
    <row r="917" spans="8:8" x14ac:dyDescent="0.25">
      <c r="H917" s="42">
        <f>IF($A917="","",YEAR($A917))</f>
      </c>
    </row>
    <row r="918" spans="8:8" x14ac:dyDescent="0.25">
      <c r="H918" s="42">
        <f>IF($A918="","",YEAR($A918))</f>
      </c>
    </row>
    <row r="919" spans="8:8" x14ac:dyDescent="0.25">
      <c r="H919" s="42">
        <f>IF($A919="","",YEAR($A919))</f>
      </c>
    </row>
    <row r="920" spans="8:8" x14ac:dyDescent="0.25">
      <c r="H920" s="42">
        <f>IF($A920="","",YEAR($A920))</f>
      </c>
    </row>
    <row r="921" spans="8:8" x14ac:dyDescent="0.25">
      <c r="H921" s="42">
        <f>IF($A921="","",YEAR($A921))</f>
      </c>
    </row>
    <row r="922" spans="8:8" x14ac:dyDescent="0.25">
      <c r="H922" s="42">
        <f>IF($A922="","",YEAR($A922))</f>
      </c>
    </row>
    <row r="923" spans="8:8" x14ac:dyDescent="0.25">
      <c r="H923" s="42">
        <f>IF($A923="","",YEAR($A923))</f>
      </c>
    </row>
    <row r="924" spans="8:8" x14ac:dyDescent="0.25">
      <c r="H924" s="42">
        <f>IF($A924="","",YEAR($A924))</f>
      </c>
    </row>
    <row r="925" spans="8:8" x14ac:dyDescent="0.25">
      <c r="H925" s="42">
        <f>IF($A925="","",YEAR($A925))</f>
      </c>
    </row>
    <row r="926" spans="8:8" x14ac:dyDescent="0.25">
      <c r="H926" s="42">
        <f>IF($A926="","",YEAR($A926))</f>
      </c>
    </row>
    <row r="927" spans="8:8" x14ac:dyDescent="0.25">
      <c r="H927" s="42">
        <f>IF($A927="","",YEAR($A927))</f>
      </c>
    </row>
    <row r="928" spans="8:8" x14ac:dyDescent="0.25">
      <c r="H928" s="42">
        <f>IF($A928="","",YEAR($A928))</f>
      </c>
    </row>
    <row r="929" spans="8:8" x14ac:dyDescent="0.25">
      <c r="H929" s="42">
        <f>IF($A929="","",YEAR($A929))</f>
      </c>
    </row>
    <row r="930" spans="8:8" x14ac:dyDescent="0.25">
      <c r="H930" s="42">
        <f>IF($A930="","",YEAR($A930))</f>
      </c>
    </row>
    <row r="931" spans="8:8" x14ac:dyDescent="0.25">
      <c r="H931" s="42">
        <f>IF($A931="","",YEAR($A931))</f>
      </c>
    </row>
    <row r="932" spans="8:8" x14ac:dyDescent="0.25">
      <c r="H932" s="42">
        <f>IF($A932="","",YEAR($A932))</f>
      </c>
    </row>
    <row r="933" spans="8:8" x14ac:dyDescent="0.25">
      <c r="H933" s="42">
        <f>IF($A933="","",YEAR($A933))</f>
      </c>
    </row>
    <row r="934" spans="8:8" x14ac:dyDescent="0.25">
      <c r="H934" s="42">
        <f>IF($A934="","",YEAR($A934))</f>
      </c>
    </row>
    <row r="935" spans="8:8" x14ac:dyDescent="0.25">
      <c r="H935" s="42">
        <f>IF($A935="","",YEAR($A935))</f>
      </c>
    </row>
    <row r="936" spans="8:8" x14ac:dyDescent="0.25">
      <c r="H936" s="42">
        <f>IF($A936="","",YEAR($A936))</f>
      </c>
    </row>
    <row r="937" spans="8:8" x14ac:dyDescent="0.25">
      <c r="H937" s="42">
        <f>IF($A937="","",YEAR($A937))</f>
      </c>
    </row>
    <row r="938" spans="8:8" x14ac:dyDescent="0.25">
      <c r="H938" s="42">
        <f>IF($A938="","",YEAR($A938))</f>
      </c>
    </row>
    <row r="939" spans="8:8" x14ac:dyDescent="0.25">
      <c r="H939" s="42">
        <f>IF($A939="","",YEAR($A939))</f>
      </c>
    </row>
    <row r="940" spans="8:8" x14ac:dyDescent="0.25">
      <c r="H940" s="42">
        <f>IF($A940="","",YEAR($A940))</f>
      </c>
    </row>
    <row r="941" spans="8:8" x14ac:dyDescent="0.25">
      <c r="H941" s="42">
        <f>IF($A941="","",YEAR($A941))</f>
      </c>
    </row>
    <row r="942" spans="8:8" x14ac:dyDescent="0.25">
      <c r="H942" s="42">
        <f>IF($A942="","",YEAR($A942))</f>
      </c>
    </row>
    <row r="943" spans="8:8" x14ac:dyDescent="0.25">
      <c r="H943" s="42">
        <f>IF($A943="","",YEAR($A943))</f>
      </c>
    </row>
    <row r="944" spans="8:8" x14ac:dyDescent="0.25">
      <c r="H944" s="42">
        <f>IF($A944="","",YEAR($A944))</f>
      </c>
    </row>
    <row r="945" spans="8:8" x14ac:dyDescent="0.25">
      <c r="H945" s="42">
        <f>IF($A945="","",YEAR($A945))</f>
      </c>
    </row>
    <row r="946" spans="8:8" x14ac:dyDescent="0.25">
      <c r="H946" s="42">
        <f>IF($A946="","",YEAR($A946))</f>
      </c>
    </row>
    <row r="947" spans="8:8" x14ac:dyDescent="0.25">
      <c r="H947" s="42">
        <f>IF($A947="","",YEAR($A947))</f>
      </c>
    </row>
    <row r="948" spans="8:8" x14ac:dyDescent="0.25">
      <c r="H948" s="42">
        <f>IF($A948="","",YEAR($A948))</f>
      </c>
    </row>
    <row r="949" spans="8:8" x14ac:dyDescent="0.25">
      <c r="H949" s="42">
        <f>IF($A949="","",YEAR($A949))</f>
      </c>
    </row>
    <row r="950" spans="8:8" x14ac:dyDescent="0.25">
      <c r="H950" s="42">
        <f>IF($A950="","",YEAR($A950))</f>
      </c>
    </row>
    <row r="951" spans="8:8" x14ac:dyDescent="0.25">
      <c r="H951" s="42">
        <f>IF($A951="","",YEAR($A951))</f>
      </c>
    </row>
    <row r="952" spans="8:8" x14ac:dyDescent="0.25">
      <c r="H952" s="42">
        <f>IF($A952="","",YEAR($A952))</f>
      </c>
    </row>
    <row r="953" spans="8:8" x14ac:dyDescent="0.25">
      <c r="H953" s="42">
        <f>IF($A953="","",YEAR($A953))</f>
      </c>
    </row>
    <row r="954" spans="8:8" x14ac:dyDescent="0.25">
      <c r="H954" s="42">
        <f>IF($A954="","",YEAR($A954))</f>
      </c>
    </row>
    <row r="955" spans="8:8" x14ac:dyDescent="0.25">
      <c r="H955" s="42">
        <f>IF($A955="","",YEAR($A955))</f>
      </c>
    </row>
    <row r="956" spans="8:8" x14ac:dyDescent="0.25">
      <c r="H956" s="42">
        <f>IF($A956="","",YEAR($A956))</f>
      </c>
    </row>
    <row r="957" spans="8:8" x14ac:dyDescent="0.25">
      <c r="H957" s="42">
        <f>IF($A957="","",YEAR($A957))</f>
      </c>
    </row>
    <row r="958" spans="8:8" x14ac:dyDescent="0.25">
      <c r="H958" s="42">
        <f>IF($A958="","",YEAR($A958))</f>
      </c>
    </row>
    <row r="959" spans="8:8" x14ac:dyDescent="0.25">
      <c r="H959" s="42">
        <f>IF($A959="","",YEAR($A959))</f>
      </c>
    </row>
    <row r="960" spans="8:8" x14ac:dyDescent="0.25">
      <c r="H960" s="42">
        <f>IF($A960="","",YEAR($A960))</f>
      </c>
    </row>
    <row r="961" spans="8:8" x14ac:dyDescent="0.25">
      <c r="H961" s="42">
        <f>IF($A961="","",YEAR($A961))</f>
      </c>
    </row>
    <row r="962" spans="8:8" x14ac:dyDescent="0.25">
      <c r="H962" s="42">
        <f>IF($A962="","",YEAR($A962))</f>
      </c>
    </row>
    <row r="963" spans="8:8" x14ac:dyDescent="0.25">
      <c r="H963" s="42">
        <f>IF($A963="","",YEAR($A963))</f>
      </c>
    </row>
    <row r="964" spans="8:8" x14ac:dyDescent="0.25">
      <c r="H964" s="42">
        <f>IF($A964="","",YEAR($A964))</f>
      </c>
    </row>
    <row r="965" spans="8:8" x14ac:dyDescent="0.25">
      <c r="H965" s="42">
        <f>IF($A965="","",YEAR($A965))</f>
      </c>
    </row>
    <row r="966" spans="8:8" x14ac:dyDescent="0.25">
      <c r="H966" s="42">
        <f>IF($A966="","",YEAR($A966))</f>
      </c>
    </row>
    <row r="967" spans="8:8" x14ac:dyDescent="0.25">
      <c r="H967" s="42">
        <f>IF($A967="","",YEAR($A967))</f>
      </c>
    </row>
    <row r="968" spans="8:8" x14ac:dyDescent="0.25">
      <c r="H968" s="42">
        <f>IF($A968="","",YEAR($A968))</f>
      </c>
    </row>
    <row r="969" spans="8:8" x14ac:dyDescent="0.25">
      <c r="H969" s="42">
        <f>IF($A969="","",YEAR($A969))</f>
      </c>
    </row>
    <row r="970" spans="8:8" x14ac:dyDescent="0.25">
      <c r="H970" s="42">
        <f>IF($A970="","",YEAR($A970))</f>
      </c>
    </row>
    <row r="971" spans="8:8" x14ac:dyDescent="0.25">
      <c r="H971" s="42">
        <f>IF($A971="","",YEAR($A971))</f>
      </c>
    </row>
    <row r="972" spans="8:8" x14ac:dyDescent="0.25">
      <c r="H972" s="42">
        <f>IF($A972="","",YEAR($A972))</f>
      </c>
    </row>
    <row r="973" spans="8:8" x14ac:dyDescent="0.25">
      <c r="H973" s="42">
        <f>IF($A973="","",YEAR($A973))</f>
      </c>
    </row>
    <row r="974" spans="8:8" x14ac:dyDescent="0.25">
      <c r="H974" s="42">
        <f>IF($A974="","",YEAR($A974))</f>
      </c>
    </row>
    <row r="975" spans="8:8" x14ac:dyDescent="0.25">
      <c r="H975" s="42">
        <f>IF($A975="","",YEAR($A975))</f>
      </c>
    </row>
    <row r="976" spans="8:8" x14ac:dyDescent="0.25">
      <c r="H976" s="42">
        <f>IF($A976="","",YEAR($A976))</f>
      </c>
    </row>
    <row r="977" spans="8:8" x14ac:dyDescent="0.25">
      <c r="H977" s="42">
        <f>IF($A977="","",YEAR($A977))</f>
      </c>
    </row>
    <row r="978" spans="8:8" x14ac:dyDescent="0.25">
      <c r="H978" s="42">
        <f>IF($A978="","",YEAR($A978))</f>
      </c>
    </row>
    <row r="979" spans="8:8" x14ac:dyDescent="0.25">
      <c r="H979" s="42">
        <f>IF($A979="","",YEAR($A979))</f>
      </c>
    </row>
    <row r="980" spans="8:8" x14ac:dyDescent="0.25">
      <c r="H980" s="42">
        <f>IF($A980="","",YEAR($A980))</f>
      </c>
    </row>
    <row r="981" spans="8:8" x14ac:dyDescent="0.25">
      <c r="H981" s="42">
        <f>IF($A981="","",YEAR($A981))</f>
      </c>
    </row>
    <row r="982" spans="8:8" x14ac:dyDescent="0.25">
      <c r="H982" s="42">
        <f>IF($A982="","",YEAR($A982))</f>
      </c>
    </row>
    <row r="983" spans="8:8" x14ac:dyDescent="0.25">
      <c r="H983" s="42">
        <f>IF($A983="","",YEAR($A983))</f>
      </c>
    </row>
    <row r="984" spans="8:8" x14ac:dyDescent="0.25">
      <c r="H984" s="42">
        <f>IF($A984="","",YEAR($A984))</f>
      </c>
    </row>
    <row r="985" spans="8:8" x14ac:dyDescent="0.25">
      <c r="H985" s="42">
        <f>IF($A985="","",YEAR($A985))</f>
      </c>
    </row>
    <row r="986" spans="8:8" x14ac:dyDescent="0.25">
      <c r="H986" s="42">
        <f>IF($A986="","",YEAR($A986))</f>
      </c>
    </row>
    <row r="987" spans="8:8" x14ac:dyDescent="0.25">
      <c r="H987" s="42">
        <f>IF($A987="","",YEAR($A987))</f>
      </c>
    </row>
    <row r="988" spans="8:8" x14ac:dyDescent="0.25">
      <c r="H988" s="42">
        <f>IF($A988="","",YEAR($A988))</f>
      </c>
    </row>
    <row r="989" spans="8:8" x14ac:dyDescent="0.25">
      <c r="H989" s="42">
        <f>IF($A989="","",YEAR($A989))</f>
      </c>
    </row>
    <row r="990" spans="8:8" x14ac:dyDescent="0.25">
      <c r="H990" s="42">
        <f>IF($A990="","",YEAR($A990))</f>
      </c>
    </row>
    <row r="991" spans="8:8" x14ac:dyDescent="0.25">
      <c r="H991" s="42">
        <f>IF($A991="","",YEAR($A991))</f>
      </c>
    </row>
    <row r="992" spans="8:8" x14ac:dyDescent="0.25">
      <c r="H992" s="42">
        <f>IF($A992="","",YEAR($A992))</f>
      </c>
    </row>
    <row r="993" spans="8:8" x14ac:dyDescent="0.25">
      <c r="H993" s="42">
        <f>IF($A993="","",YEAR($A993))</f>
      </c>
    </row>
    <row r="994" spans="8:8" x14ac:dyDescent="0.25">
      <c r="H994" s="42">
        <f>IF($A994="","",YEAR($A994))</f>
      </c>
    </row>
    <row r="995" spans="8:8" x14ac:dyDescent="0.25">
      <c r="H995" s="42">
        <f>IF($A995="","",YEAR($A995))</f>
      </c>
    </row>
    <row r="996" spans="8:8" x14ac:dyDescent="0.25">
      <c r="H996" s="42">
        <f>IF($A996="","",YEAR($A996))</f>
      </c>
    </row>
    <row r="997" spans="8:8" x14ac:dyDescent="0.25">
      <c r="H997" s="42">
        <f>IF($A997="","",YEAR($A997))</f>
      </c>
    </row>
    <row r="998" spans="8:8" x14ac:dyDescent="0.25">
      <c r="H998" s="42">
        <f>IF($A998="","",YEAR($A998))</f>
      </c>
    </row>
    <row r="999" spans="8:8" x14ac:dyDescent="0.25">
      <c r="H999" s="42">
        <f>IF($A999="","",YEAR($A999))</f>
      </c>
    </row>
    <row r="1000" spans="8:8" x14ac:dyDescent="0.25">
      <c r="H1000" s="42">
        <f>IF($A1000="","",YEAR($A1000))</f>
      </c>
    </row>
    <row r="1001" spans="8:8" x14ac:dyDescent="0.25">
      <c r="H1001" s="42">
        <f>IF($A1001="","",YEAR($A1001))</f>
      </c>
    </row>
    <row r="1002" spans="8:8" x14ac:dyDescent="0.25">
      <c r="H1002" s="42">
        <f>IF($A1002="","",YEAR($A1002))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설정 Settings</vt:lpstr>
      <vt:lpstr>문 두드리기 Doors</vt:lpstr>
      <vt:lpstr>견적 Quotes</vt:lpstr>
      <vt:lpstr>작업 Jobs</vt:lpstr>
      <vt:lpstr>입금 Payments</vt:lpstr>
      <vt:lpstr>후속 Follow-ups</vt:lpstr>
      <vt:lpstr>지표 Dashboard</vt:lpstr>
      <vt:lpstr>EI 주간신고</vt:lpstr>
      <vt:lpstr>세금 Tax</vt:lpstr>
      <vt:lpstr>손익분기 Break-even</vt:lpstr>
      <vt:lpstr>인보이스 Invoice</vt:lpstr>
      <vt:lpstr>지출 Expenses</vt:lpstr>
      <vt:lpstr>주행 Mileage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scripts/build-crm.mjs</dc:creator>
  <dc:title/>
  <dc:subject/>
  <dc:description/>
  <cp:keywords/>
  <cp:category/>
  <cp:lastModifiedBy>Unknown</cp:lastModifiedBy>
  <dcterms:created xsi:type="dcterms:W3CDTF">2026-09-23T22:32:57Z</dcterms:created>
  <dcterms:modified xsi:type="dcterms:W3CDTF">2026-09-23T22:32:57Z</dcterms:modified>
</cp:coreProperties>
</file>